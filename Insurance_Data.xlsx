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DELL\Desktop\DA\"/>
    </mc:Choice>
  </mc:AlternateContent>
  <xr:revisionPtr revIDLastSave="0" documentId="8_{46AAB4F2-1C7C-42D1-A4EB-40EEB5B3FE55}" xr6:coauthVersionLast="47" xr6:coauthVersionMax="47" xr10:uidLastSave="{00000000-0000-0000-0000-000000000000}"/>
  <bookViews>
    <workbookView xWindow="-120" yWindow="-120" windowWidth="20730" windowHeight="11040" tabRatio="500" xr2:uid="{00000000-000D-0000-FFFF-FFFF00000000}"/>
  </bookViews>
  <sheets>
    <sheet name="DASHBOARD" sheetId="10" r:id="rId1"/>
    <sheet name="PIVOT" sheetId="3" r:id="rId2"/>
    <sheet name="FILTER" sheetId="11" r:id="rId3"/>
    <sheet name="Cleaned Data" sheetId="1" r:id="rId4"/>
  </sheets>
  <definedNames>
    <definedName name="_xlnm._FilterDatabase" localSheetId="3" hidden="1">'Cleaned Data'!$A$1:$W$2001</definedName>
    <definedName name="Slicer_Branch">#N/A</definedName>
    <definedName name="Slicer_Claim_Status">#N/A</definedName>
    <definedName name="Slicer_Customer_Segment">#N/A</definedName>
    <definedName name="Slicer_Policy_Type">#N/A</definedName>
    <definedName name="Z_35C3927A_F048_4142_A0D5_925A5B340B74_.wvu.FilterData" localSheetId="3" hidden="1">'Cleaned Data'!$A$1:$W$2001</definedName>
  </definedNames>
  <calcPr calcId="191029"/>
  <customWorkbookViews>
    <customWorkbookView name="in" guid="{35C3927A-F048-4142-A0D5-925A5B340B74}" maximized="1" xWindow="-8" yWindow="-8" windowWidth="1382" windowHeight="736" tabRatio="500" activeSheetId="10" showFormulaBar="0"/>
  </customWorkbookViews>
  <pivotCaches>
    <pivotCache cacheId="27"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96" i="10" l="1"/>
  <c r="C97" i="10"/>
  <c r="I9" i="3"/>
  <c r="U9" i="3"/>
  <c r="O15" i="3"/>
  <c r="L30" i="3"/>
  <c r="I10" i="3"/>
  <c r="AF13" i="3"/>
  <c r="AD13" i="3"/>
  <c r="C95" i="10"/>
  <c r="L29" i="3"/>
  <c r="AF14" i="3"/>
  <c r="AE13" i="3"/>
  <c r="AD14" i="3"/>
  <c r="I6" i="3"/>
  <c r="I5" i="3"/>
  <c r="U11" i="3"/>
  <c r="L32" i="3"/>
  <c r="L35" i="3"/>
  <c r="Q6" i="3"/>
  <c r="C94" i="10"/>
  <c r="U10" i="3"/>
  <c r="AE12" i="3"/>
  <c r="L33" i="3"/>
  <c r="U5" i="3"/>
  <c r="U8" i="3"/>
  <c r="AD12" i="3"/>
  <c r="I8" i="3"/>
  <c r="L28" i="3"/>
  <c r="I11" i="3"/>
  <c r="AE14" i="3"/>
  <c r="U7" i="3"/>
  <c r="I7" i="3"/>
  <c r="Q5" i="3"/>
  <c r="AF12" i="3"/>
  <c r="U6" i="3"/>
  <c r="L31" i="3"/>
  <c r="L34" i="3"/>
</calcChain>
</file>

<file path=xl/sharedStrings.xml><?xml version="1.0" encoding="utf-8"?>
<sst xmlns="http://schemas.openxmlformats.org/spreadsheetml/2006/main" count="29535" uniqueCount="6099">
  <si>
    <t>Claim_ID</t>
  </si>
  <si>
    <t>Customer_ID</t>
  </si>
  <si>
    <t>Policy_ID</t>
  </si>
  <si>
    <t>Policy_Type</t>
  </si>
  <si>
    <t>Customer_Segment</t>
  </si>
  <si>
    <t>Branch</t>
  </si>
  <si>
    <t>Claim_Channel</t>
  </si>
  <si>
    <t>Claim_Reason</t>
  </si>
  <si>
    <t>Policy_Start_Date</t>
  </si>
  <si>
    <t>Policy_Premium_Frequency</t>
  </si>
  <si>
    <t>Claim_Date</t>
  </si>
  <si>
    <t>Claim_Status</t>
  </si>
  <si>
    <t>Claim_Amount_AED</t>
  </si>
  <si>
    <t>Premium_Amount_AED</t>
  </si>
  <si>
    <t>Settlement_Days</t>
  </si>
  <si>
    <t>Settlement_Date</t>
  </si>
  <si>
    <t>Investigation_Required</t>
  </si>
  <si>
    <t>Fraud_Flag</t>
  </si>
  <si>
    <t>Renewal_Status</t>
  </si>
  <si>
    <t>Loss_Ratio</t>
  </si>
  <si>
    <t>Claim_Age_Days</t>
  </si>
  <si>
    <t>Claim_Year</t>
  </si>
  <si>
    <t>Claim_Month</t>
  </si>
  <si>
    <t>DINS-CLM-100000</t>
  </si>
  <si>
    <t>DINS-CUS-500000</t>
  </si>
  <si>
    <t>DINS-POL-200000</t>
  </si>
  <si>
    <t>Retail</t>
  </si>
  <si>
    <t>Sharjah</t>
  </si>
  <si>
    <t>Agent</t>
  </si>
  <si>
    <t>Medical Treatment</t>
  </si>
  <si>
    <t>Monthly</t>
  </si>
  <si>
    <t>Rejected</t>
  </si>
  <si>
    <t>N/A - Not Settled</t>
  </si>
  <si>
    <t>No</t>
  </si>
  <si>
    <t>Not Renewed</t>
  </si>
  <si>
    <t>February</t>
  </si>
  <si>
    <t>DINS-CLM-100001</t>
  </si>
  <si>
    <t>DINS-CUS-500001</t>
  </si>
  <si>
    <t>DINS-POL-200001</t>
  </si>
  <si>
    <t>Hospitalization</t>
  </si>
  <si>
    <t>Annual</t>
  </si>
  <si>
    <t>Renewed</t>
  </si>
  <si>
    <t>July</t>
  </si>
  <si>
    <t>DINS-CLM-100002</t>
  </si>
  <si>
    <t>DINS-CUS-500002</t>
  </si>
  <si>
    <t>DINS-POL-200002</t>
  </si>
  <si>
    <t>Ajman</t>
  </si>
  <si>
    <t>April</t>
  </si>
  <si>
    <t>DINS-CLM-100003</t>
  </si>
  <si>
    <t>DINS-CUS-500003</t>
  </si>
  <si>
    <t>DINS-POL-200003</t>
  </si>
  <si>
    <t>SME</t>
  </si>
  <si>
    <t>May</t>
  </si>
  <si>
    <t>DINS-CLM-100004</t>
  </si>
  <si>
    <t>DINS-CUS-500004</t>
  </si>
  <si>
    <t>DINS-POL-200004</t>
  </si>
  <si>
    <t>Abu Dhabi</t>
  </si>
  <si>
    <t>Mobile App</t>
  </si>
  <si>
    <t>Accident</t>
  </si>
  <si>
    <t>Approved</t>
  </si>
  <si>
    <t>Pending Renewal</t>
  </si>
  <si>
    <t>November</t>
  </si>
  <si>
    <t>DINS-CLM-100005</t>
  </si>
  <si>
    <t>DINS-CUS-500005</t>
  </si>
  <si>
    <t>DINS-POL-200005</t>
  </si>
  <si>
    <t>Dubai</t>
  </si>
  <si>
    <t>Pending</t>
  </si>
  <si>
    <t>June</t>
  </si>
  <si>
    <t>DINS-CLM-100006</t>
  </si>
  <si>
    <t>DINS-CUS-500006</t>
  </si>
  <si>
    <t>DINS-POL-200006</t>
  </si>
  <si>
    <t>Al Ain</t>
  </si>
  <si>
    <t>Property Damage</t>
  </si>
  <si>
    <t>January</t>
  </si>
  <si>
    <t>DINS-CLM-100007</t>
  </si>
  <si>
    <t>DINS-CUS-500007</t>
  </si>
  <si>
    <t>DINS-POL-200007</t>
  </si>
  <si>
    <t>March</t>
  </si>
  <si>
    <t>DINS-CLM-100008</t>
  </si>
  <si>
    <t>DINS-CUS-500008</t>
  </si>
  <si>
    <t>DINS-POL-200008</t>
  </si>
  <si>
    <t>DINS-CLM-100009</t>
  </si>
  <si>
    <t>DINS-CUS-500009</t>
  </si>
  <si>
    <t>DINS-POL-200009</t>
  </si>
  <si>
    <t>DINS-CLM-100010</t>
  </si>
  <si>
    <t>DINS-CUS-500010</t>
  </si>
  <si>
    <t>DINS-POL-200010</t>
  </si>
  <si>
    <t>Corporate</t>
  </si>
  <si>
    <t>Theft</t>
  </si>
  <si>
    <t>December</t>
  </si>
  <si>
    <t>DINS-CLM-100011</t>
  </si>
  <si>
    <t>DINS-CUS-500011</t>
  </si>
  <si>
    <t>DINS-POL-200011</t>
  </si>
  <si>
    <t>Fire Damage</t>
  </si>
  <si>
    <t>Yes</t>
  </si>
  <si>
    <t>October</t>
  </si>
  <si>
    <t>DINS-CLM-100012</t>
  </si>
  <si>
    <t>DINS-CUS-500012</t>
  </si>
  <si>
    <t>DINS-POL-200012</t>
  </si>
  <si>
    <t>DINS-CLM-100013</t>
  </si>
  <si>
    <t>DINS-CUS-500013</t>
  </si>
  <si>
    <t>DINS-POL-200013</t>
  </si>
  <si>
    <t>DINS-CLM-100014</t>
  </si>
  <si>
    <t>DINS-CUS-500014</t>
  </si>
  <si>
    <t>DINS-POL-200014</t>
  </si>
  <si>
    <t>DINS-CLM-100015</t>
  </si>
  <si>
    <t>DINS-CUS-500015</t>
  </si>
  <si>
    <t>DINS-POL-200015</t>
  </si>
  <si>
    <t>DINS-CLM-100016</t>
  </si>
  <si>
    <t>DINS-CUS-500016</t>
  </si>
  <si>
    <t>DINS-POL-200016</t>
  </si>
  <si>
    <t>DINS-CLM-100017</t>
  </si>
  <si>
    <t>DINS-CUS-500017</t>
  </si>
  <si>
    <t>DINS-POL-200017</t>
  </si>
  <si>
    <t>August</t>
  </si>
  <si>
    <t>DINS-CLM-100018</t>
  </si>
  <si>
    <t>DINS-CUS-500018</t>
  </si>
  <si>
    <t>DINS-POL-200018</t>
  </si>
  <si>
    <t>Travel Cancellation</t>
  </si>
  <si>
    <t>DINS-CLM-100019</t>
  </si>
  <si>
    <t>DINS-CUS-500019</t>
  </si>
  <si>
    <t>DINS-POL-200019</t>
  </si>
  <si>
    <t>DINS-CLM-100020</t>
  </si>
  <si>
    <t>DINS-CUS-500020</t>
  </si>
  <si>
    <t>DINS-POL-200020</t>
  </si>
  <si>
    <t>DINS-CLM-100021</t>
  </si>
  <si>
    <t>DINS-CUS-500021</t>
  </si>
  <si>
    <t>DINS-POL-200021</t>
  </si>
  <si>
    <t>DINS-CLM-100022</t>
  </si>
  <si>
    <t>DINS-CUS-500022</t>
  </si>
  <si>
    <t>DINS-POL-200022</t>
  </si>
  <si>
    <t>DINS-CLM-100023</t>
  </si>
  <si>
    <t>DINS-CUS-500023</t>
  </si>
  <si>
    <t>DINS-POL-200023</t>
  </si>
  <si>
    <t>DINS-CLM-100024</t>
  </si>
  <si>
    <t>DINS-CUS-500024</t>
  </si>
  <si>
    <t>DINS-POL-200024</t>
  </si>
  <si>
    <t>DINS-CLM-100025</t>
  </si>
  <si>
    <t>DINS-CUS-500025</t>
  </si>
  <si>
    <t>DINS-POL-200025</t>
  </si>
  <si>
    <t>DINS-CLM-100026</t>
  </si>
  <si>
    <t>DINS-CUS-500026</t>
  </si>
  <si>
    <t>DINS-POL-200026</t>
  </si>
  <si>
    <t>DINS-CLM-100027</t>
  </si>
  <si>
    <t>DINS-CUS-500027</t>
  </si>
  <si>
    <t>DINS-POL-200027</t>
  </si>
  <si>
    <t>DINS-CLM-100028</t>
  </si>
  <si>
    <t>DINS-CUS-500028</t>
  </si>
  <si>
    <t>DINS-POL-200028</t>
  </si>
  <si>
    <t>DINS-CLM-100029</t>
  </si>
  <si>
    <t>DINS-CUS-500029</t>
  </si>
  <si>
    <t>DINS-POL-200029</t>
  </si>
  <si>
    <t>DINS-CLM-100030</t>
  </si>
  <si>
    <t>DINS-CUS-500030</t>
  </si>
  <si>
    <t>DINS-POL-200030</t>
  </si>
  <si>
    <t>DINS-CLM-100031</t>
  </si>
  <si>
    <t>DINS-CUS-500031</t>
  </si>
  <si>
    <t>DINS-POL-200031</t>
  </si>
  <si>
    <t>DINS-CLM-100032</t>
  </si>
  <si>
    <t>DINS-CUS-500032</t>
  </si>
  <si>
    <t>DINS-POL-200032</t>
  </si>
  <si>
    <t>Vehicle Damage</t>
  </si>
  <si>
    <t>DINS-CLM-100033</t>
  </si>
  <si>
    <t>DINS-CUS-500033</t>
  </si>
  <si>
    <t>DINS-POL-200033</t>
  </si>
  <si>
    <t>DINS-CLM-100034</t>
  </si>
  <si>
    <t>DINS-CUS-500034</t>
  </si>
  <si>
    <t>DINS-POL-200034</t>
  </si>
  <si>
    <t>September</t>
  </si>
  <si>
    <t>DINS-CLM-100035</t>
  </si>
  <si>
    <t>DINS-CUS-500035</t>
  </si>
  <si>
    <t>DINS-POL-200035</t>
  </si>
  <si>
    <t>DINS-CLM-100036</t>
  </si>
  <si>
    <t>DINS-CUS-500036</t>
  </si>
  <si>
    <t>DINS-POL-200036</t>
  </si>
  <si>
    <t>DINS-CLM-100037</t>
  </si>
  <si>
    <t>DINS-CUS-500037</t>
  </si>
  <si>
    <t>DINS-POL-200037</t>
  </si>
  <si>
    <t>DINS-CLM-100038</t>
  </si>
  <si>
    <t>DINS-CUS-500038</t>
  </si>
  <si>
    <t>DINS-POL-200038</t>
  </si>
  <si>
    <t>DINS-CLM-100039</t>
  </si>
  <si>
    <t>DINS-CUS-500039</t>
  </si>
  <si>
    <t>DINS-POL-200039</t>
  </si>
  <si>
    <t>DINS-CLM-100040</t>
  </si>
  <si>
    <t>DINS-CUS-500040</t>
  </si>
  <si>
    <t>DINS-POL-200040</t>
  </si>
  <si>
    <t>DINS-CLM-100041</t>
  </si>
  <si>
    <t>DINS-CUS-500041</t>
  </si>
  <si>
    <t>DINS-POL-200041</t>
  </si>
  <si>
    <t>DINS-CLM-100042</t>
  </si>
  <si>
    <t>DINS-CUS-500042</t>
  </si>
  <si>
    <t>DINS-POL-200042</t>
  </si>
  <si>
    <t>DINS-CLM-100043</t>
  </si>
  <si>
    <t>DINS-CUS-500043</t>
  </si>
  <si>
    <t>DINS-POL-200043</t>
  </si>
  <si>
    <t>DINS-CLM-100044</t>
  </si>
  <si>
    <t>DINS-CUS-500044</t>
  </si>
  <si>
    <t>DINS-POL-200044</t>
  </si>
  <si>
    <t>DINS-CLM-100045</t>
  </si>
  <si>
    <t>DINS-CUS-500045</t>
  </si>
  <si>
    <t>DINS-POL-200045</t>
  </si>
  <si>
    <t>DINS-CLM-100046</t>
  </si>
  <si>
    <t>DINS-CUS-500046</t>
  </si>
  <si>
    <t>DINS-POL-200046</t>
  </si>
  <si>
    <t>DINS-CLM-100047</t>
  </si>
  <si>
    <t>DINS-CUS-500047</t>
  </si>
  <si>
    <t>DINS-POL-200047</t>
  </si>
  <si>
    <t>DINS-CLM-100048</t>
  </si>
  <si>
    <t>DINS-CUS-500048</t>
  </si>
  <si>
    <t>DINS-POL-200048</t>
  </si>
  <si>
    <t>DINS-CLM-100049</t>
  </si>
  <si>
    <t>DINS-CUS-500049</t>
  </si>
  <si>
    <t>DINS-POL-200049</t>
  </si>
  <si>
    <t>DINS-CLM-100050</t>
  </si>
  <si>
    <t>DINS-CUS-500050</t>
  </si>
  <si>
    <t>DINS-POL-200050</t>
  </si>
  <si>
    <t>DINS-CLM-100051</t>
  </si>
  <si>
    <t>DINS-CUS-500051</t>
  </si>
  <si>
    <t>DINS-POL-200051</t>
  </si>
  <si>
    <t>DINS-CLM-100052</t>
  </si>
  <si>
    <t>DINS-CUS-500052</t>
  </si>
  <si>
    <t>DINS-POL-200052</t>
  </si>
  <si>
    <t>DINS-CLM-100053</t>
  </si>
  <si>
    <t>DINS-CUS-500053</t>
  </si>
  <si>
    <t>DINS-POL-200053</t>
  </si>
  <si>
    <t>DINS-CLM-100054</t>
  </si>
  <si>
    <t>DINS-CUS-500054</t>
  </si>
  <si>
    <t>DINS-POL-200054</t>
  </si>
  <si>
    <t>DINS-CLM-100055</t>
  </si>
  <si>
    <t>DINS-CUS-500055</t>
  </si>
  <si>
    <t>DINS-POL-200055</t>
  </si>
  <si>
    <t>DINS-CLM-100056</t>
  </si>
  <si>
    <t>DINS-CUS-500056</t>
  </si>
  <si>
    <t>DINS-POL-200056</t>
  </si>
  <si>
    <t>DINS-CLM-100057</t>
  </si>
  <si>
    <t>DINS-CUS-500057</t>
  </si>
  <si>
    <t>DINS-POL-200057</t>
  </si>
  <si>
    <t>DINS-CLM-100058</t>
  </si>
  <si>
    <t>DINS-CUS-500058</t>
  </si>
  <si>
    <t>DINS-POL-200058</t>
  </si>
  <si>
    <t>DINS-CLM-100059</t>
  </si>
  <si>
    <t>DINS-CUS-500059</t>
  </si>
  <si>
    <t>DINS-POL-200059</t>
  </si>
  <si>
    <t>DINS-CLM-100060</t>
  </si>
  <si>
    <t>DINS-CUS-500060</t>
  </si>
  <si>
    <t>DINS-POL-200060</t>
  </si>
  <si>
    <t>DINS-CLM-100061</t>
  </si>
  <si>
    <t>DINS-CUS-500061</t>
  </si>
  <si>
    <t>DINS-POL-200061</t>
  </si>
  <si>
    <t>DINS-CLM-100062</t>
  </si>
  <si>
    <t>DINS-CUS-500062</t>
  </si>
  <si>
    <t>DINS-POL-200062</t>
  </si>
  <si>
    <t>DINS-CLM-100063</t>
  </si>
  <si>
    <t>DINS-CUS-500063</t>
  </si>
  <si>
    <t>DINS-POL-200063</t>
  </si>
  <si>
    <t>DINS-CLM-100064</t>
  </si>
  <si>
    <t>DINS-CUS-500064</t>
  </si>
  <si>
    <t>DINS-POL-200064</t>
  </si>
  <si>
    <t>DINS-CLM-100065</t>
  </si>
  <si>
    <t>DINS-CUS-500065</t>
  </si>
  <si>
    <t>DINS-POL-200065</t>
  </si>
  <si>
    <t>DINS-CLM-100066</t>
  </si>
  <si>
    <t>DINS-CUS-500066</t>
  </si>
  <si>
    <t>DINS-POL-200066</t>
  </si>
  <si>
    <t>DINS-CLM-100067</t>
  </si>
  <si>
    <t>DINS-CUS-500067</t>
  </si>
  <si>
    <t>DINS-POL-200067</t>
  </si>
  <si>
    <t>DINS-CLM-100068</t>
  </si>
  <si>
    <t>DINS-CUS-500068</t>
  </si>
  <si>
    <t>DINS-POL-200068</t>
  </si>
  <si>
    <t>DINS-CLM-100069</t>
  </si>
  <si>
    <t>DINS-CUS-500069</t>
  </si>
  <si>
    <t>DINS-POL-200069</t>
  </si>
  <si>
    <t>DINS-CLM-100070</t>
  </si>
  <si>
    <t>DINS-CUS-500070</t>
  </si>
  <si>
    <t>DINS-POL-200070</t>
  </si>
  <si>
    <t>DINS-CLM-100071</t>
  </si>
  <si>
    <t>DINS-CUS-500071</t>
  </si>
  <si>
    <t>DINS-POL-200071</t>
  </si>
  <si>
    <t>DINS-CLM-100072</t>
  </si>
  <si>
    <t>DINS-CUS-500072</t>
  </si>
  <si>
    <t>DINS-POL-200072</t>
  </si>
  <si>
    <t>DINS-CLM-100073</t>
  </si>
  <si>
    <t>DINS-CUS-500073</t>
  </si>
  <si>
    <t>DINS-POL-200073</t>
  </si>
  <si>
    <t>DINS-CLM-100074</t>
  </si>
  <si>
    <t>DINS-CUS-500074</t>
  </si>
  <si>
    <t>DINS-POL-200074</t>
  </si>
  <si>
    <t>DINS-CLM-100075</t>
  </si>
  <si>
    <t>DINS-CUS-500075</t>
  </si>
  <si>
    <t>DINS-POL-200075</t>
  </si>
  <si>
    <t>DINS-CLM-100076</t>
  </si>
  <si>
    <t>DINS-CUS-500076</t>
  </si>
  <si>
    <t>DINS-POL-200076</t>
  </si>
  <si>
    <t>DINS-CLM-100077</t>
  </si>
  <si>
    <t>DINS-CUS-500077</t>
  </si>
  <si>
    <t>DINS-POL-200077</t>
  </si>
  <si>
    <t>DINS-CLM-100078</t>
  </si>
  <si>
    <t>DINS-CUS-500078</t>
  </si>
  <si>
    <t>DINS-POL-200078</t>
  </si>
  <si>
    <t>DINS-CLM-100079</t>
  </si>
  <si>
    <t>DINS-CUS-500079</t>
  </si>
  <si>
    <t>DINS-POL-200079</t>
  </si>
  <si>
    <t>DINS-CLM-100080</t>
  </si>
  <si>
    <t>DINS-CUS-500080</t>
  </si>
  <si>
    <t>DINS-POL-200080</t>
  </si>
  <si>
    <t>DINS-CLM-100081</t>
  </si>
  <si>
    <t>DINS-CUS-500081</t>
  </si>
  <si>
    <t>DINS-POL-200081</t>
  </si>
  <si>
    <t>DINS-CLM-100082</t>
  </si>
  <si>
    <t>DINS-CUS-500082</t>
  </si>
  <si>
    <t>DINS-POL-200082</t>
  </si>
  <si>
    <t>DINS-CLM-100083</t>
  </si>
  <si>
    <t>DINS-CUS-500083</t>
  </si>
  <si>
    <t>DINS-POL-200083</t>
  </si>
  <si>
    <t>DINS-CLM-100084</t>
  </si>
  <si>
    <t>DINS-CUS-500084</t>
  </si>
  <si>
    <t>DINS-POL-200084</t>
  </si>
  <si>
    <t>DINS-CLM-100085</t>
  </si>
  <si>
    <t>DINS-CUS-500085</t>
  </si>
  <si>
    <t>DINS-POL-200085</t>
  </si>
  <si>
    <t>DINS-CLM-100086</t>
  </si>
  <si>
    <t>DINS-CUS-500086</t>
  </si>
  <si>
    <t>DINS-POL-200086</t>
  </si>
  <si>
    <t>DINS-CLM-100087</t>
  </si>
  <si>
    <t>DINS-CUS-500087</t>
  </si>
  <si>
    <t>DINS-POL-200087</t>
  </si>
  <si>
    <t>DINS-CLM-100088</t>
  </si>
  <si>
    <t>DINS-CUS-500088</t>
  </si>
  <si>
    <t>DINS-POL-200088</t>
  </si>
  <si>
    <t>DINS-CLM-100089</t>
  </si>
  <si>
    <t>DINS-CUS-500089</t>
  </si>
  <si>
    <t>DINS-POL-200089</t>
  </si>
  <si>
    <t>DINS-CLM-100090</t>
  </si>
  <si>
    <t>DINS-CUS-500090</t>
  </si>
  <si>
    <t>DINS-POL-200090</t>
  </si>
  <si>
    <t>DINS-CLM-100091</t>
  </si>
  <si>
    <t>DINS-CUS-500091</t>
  </si>
  <si>
    <t>DINS-POL-200091</t>
  </si>
  <si>
    <t>DINS-CLM-100092</t>
  </si>
  <si>
    <t>DINS-CUS-500092</t>
  </si>
  <si>
    <t>DINS-POL-200092</t>
  </si>
  <si>
    <t>DINS-CLM-100093</t>
  </si>
  <si>
    <t>DINS-CUS-500093</t>
  </si>
  <si>
    <t>DINS-POL-200093</t>
  </si>
  <si>
    <t>DINS-CLM-100094</t>
  </si>
  <si>
    <t>DINS-CUS-500094</t>
  </si>
  <si>
    <t>DINS-POL-200094</t>
  </si>
  <si>
    <t>DINS-CLM-100095</t>
  </si>
  <si>
    <t>DINS-CUS-500095</t>
  </si>
  <si>
    <t>DINS-POL-200095</t>
  </si>
  <si>
    <t>DINS-CLM-100096</t>
  </si>
  <si>
    <t>DINS-CUS-500096</t>
  </si>
  <si>
    <t>DINS-POL-200096</t>
  </si>
  <si>
    <t>DINS-CLM-100097</t>
  </si>
  <si>
    <t>DINS-CUS-500097</t>
  </si>
  <si>
    <t>DINS-POL-200097</t>
  </si>
  <si>
    <t>DINS-CLM-100098</t>
  </si>
  <si>
    <t>DINS-CUS-500098</t>
  </si>
  <si>
    <t>DINS-POL-200098</t>
  </si>
  <si>
    <t>DINS-CLM-100099</t>
  </si>
  <si>
    <t>DINS-CUS-500099</t>
  </si>
  <si>
    <t>DINS-POL-200099</t>
  </si>
  <si>
    <t>DINS-CLM-100100</t>
  </si>
  <si>
    <t>DINS-CUS-500100</t>
  </si>
  <si>
    <t>DINS-POL-200100</t>
  </si>
  <si>
    <t>DINS-CLM-100101</t>
  </si>
  <si>
    <t>DINS-CUS-500101</t>
  </si>
  <si>
    <t>DINS-POL-200101</t>
  </si>
  <si>
    <t>DINS-CLM-100102</t>
  </si>
  <si>
    <t>DINS-CUS-500102</t>
  </si>
  <si>
    <t>DINS-POL-200102</t>
  </si>
  <si>
    <t>DINS-CLM-100103</t>
  </si>
  <si>
    <t>DINS-CUS-500103</t>
  </si>
  <si>
    <t>DINS-POL-200103</t>
  </si>
  <si>
    <t>DINS-CLM-100104</t>
  </si>
  <si>
    <t>DINS-CUS-500104</t>
  </si>
  <si>
    <t>DINS-POL-200104</t>
  </si>
  <si>
    <t>DINS-CLM-100105</t>
  </si>
  <si>
    <t>DINS-CUS-500105</t>
  </si>
  <si>
    <t>DINS-POL-200105</t>
  </si>
  <si>
    <t>DINS-CLM-100106</t>
  </si>
  <si>
    <t>DINS-CUS-500106</t>
  </si>
  <si>
    <t>DINS-POL-200106</t>
  </si>
  <si>
    <t>DINS-CLM-100107</t>
  </si>
  <si>
    <t>DINS-CUS-500107</t>
  </si>
  <si>
    <t>DINS-POL-200107</t>
  </si>
  <si>
    <t>DINS-CLM-100108</t>
  </si>
  <si>
    <t>DINS-CUS-500108</t>
  </si>
  <si>
    <t>DINS-POL-200108</t>
  </si>
  <si>
    <t>DINS-CLM-100109</t>
  </si>
  <si>
    <t>DINS-CUS-500109</t>
  </si>
  <si>
    <t>DINS-POL-200109</t>
  </si>
  <si>
    <t>DINS-CLM-100110</t>
  </si>
  <si>
    <t>DINS-CUS-500110</t>
  </si>
  <si>
    <t>DINS-POL-200110</t>
  </si>
  <si>
    <t>DINS-CLM-100111</t>
  </si>
  <si>
    <t>DINS-CUS-500111</t>
  </si>
  <si>
    <t>DINS-POL-200111</t>
  </si>
  <si>
    <t>DINS-CLM-100112</t>
  </si>
  <si>
    <t>DINS-CUS-500112</t>
  </si>
  <si>
    <t>DINS-POL-200112</t>
  </si>
  <si>
    <t>DINS-CLM-100113</t>
  </si>
  <si>
    <t>DINS-CUS-500113</t>
  </si>
  <si>
    <t>DINS-POL-200113</t>
  </si>
  <si>
    <t>DINS-CLM-100114</t>
  </si>
  <si>
    <t>DINS-CUS-500114</t>
  </si>
  <si>
    <t>DINS-POL-200114</t>
  </si>
  <si>
    <t>DINS-CLM-100115</t>
  </si>
  <si>
    <t>DINS-CUS-500115</t>
  </si>
  <si>
    <t>DINS-POL-200115</t>
  </si>
  <si>
    <t>DINS-CLM-100116</t>
  </si>
  <si>
    <t>DINS-CUS-500116</t>
  </si>
  <si>
    <t>DINS-POL-200116</t>
  </si>
  <si>
    <t>DINS-CLM-100117</t>
  </si>
  <si>
    <t>DINS-CUS-500117</t>
  </si>
  <si>
    <t>DINS-POL-200117</t>
  </si>
  <si>
    <t>DINS-CLM-100118</t>
  </si>
  <si>
    <t>DINS-CUS-500118</t>
  </si>
  <si>
    <t>DINS-POL-200118</t>
  </si>
  <si>
    <t>DINS-CLM-100119</t>
  </si>
  <si>
    <t>DINS-CUS-500119</t>
  </si>
  <si>
    <t>DINS-POL-200119</t>
  </si>
  <si>
    <t>DINS-CLM-100120</t>
  </si>
  <si>
    <t>DINS-CUS-500120</t>
  </si>
  <si>
    <t>DINS-POL-200120</t>
  </si>
  <si>
    <t>DINS-CLM-100121</t>
  </si>
  <si>
    <t>DINS-CUS-500121</t>
  </si>
  <si>
    <t>DINS-POL-200121</t>
  </si>
  <si>
    <t>DINS-CLM-100122</t>
  </si>
  <si>
    <t>DINS-CUS-500122</t>
  </si>
  <si>
    <t>DINS-POL-200122</t>
  </si>
  <si>
    <t>DINS-CLM-100123</t>
  </si>
  <si>
    <t>DINS-CUS-500123</t>
  </si>
  <si>
    <t>DINS-POL-200123</t>
  </si>
  <si>
    <t>DINS-CLM-100124</t>
  </si>
  <si>
    <t>DINS-CUS-500124</t>
  </si>
  <si>
    <t>DINS-POL-200124</t>
  </si>
  <si>
    <t>DINS-CLM-100125</t>
  </si>
  <si>
    <t>DINS-CUS-500125</t>
  </si>
  <si>
    <t>DINS-POL-200125</t>
  </si>
  <si>
    <t>DINS-CLM-100126</t>
  </si>
  <si>
    <t>DINS-CUS-500126</t>
  </si>
  <si>
    <t>DINS-POL-200126</t>
  </si>
  <si>
    <t>DINS-CLM-100127</t>
  </si>
  <si>
    <t>DINS-CUS-500127</t>
  </si>
  <si>
    <t>DINS-POL-200127</t>
  </si>
  <si>
    <t>DINS-CLM-100128</t>
  </si>
  <si>
    <t>DINS-CUS-500128</t>
  </si>
  <si>
    <t>DINS-POL-200128</t>
  </si>
  <si>
    <t>DINS-CLM-100129</t>
  </si>
  <si>
    <t>DINS-CUS-500129</t>
  </si>
  <si>
    <t>DINS-POL-200129</t>
  </si>
  <si>
    <t>DINS-CLM-100130</t>
  </si>
  <si>
    <t>DINS-CUS-500130</t>
  </si>
  <si>
    <t>DINS-POL-200130</t>
  </si>
  <si>
    <t>DINS-CLM-100131</t>
  </si>
  <si>
    <t>DINS-CUS-500131</t>
  </si>
  <si>
    <t>DINS-POL-200131</t>
  </si>
  <si>
    <t>DINS-CLM-100132</t>
  </si>
  <si>
    <t>DINS-CUS-500132</t>
  </si>
  <si>
    <t>DINS-POL-200132</t>
  </si>
  <si>
    <t>DINS-CLM-100133</t>
  </si>
  <si>
    <t>DINS-CUS-500133</t>
  </si>
  <si>
    <t>DINS-POL-200133</t>
  </si>
  <si>
    <t>DINS-CLM-100134</t>
  </si>
  <si>
    <t>DINS-CUS-500134</t>
  </si>
  <si>
    <t>DINS-POL-200134</t>
  </si>
  <si>
    <t>DINS-CLM-100135</t>
  </si>
  <si>
    <t>DINS-CUS-500135</t>
  </si>
  <si>
    <t>DINS-POL-200135</t>
  </si>
  <si>
    <t>DINS-CLM-100136</t>
  </si>
  <si>
    <t>DINS-CUS-500136</t>
  </si>
  <si>
    <t>DINS-POL-200136</t>
  </si>
  <si>
    <t>DINS-CLM-100137</t>
  </si>
  <si>
    <t>DINS-CUS-500137</t>
  </si>
  <si>
    <t>DINS-POL-200137</t>
  </si>
  <si>
    <t>DINS-CLM-100138</t>
  </si>
  <si>
    <t>DINS-CUS-500138</t>
  </si>
  <si>
    <t>DINS-POL-200138</t>
  </si>
  <si>
    <t>DINS-CLM-100139</t>
  </si>
  <si>
    <t>DINS-CUS-500139</t>
  </si>
  <si>
    <t>DINS-POL-200139</t>
  </si>
  <si>
    <t>DINS-CLM-100140</t>
  </si>
  <si>
    <t>DINS-CUS-500140</t>
  </si>
  <si>
    <t>DINS-POL-200140</t>
  </si>
  <si>
    <t>DINS-CLM-100141</t>
  </si>
  <si>
    <t>DINS-CUS-500141</t>
  </si>
  <si>
    <t>DINS-POL-200141</t>
  </si>
  <si>
    <t>DINS-CLM-100142</t>
  </si>
  <si>
    <t>DINS-CUS-500142</t>
  </si>
  <si>
    <t>DINS-POL-200142</t>
  </si>
  <si>
    <t>DINS-CLM-100143</t>
  </si>
  <si>
    <t>DINS-CUS-500143</t>
  </si>
  <si>
    <t>DINS-POL-200143</t>
  </si>
  <si>
    <t>DINS-CLM-100144</t>
  </si>
  <si>
    <t>DINS-CUS-500144</t>
  </si>
  <si>
    <t>DINS-POL-200144</t>
  </si>
  <si>
    <t>DINS-CLM-100145</t>
  </si>
  <si>
    <t>DINS-CUS-500145</t>
  </si>
  <si>
    <t>DINS-POL-200145</t>
  </si>
  <si>
    <t>DINS-CLM-100146</t>
  </si>
  <si>
    <t>DINS-CUS-500146</t>
  </si>
  <si>
    <t>DINS-POL-200146</t>
  </si>
  <si>
    <t>DINS-CLM-100147</t>
  </si>
  <si>
    <t>DINS-CUS-500147</t>
  </si>
  <si>
    <t>DINS-POL-200147</t>
  </si>
  <si>
    <t>DINS-CLM-100148</t>
  </si>
  <si>
    <t>DINS-CUS-500148</t>
  </si>
  <si>
    <t>DINS-POL-200148</t>
  </si>
  <si>
    <t>DINS-CLM-100149</t>
  </si>
  <si>
    <t>DINS-CUS-500149</t>
  </si>
  <si>
    <t>DINS-POL-200149</t>
  </si>
  <si>
    <t>DINS-CLM-100150</t>
  </si>
  <si>
    <t>DINS-CUS-500150</t>
  </si>
  <si>
    <t>DINS-POL-200150</t>
  </si>
  <si>
    <t>DINS-CLM-100151</t>
  </si>
  <si>
    <t>DINS-CUS-500151</t>
  </si>
  <si>
    <t>DINS-POL-200151</t>
  </si>
  <si>
    <t>DINS-CLM-100152</t>
  </si>
  <si>
    <t>DINS-CUS-500152</t>
  </si>
  <si>
    <t>DINS-POL-200152</t>
  </si>
  <si>
    <t>DINS-CLM-100153</t>
  </si>
  <si>
    <t>DINS-CUS-500153</t>
  </si>
  <si>
    <t>DINS-POL-200153</t>
  </si>
  <si>
    <t>DINS-CLM-100154</t>
  </si>
  <si>
    <t>DINS-CUS-500154</t>
  </si>
  <si>
    <t>DINS-POL-200154</t>
  </si>
  <si>
    <t>DINS-CLM-100155</t>
  </si>
  <si>
    <t>DINS-CUS-500155</t>
  </si>
  <si>
    <t>DINS-POL-200155</t>
  </si>
  <si>
    <t>DINS-CLM-100156</t>
  </si>
  <si>
    <t>DINS-CUS-500156</t>
  </si>
  <si>
    <t>DINS-POL-200156</t>
  </si>
  <si>
    <t>DINS-CLM-100157</t>
  </si>
  <si>
    <t>DINS-CUS-500157</t>
  </si>
  <si>
    <t>DINS-POL-200157</t>
  </si>
  <si>
    <t>DINS-CLM-100158</t>
  </si>
  <si>
    <t>DINS-CUS-500158</t>
  </si>
  <si>
    <t>DINS-POL-200158</t>
  </si>
  <si>
    <t>DINS-CLM-100159</t>
  </si>
  <si>
    <t>DINS-CUS-500159</t>
  </si>
  <si>
    <t>DINS-POL-200159</t>
  </si>
  <si>
    <t>DINS-CLM-100160</t>
  </si>
  <si>
    <t>DINS-CUS-500160</t>
  </si>
  <si>
    <t>DINS-POL-200160</t>
  </si>
  <si>
    <t>DINS-CLM-100161</t>
  </si>
  <si>
    <t>DINS-CUS-500161</t>
  </si>
  <si>
    <t>DINS-POL-200161</t>
  </si>
  <si>
    <t>DINS-CLM-100162</t>
  </si>
  <si>
    <t>DINS-CUS-500162</t>
  </si>
  <si>
    <t>DINS-POL-200162</t>
  </si>
  <si>
    <t>DINS-CLM-100163</t>
  </si>
  <si>
    <t>DINS-CUS-500163</t>
  </si>
  <si>
    <t>DINS-POL-200163</t>
  </si>
  <si>
    <t>DINS-CLM-100164</t>
  </si>
  <si>
    <t>DINS-CUS-500164</t>
  </si>
  <si>
    <t>DINS-POL-200164</t>
  </si>
  <si>
    <t>DINS-CLM-100165</t>
  </si>
  <si>
    <t>DINS-CUS-500165</t>
  </si>
  <si>
    <t>DINS-POL-200165</t>
  </si>
  <si>
    <t>DINS-CLM-100166</t>
  </si>
  <si>
    <t>DINS-CUS-500166</t>
  </si>
  <si>
    <t>DINS-POL-200166</t>
  </si>
  <si>
    <t>DINS-CLM-100167</t>
  </si>
  <si>
    <t>DINS-CUS-500167</t>
  </si>
  <si>
    <t>DINS-POL-200167</t>
  </si>
  <si>
    <t>DINS-CLM-100168</t>
  </si>
  <si>
    <t>DINS-CUS-500168</t>
  </si>
  <si>
    <t>DINS-POL-200168</t>
  </si>
  <si>
    <t>DINS-CLM-100169</t>
  </si>
  <si>
    <t>DINS-CUS-500169</t>
  </si>
  <si>
    <t>DINS-POL-200169</t>
  </si>
  <si>
    <t>DINS-CLM-100170</t>
  </si>
  <si>
    <t>DINS-CUS-500170</t>
  </si>
  <si>
    <t>DINS-POL-200170</t>
  </si>
  <si>
    <t>DINS-CLM-100171</t>
  </si>
  <si>
    <t>DINS-CUS-500171</t>
  </si>
  <si>
    <t>DINS-POL-200171</t>
  </si>
  <si>
    <t>DINS-CLM-100172</t>
  </si>
  <si>
    <t>DINS-CUS-500172</t>
  </si>
  <si>
    <t>DINS-POL-200172</t>
  </si>
  <si>
    <t>DINS-CLM-100173</t>
  </si>
  <si>
    <t>DINS-CUS-500173</t>
  </si>
  <si>
    <t>DINS-POL-200173</t>
  </si>
  <si>
    <t>DINS-CLM-100174</t>
  </si>
  <si>
    <t>DINS-CUS-500174</t>
  </si>
  <si>
    <t>DINS-POL-200174</t>
  </si>
  <si>
    <t>DINS-CLM-100175</t>
  </si>
  <si>
    <t>DINS-CUS-500175</t>
  </si>
  <si>
    <t>DINS-POL-200175</t>
  </si>
  <si>
    <t>DINS-CLM-100176</t>
  </si>
  <si>
    <t>DINS-CUS-500176</t>
  </si>
  <si>
    <t>DINS-POL-200176</t>
  </si>
  <si>
    <t>DINS-CLM-100177</t>
  </si>
  <si>
    <t>DINS-CUS-500177</t>
  </si>
  <si>
    <t>DINS-POL-200177</t>
  </si>
  <si>
    <t>DINS-CLM-100178</t>
  </si>
  <si>
    <t>DINS-CUS-500178</t>
  </si>
  <si>
    <t>DINS-POL-200178</t>
  </si>
  <si>
    <t>DINS-CLM-100179</t>
  </si>
  <si>
    <t>DINS-CUS-500179</t>
  </si>
  <si>
    <t>DINS-POL-200179</t>
  </si>
  <si>
    <t>DINS-CLM-100180</t>
  </si>
  <si>
    <t>DINS-CUS-500180</t>
  </si>
  <si>
    <t>DINS-POL-200180</t>
  </si>
  <si>
    <t>DINS-CLM-100181</t>
  </si>
  <si>
    <t>DINS-CUS-500181</t>
  </si>
  <si>
    <t>DINS-POL-200181</t>
  </si>
  <si>
    <t>DINS-CLM-100182</t>
  </si>
  <si>
    <t>DINS-CUS-500182</t>
  </si>
  <si>
    <t>DINS-POL-200182</t>
  </si>
  <si>
    <t>DINS-CLM-100183</t>
  </si>
  <si>
    <t>DINS-CUS-500183</t>
  </si>
  <si>
    <t>DINS-POL-200183</t>
  </si>
  <si>
    <t>DINS-CLM-100184</t>
  </si>
  <si>
    <t>DINS-CUS-500184</t>
  </si>
  <si>
    <t>DINS-POL-200184</t>
  </si>
  <si>
    <t>DINS-CLM-100185</t>
  </si>
  <si>
    <t>DINS-CUS-500185</t>
  </si>
  <si>
    <t>DINS-POL-200185</t>
  </si>
  <si>
    <t>DINS-CLM-100186</t>
  </si>
  <si>
    <t>DINS-CUS-500186</t>
  </si>
  <si>
    <t>DINS-POL-200186</t>
  </si>
  <si>
    <t>DINS-CLM-100187</t>
  </si>
  <si>
    <t>DINS-CUS-500187</t>
  </si>
  <si>
    <t>DINS-POL-200187</t>
  </si>
  <si>
    <t>DINS-CLM-100188</t>
  </si>
  <si>
    <t>DINS-CUS-500188</t>
  </si>
  <si>
    <t>DINS-POL-200188</t>
  </si>
  <si>
    <t>DINS-CLM-100189</t>
  </si>
  <si>
    <t>DINS-CUS-500189</t>
  </si>
  <si>
    <t>DINS-POL-200189</t>
  </si>
  <si>
    <t>DINS-CLM-100190</t>
  </si>
  <si>
    <t>DINS-CUS-500190</t>
  </si>
  <si>
    <t>DINS-POL-200190</t>
  </si>
  <si>
    <t>DINS-CLM-100191</t>
  </si>
  <si>
    <t>DINS-CUS-500191</t>
  </si>
  <si>
    <t>DINS-POL-200191</t>
  </si>
  <si>
    <t>DINS-CLM-100192</t>
  </si>
  <si>
    <t>DINS-CUS-500192</t>
  </si>
  <si>
    <t>DINS-POL-200192</t>
  </si>
  <si>
    <t>DINS-CLM-100193</t>
  </si>
  <si>
    <t>DINS-CUS-500193</t>
  </si>
  <si>
    <t>DINS-POL-200193</t>
  </si>
  <si>
    <t>DINS-CLM-100194</t>
  </si>
  <si>
    <t>DINS-CUS-500194</t>
  </si>
  <si>
    <t>DINS-POL-200194</t>
  </si>
  <si>
    <t>DINS-CLM-100195</t>
  </si>
  <si>
    <t>DINS-CUS-500195</t>
  </si>
  <si>
    <t>DINS-POL-200195</t>
  </si>
  <si>
    <t>DINS-CLM-100196</t>
  </si>
  <si>
    <t>DINS-CUS-500196</t>
  </si>
  <si>
    <t>DINS-POL-200196</t>
  </si>
  <si>
    <t>DINS-CLM-100197</t>
  </si>
  <si>
    <t>DINS-CUS-500197</t>
  </si>
  <si>
    <t>DINS-POL-200197</t>
  </si>
  <si>
    <t>DINS-CLM-100198</t>
  </si>
  <si>
    <t>DINS-CUS-500198</t>
  </si>
  <si>
    <t>DINS-POL-200198</t>
  </si>
  <si>
    <t>DINS-CLM-100199</t>
  </si>
  <si>
    <t>DINS-CUS-500199</t>
  </si>
  <si>
    <t>DINS-POL-200199</t>
  </si>
  <si>
    <t>DINS-CLM-100200</t>
  </si>
  <si>
    <t>DINS-CUS-500200</t>
  </si>
  <si>
    <t>DINS-POL-200200</t>
  </si>
  <si>
    <t>DINS-CLM-100201</t>
  </si>
  <si>
    <t>DINS-CUS-500201</t>
  </si>
  <si>
    <t>DINS-POL-200201</t>
  </si>
  <si>
    <t>DINS-CLM-100202</t>
  </si>
  <si>
    <t>DINS-CUS-500202</t>
  </si>
  <si>
    <t>DINS-POL-200202</t>
  </si>
  <si>
    <t>DINS-CLM-100203</t>
  </si>
  <si>
    <t>DINS-CUS-500203</t>
  </si>
  <si>
    <t>DINS-POL-200203</t>
  </si>
  <si>
    <t>DINS-CLM-100204</t>
  </si>
  <si>
    <t>DINS-CUS-500204</t>
  </si>
  <si>
    <t>DINS-POL-200204</t>
  </si>
  <si>
    <t>DINS-CLM-100205</t>
  </si>
  <si>
    <t>DINS-CUS-500205</t>
  </si>
  <si>
    <t>DINS-POL-200205</t>
  </si>
  <si>
    <t>DINS-CLM-100206</t>
  </si>
  <si>
    <t>DINS-CUS-500206</t>
  </si>
  <si>
    <t>DINS-POL-200206</t>
  </si>
  <si>
    <t>DINS-CLM-100207</t>
  </si>
  <si>
    <t>DINS-CUS-500207</t>
  </si>
  <si>
    <t>DINS-POL-200207</t>
  </si>
  <si>
    <t>DINS-CLM-100208</t>
  </si>
  <si>
    <t>DINS-CUS-500208</t>
  </si>
  <si>
    <t>DINS-POL-200208</t>
  </si>
  <si>
    <t>DINS-CLM-100209</t>
  </si>
  <si>
    <t>DINS-CUS-500209</t>
  </si>
  <si>
    <t>DINS-POL-200209</t>
  </si>
  <si>
    <t>DINS-CLM-100210</t>
  </si>
  <si>
    <t>DINS-CUS-500210</t>
  </si>
  <si>
    <t>DINS-POL-200210</t>
  </si>
  <si>
    <t>DINS-CLM-100211</t>
  </si>
  <si>
    <t>DINS-CUS-500211</t>
  </si>
  <si>
    <t>DINS-POL-200211</t>
  </si>
  <si>
    <t>DINS-CLM-100212</t>
  </si>
  <si>
    <t>DINS-CUS-500212</t>
  </si>
  <si>
    <t>DINS-POL-200212</t>
  </si>
  <si>
    <t>DINS-CLM-100213</t>
  </si>
  <si>
    <t>DINS-CUS-500213</t>
  </si>
  <si>
    <t>DINS-POL-200213</t>
  </si>
  <si>
    <t>DINS-CLM-100214</t>
  </si>
  <si>
    <t>DINS-CUS-500214</t>
  </si>
  <si>
    <t>DINS-POL-200214</t>
  </si>
  <si>
    <t>DINS-CLM-100215</t>
  </si>
  <si>
    <t>DINS-CUS-500215</t>
  </si>
  <si>
    <t>DINS-POL-200215</t>
  </si>
  <si>
    <t>DINS-CLM-100216</t>
  </si>
  <si>
    <t>DINS-CUS-500216</t>
  </si>
  <si>
    <t>DINS-POL-200216</t>
  </si>
  <si>
    <t>DINS-CLM-100217</t>
  </si>
  <si>
    <t>DINS-CUS-500217</t>
  </si>
  <si>
    <t>DINS-POL-200217</t>
  </si>
  <si>
    <t>DINS-CLM-100218</t>
  </si>
  <si>
    <t>DINS-CUS-500218</t>
  </si>
  <si>
    <t>DINS-POL-200218</t>
  </si>
  <si>
    <t>DINS-CLM-100219</t>
  </si>
  <si>
    <t>DINS-CUS-500219</t>
  </si>
  <si>
    <t>DINS-POL-200219</t>
  </si>
  <si>
    <t>DINS-CLM-100220</t>
  </si>
  <si>
    <t>DINS-CUS-500220</t>
  </si>
  <si>
    <t>DINS-POL-200220</t>
  </si>
  <si>
    <t>DINS-CLM-100221</t>
  </si>
  <si>
    <t>DINS-CUS-500221</t>
  </si>
  <si>
    <t>DINS-POL-200221</t>
  </si>
  <si>
    <t>DINS-CLM-100222</t>
  </si>
  <si>
    <t>DINS-CUS-500222</t>
  </si>
  <si>
    <t>DINS-POL-200222</t>
  </si>
  <si>
    <t>DINS-CLM-100223</t>
  </si>
  <si>
    <t>DINS-CUS-500223</t>
  </si>
  <si>
    <t>DINS-POL-200223</t>
  </si>
  <si>
    <t>DINS-CLM-100224</t>
  </si>
  <si>
    <t>DINS-CUS-500224</t>
  </si>
  <si>
    <t>DINS-POL-200224</t>
  </si>
  <si>
    <t>DINS-CLM-100225</t>
  </si>
  <si>
    <t>DINS-CUS-500225</t>
  </si>
  <si>
    <t>DINS-POL-200225</t>
  </si>
  <si>
    <t>DINS-CLM-100226</t>
  </si>
  <si>
    <t>DINS-CUS-500226</t>
  </si>
  <si>
    <t>DINS-POL-200226</t>
  </si>
  <si>
    <t>DINS-CLM-100227</t>
  </si>
  <si>
    <t>DINS-CUS-500227</t>
  </si>
  <si>
    <t>DINS-POL-200227</t>
  </si>
  <si>
    <t>DINS-CLM-100228</t>
  </si>
  <si>
    <t>DINS-CUS-500228</t>
  </si>
  <si>
    <t>DINS-POL-200228</t>
  </si>
  <si>
    <t>DINS-CLM-100229</t>
  </si>
  <si>
    <t>DINS-CUS-500229</t>
  </si>
  <si>
    <t>DINS-POL-200229</t>
  </si>
  <si>
    <t>DINS-CLM-100230</t>
  </si>
  <si>
    <t>DINS-CUS-500230</t>
  </si>
  <si>
    <t>DINS-POL-200230</t>
  </si>
  <si>
    <t>DINS-CLM-100231</t>
  </si>
  <si>
    <t>DINS-CUS-500231</t>
  </si>
  <si>
    <t>DINS-POL-200231</t>
  </si>
  <si>
    <t>DINS-CLM-100232</t>
  </si>
  <si>
    <t>DINS-CUS-500232</t>
  </si>
  <si>
    <t>DINS-POL-200232</t>
  </si>
  <si>
    <t>DINS-CLM-100233</t>
  </si>
  <si>
    <t>DINS-CUS-500233</t>
  </si>
  <si>
    <t>DINS-POL-200233</t>
  </si>
  <si>
    <t>DINS-CLM-100234</t>
  </si>
  <si>
    <t>DINS-CUS-500234</t>
  </si>
  <si>
    <t>DINS-POL-200234</t>
  </si>
  <si>
    <t>DINS-CLM-100235</t>
  </si>
  <si>
    <t>DINS-CUS-500235</t>
  </si>
  <si>
    <t>DINS-POL-200235</t>
  </si>
  <si>
    <t>DINS-CLM-100236</t>
  </si>
  <si>
    <t>DINS-CUS-500236</t>
  </si>
  <si>
    <t>DINS-POL-200236</t>
  </si>
  <si>
    <t>DINS-CLM-100237</t>
  </si>
  <si>
    <t>DINS-CUS-500237</t>
  </si>
  <si>
    <t>DINS-POL-200237</t>
  </si>
  <si>
    <t>DINS-CLM-100238</t>
  </si>
  <si>
    <t>DINS-CUS-500238</t>
  </si>
  <si>
    <t>DINS-POL-200238</t>
  </si>
  <si>
    <t>DINS-CLM-100239</t>
  </si>
  <si>
    <t>DINS-CUS-500239</t>
  </si>
  <si>
    <t>DINS-POL-200239</t>
  </si>
  <si>
    <t>DINS-CLM-100240</t>
  </si>
  <si>
    <t>DINS-CUS-500240</t>
  </si>
  <si>
    <t>DINS-POL-200240</t>
  </si>
  <si>
    <t>DINS-CLM-100241</t>
  </si>
  <si>
    <t>DINS-CUS-500241</t>
  </si>
  <si>
    <t>DINS-POL-200241</t>
  </si>
  <si>
    <t>DINS-CLM-100242</t>
  </si>
  <si>
    <t>DINS-CUS-500242</t>
  </si>
  <si>
    <t>DINS-POL-200242</t>
  </si>
  <si>
    <t>DINS-CLM-100243</t>
  </si>
  <si>
    <t>DINS-CUS-500243</t>
  </si>
  <si>
    <t>DINS-POL-200243</t>
  </si>
  <si>
    <t>DINS-CLM-100244</t>
  </si>
  <si>
    <t>DINS-CUS-500244</t>
  </si>
  <si>
    <t>DINS-POL-200244</t>
  </si>
  <si>
    <t>DINS-CLM-100245</t>
  </si>
  <si>
    <t>DINS-CUS-500245</t>
  </si>
  <si>
    <t>DINS-POL-200245</t>
  </si>
  <si>
    <t>DINS-CLM-100246</t>
  </si>
  <si>
    <t>DINS-CUS-500246</t>
  </si>
  <si>
    <t>DINS-POL-200246</t>
  </si>
  <si>
    <t>DINS-CLM-100247</t>
  </si>
  <si>
    <t>DINS-CUS-500247</t>
  </si>
  <si>
    <t>DINS-POL-200247</t>
  </si>
  <si>
    <t>DINS-CLM-100248</t>
  </si>
  <si>
    <t>DINS-CUS-500248</t>
  </si>
  <si>
    <t>DINS-POL-200248</t>
  </si>
  <si>
    <t>DINS-CLM-100249</t>
  </si>
  <si>
    <t>DINS-CUS-500249</t>
  </si>
  <si>
    <t>DINS-POL-200249</t>
  </si>
  <si>
    <t>DINS-CLM-100250</t>
  </si>
  <si>
    <t>DINS-CUS-500250</t>
  </si>
  <si>
    <t>DINS-POL-200250</t>
  </si>
  <si>
    <t>DINS-CLM-100251</t>
  </si>
  <si>
    <t>DINS-CUS-500251</t>
  </si>
  <si>
    <t>DINS-POL-200251</t>
  </si>
  <si>
    <t>DINS-CLM-100252</t>
  </si>
  <si>
    <t>DINS-CUS-500252</t>
  </si>
  <si>
    <t>DINS-POL-200252</t>
  </si>
  <si>
    <t>DINS-CLM-100253</t>
  </si>
  <si>
    <t>DINS-CUS-500253</t>
  </si>
  <si>
    <t>DINS-POL-200253</t>
  </si>
  <si>
    <t>DINS-CLM-100254</t>
  </si>
  <si>
    <t>DINS-CUS-500254</t>
  </si>
  <si>
    <t>DINS-POL-200254</t>
  </si>
  <si>
    <t>DINS-CLM-100255</t>
  </si>
  <si>
    <t>DINS-CUS-500255</t>
  </si>
  <si>
    <t>DINS-POL-200255</t>
  </si>
  <si>
    <t>DINS-CLM-100256</t>
  </si>
  <si>
    <t>DINS-CUS-500256</t>
  </si>
  <si>
    <t>DINS-POL-200256</t>
  </si>
  <si>
    <t>DINS-CLM-100257</t>
  </si>
  <si>
    <t>DINS-CUS-500257</t>
  </si>
  <si>
    <t>DINS-POL-200257</t>
  </si>
  <si>
    <t>DINS-CLM-100258</t>
  </si>
  <si>
    <t>DINS-CUS-500258</t>
  </si>
  <si>
    <t>DINS-POL-200258</t>
  </si>
  <si>
    <t>DINS-CLM-100259</t>
  </si>
  <si>
    <t>DINS-CUS-500259</t>
  </si>
  <si>
    <t>DINS-POL-200259</t>
  </si>
  <si>
    <t>DINS-CLM-100260</t>
  </si>
  <si>
    <t>DINS-CUS-500260</t>
  </si>
  <si>
    <t>DINS-POL-200260</t>
  </si>
  <si>
    <t>DINS-CLM-100261</t>
  </si>
  <si>
    <t>DINS-CUS-500261</t>
  </si>
  <si>
    <t>DINS-POL-200261</t>
  </si>
  <si>
    <t>DINS-CLM-100262</t>
  </si>
  <si>
    <t>DINS-CUS-500262</t>
  </si>
  <si>
    <t>DINS-POL-200262</t>
  </si>
  <si>
    <t>DINS-CLM-100263</t>
  </si>
  <si>
    <t>DINS-CUS-500263</t>
  </si>
  <si>
    <t>DINS-POL-200263</t>
  </si>
  <si>
    <t>DINS-CLM-100264</t>
  </si>
  <si>
    <t>DINS-CUS-500264</t>
  </si>
  <si>
    <t>DINS-POL-200264</t>
  </si>
  <si>
    <t>DINS-CLM-100265</t>
  </si>
  <si>
    <t>DINS-CUS-500265</t>
  </si>
  <si>
    <t>DINS-POL-200265</t>
  </si>
  <si>
    <t>DINS-CLM-100266</t>
  </si>
  <si>
    <t>DINS-CUS-500266</t>
  </si>
  <si>
    <t>DINS-POL-200266</t>
  </si>
  <si>
    <t>DINS-CLM-100267</t>
  </si>
  <si>
    <t>DINS-CUS-500267</t>
  </si>
  <si>
    <t>DINS-POL-200267</t>
  </si>
  <si>
    <t>DINS-CLM-100268</t>
  </si>
  <si>
    <t>DINS-CUS-500268</t>
  </si>
  <si>
    <t>DINS-POL-200268</t>
  </si>
  <si>
    <t>DINS-CLM-100269</t>
  </si>
  <si>
    <t>DINS-CUS-500269</t>
  </si>
  <si>
    <t>DINS-POL-200269</t>
  </si>
  <si>
    <t>DINS-CLM-100270</t>
  </si>
  <si>
    <t>DINS-CUS-500270</t>
  </si>
  <si>
    <t>DINS-POL-200270</t>
  </si>
  <si>
    <t>DINS-CLM-100271</t>
  </si>
  <si>
    <t>DINS-CUS-500271</t>
  </si>
  <si>
    <t>DINS-POL-200271</t>
  </si>
  <si>
    <t>DINS-CLM-100272</t>
  </si>
  <si>
    <t>DINS-CUS-500272</t>
  </si>
  <si>
    <t>DINS-POL-200272</t>
  </si>
  <si>
    <t>DINS-CLM-100273</t>
  </si>
  <si>
    <t>DINS-CUS-500273</t>
  </si>
  <si>
    <t>DINS-POL-200273</t>
  </si>
  <si>
    <t>DINS-CLM-100274</t>
  </si>
  <si>
    <t>DINS-CUS-500274</t>
  </si>
  <si>
    <t>DINS-POL-200274</t>
  </si>
  <si>
    <t>DINS-CLM-100275</t>
  </si>
  <si>
    <t>DINS-CUS-500275</t>
  </si>
  <si>
    <t>DINS-POL-200275</t>
  </si>
  <si>
    <t>DINS-CLM-100276</t>
  </si>
  <si>
    <t>DINS-CUS-500276</t>
  </si>
  <si>
    <t>DINS-POL-200276</t>
  </si>
  <si>
    <t>DINS-CLM-100277</t>
  </si>
  <si>
    <t>DINS-CUS-500277</t>
  </si>
  <si>
    <t>DINS-POL-200277</t>
  </si>
  <si>
    <t>DINS-CLM-100278</t>
  </si>
  <si>
    <t>DINS-CUS-500278</t>
  </si>
  <si>
    <t>DINS-POL-200278</t>
  </si>
  <si>
    <t>DINS-CLM-100279</t>
  </si>
  <si>
    <t>DINS-CUS-500279</t>
  </si>
  <si>
    <t>DINS-POL-200279</t>
  </si>
  <si>
    <t>DINS-CLM-100280</t>
  </si>
  <si>
    <t>DINS-CUS-500280</t>
  </si>
  <si>
    <t>DINS-POL-200280</t>
  </si>
  <si>
    <t>DINS-CLM-100281</t>
  </si>
  <si>
    <t>DINS-CUS-500281</t>
  </si>
  <si>
    <t>DINS-POL-200281</t>
  </si>
  <si>
    <t>DINS-CLM-100282</t>
  </si>
  <si>
    <t>DINS-CUS-500282</t>
  </si>
  <si>
    <t>DINS-POL-200282</t>
  </si>
  <si>
    <t>DINS-CLM-100283</t>
  </si>
  <si>
    <t>DINS-CUS-500283</t>
  </si>
  <si>
    <t>DINS-POL-200283</t>
  </si>
  <si>
    <t>DINS-CLM-100284</t>
  </si>
  <si>
    <t>DINS-CUS-500284</t>
  </si>
  <si>
    <t>DINS-POL-200284</t>
  </si>
  <si>
    <t>DINS-CLM-100285</t>
  </si>
  <si>
    <t>DINS-CUS-500285</t>
  </si>
  <si>
    <t>DINS-POL-200285</t>
  </si>
  <si>
    <t>DINS-CLM-100286</t>
  </si>
  <si>
    <t>DINS-CUS-500286</t>
  </si>
  <si>
    <t>DINS-POL-200286</t>
  </si>
  <si>
    <t>DINS-CLM-100287</t>
  </si>
  <si>
    <t>DINS-CUS-500287</t>
  </si>
  <si>
    <t>DINS-POL-200287</t>
  </si>
  <si>
    <t>DINS-CLM-100288</t>
  </si>
  <si>
    <t>DINS-CUS-500288</t>
  </si>
  <si>
    <t>DINS-POL-200288</t>
  </si>
  <si>
    <t>DINS-CLM-100289</t>
  </si>
  <si>
    <t>DINS-CUS-500289</t>
  </si>
  <si>
    <t>DINS-POL-200289</t>
  </si>
  <si>
    <t>DINS-CLM-100290</t>
  </si>
  <si>
    <t>DINS-CUS-500290</t>
  </si>
  <si>
    <t>DINS-POL-200290</t>
  </si>
  <si>
    <t>DINS-CLM-100291</t>
  </si>
  <si>
    <t>DINS-CUS-500291</t>
  </si>
  <si>
    <t>DINS-POL-200291</t>
  </si>
  <si>
    <t>DINS-CLM-100292</t>
  </si>
  <si>
    <t>DINS-CUS-500292</t>
  </si>
  <si>
    <t>DINS-POL-200292</t>
  </si>
  <si>
    <t>DINS-CLM-100293</t>
  </si>
  <si>
    <t>DINS-CUS-500293</t>
  </si>
  <si>
    <t>DINS-POL-200293</t>
  </si>
  <si>
    <t>DINS-CLM-100294</t>
  </si>
  <si>
    <t>DINS-CUS-500294</t>
  </si>
  <si>
    <t>DINS-POL-200294</t>
  </si>
  <si>
    <t>DINS-CLM-100295</t>
  </si>
  <si>
    <t>DINS-CUS-500295</t>
  </si>
  <si>
    <t>DINS-POL-200295</t>
  </si>
  <si>
    <t>DINS-CLM-100296</t>
  </si>
  <si>
    <t>DINS-CUS-500296</t>
  </si>
  <si>
    <t>DINS-POL-200296</t>
  </si>
  <si>
    <t>DINS-CLM-100297</t>
  </si>
  <si>
    <t>DINS-CUS-500297</t>
  </si>
  <si>
    <t>DINS-POL-200297</t>
  </si>
  <si>
    <t>DINS-CLM-100298</t>
  </si>
  <si>
    <t>DINS-CUS-500298</t>
  </si>
  <si>
    <t>DINS-POL-200298</t>
  </si>
  <si>
    <t>DINS-CLM-100299</t>
  </si>
  <si>
    <t>DINS-CUS-500299</t>
  </si>
  <si>
    <t>DINS-POL-200299</t>
  </si>
  <si>
    <t>DINS-CLM-100300</t>
  </si>
  <si>
    <t>DINS-CUS-500300</t>
  </si>
  <si>
    <t>DINS-POL-200300</t>
  </si>
  <si>
    <t>DINS-CLM-100301</t>
  </si>
  <si>
    <t>DINS-CUS-500301</t>
  </si>
  <si>
    <t>DINS-POL-200301</t>
  </si>
  <si>
    <t>DINS-CLM-100302</t>
  </si>
  <si>
    <t>DINS-CUS-500302</t>
  </si>
  <si>
    <t>DINS-POL-200302</t>
  </si>
  <si>
    <t>DINS-CLM-100303</t>
  </si>
  <si>
    <t>DINS-CUS-500303</t>
  </si>
  <si>
    <t>DINS-POL-200303</t>
  </si>
  <si>
    <t>DINS-CLM-100304</t>
  </si>
  <si>
    <t>DINS-CUS-500304</t>
  </si>
  <si>
    <t>DINS-POL-200304</t>
  </si>
  <si>
    <t>DINS-CLM-100305</t>
  </si>
  <si>
    <t>DINS-CUS-500305</t>
  </si>
  <si>
    <t>DINS-POL-200305</t>
  </si>
  <si>
    <t>DINS-CLM-100306</t>
  </si>
  <si>
    <t>DINS-CUS-500306</t>
  </si>
  <si>
    <t>DINS-POL-200306</t>
  </si>
  <si>
    <t>DINS-CLM-100307</t>
  </si>
  <si>
    <t>DINS-CUS-500307</t>
  </si>
  <si>
    <t>DINS-POL-200307</t>
  </si>
  <si>
    <t>DINS-CLM-100308</t>
  </si>
  <si>
    <t>DINS-CUS-500308</t>
  </si>
  <si>
    <t>DINS-POL-200308</t>
  </si>
  <si>
    <t>DINS-CLM-100309</t>
  </si>
  <si>
    <t>DINS-CUS-500309</t>
  </si>
  <si>
    <t>DINS-POL-200309</t>
  </si>
  <si>
    <t>DINS-CLM-100310</t>
  </si>
  <si>
    <t>DINS-CUS-500310</t>
  </si>
  <si>
    <t>DINS-POL-200310</t>
  </si>
  <si>
    <t>DINS-CLM-100311</t>
  </si>
  <si>
    <t>DINS-CUS-500311</t>
  </si>
  <si>
    <t>DINS-POL-200311</t>
  </si>
  <si>
    <t>DINS-CLM-100312</t>
  </si>
  <si>
    <t>DINS-CUS-500312</t>
  </si>
  <si>
    <t>DINS-POL-200312</t>
  </si>
  <si>
    <t>DINS-CLM-100313</t>
  </si>
  <si>
    <t>DINS-CUS-500313</t>
  </si>
  <si>
    <t>DINS-POL-200313</t>
  </si>
  <si>
    <t>DINS-CLM-100314</t>
  </si>
  <si>
    <t>DINS-CUS-500314</t>
  </si>
  <si>
    <t>DINS-POL-200314</t>
  </si>
  <si>
    <t>DINS-CLM-100315</t>
  </si>
  <si>
    <t>DINS-CUS-500315</t>
  </si>
  <si>
    <t>DINS-POL-200315</t>
  </si>
  <si>
    <t>DINS-CLM-100316</t>
  </si>
  <si>
    <t>DINS-CUS-500316</t>
  </si>
  <si>
    <t>DINS-POL-200316</t>
  </si>
  <si>
    <t>DINS-CLM-100317</t>
  </si>
  <si>
    <t>DINS-CUS-500317</t>
  </si>
  <si>
    <t>DINS-POL-200317</t>
  </si>
  <si>
    <t>DINS-CLM-100318</t>
  </si>
  <si>
    <t>DINS-CUS-500318</t>
  </si>
  <si>
    <t>DINS-POL-200318</t>
  </si>
  <si>
    <t>DINS-CLM-100319</t>
  </si>
  <si>
    <t>DINS-CUS-500319</t>
  </si>
  <si>
    <t>DINS-POL-200319</t>
  </si>
  <si>
    <t>DINS-CLM-100320</t>
  </si>
  <si>
    <t>DINS-CUS-500320</t>
  </si>
  <si>
    <t>DINS-POL-200320</t>
  </si>
  <si>
    <t>DINS-CLM-100321</t>
  </si>
  <si>
    <t>DINS-CUS-500321</t>
  </si>
  <si>
    <t>DINS-POL-200321</t>
  </si>
  <si>
    <t>DINS-CLM-100322</t>
  </si>
  <si>
    <t>DINS-CUS-500322</t>
  </si>
  <si>
    <t>DINS-POL-200322</t>
  </si>
  <si>
    <t>DINS-CLM-100323</t>
  </si>
  <si>
    <t>DINS-CUS-500323</t>
  </si>
  <si>
    <t>DINS-POL-200323</t>
  </si>
  <si>
    <t>DINS-CLM-100324</t>
  </si>
  <si>
    <t>DINS-CUS-500324</t>
  </si>
  <si>
    <t>DINS-POL-200324</t>
  </si>
  <si>
    <t>DINS-CLM-100325</t>
  </si>
  <si>
    <t>DINS-CUS-500325</t>
  </si>
  <si>
    <t>DINS-POL-200325</t>
  </si>
  <si>
    <t>DINS-CLM-100326</t>
  </si>
  <si>
    <t>DINS-CUS-500326</t>
  </si>
  <si>
    <t>DINS-POL-200326</t>
  </si>
  <si>
    <t>DINS-CLM-100327</t>
  </si>
  <si>
    <t>DINS-CUS-500327</t>
  </si>
  <si>
    <t>DINS-POL-200327</t>
  </si>
  <si>
    <t>DINS-CLM-100328</t>
  </si>
  <si>
    <t>DINS-CUS-500328</t>
  </si>
  <si>
    <t>DINS-POL-200328</t>
  </si>
  <si>
    <t>DINS-CLM-100329</t>
  </si>
  <si>
    <t>DINS-CUS-500329</t>
  </si>
  <si>
    <t>DINS-POL-200329</t>
  </si>
  <si>
    <t>DINS-CLM-100330</t>
  </si>
  <si>
    <t>DINS-CUS-500330</t>
  </si>
  <si>
    <t>DINS-POL-200330</t>
  </si>
  <si>
    <t>DINS-CLM-100331</t>
  </si>
  <si>
    <t>DINS-CUS-500331</t>
  </si>
  <si>
    <t>DINS-POL-200331</t>
  </si>
  <si>
    <t>DINS-CLM-100332</t>
  </si>
  <si>
    <t>DINS-CUS-500332</t>
  </si>
  <si>
    <t>DINS-POL-200332</t>
  </si>
  <si>
    <t>DINS-CLM-100333</t>
  </si>
  <si>
    <t>DINS-CUS-500333</t>
  </si>
  <si>
    <t>DINS-POL-200333</t>
  </si>
  <si>
    <t>DINS-CLM-100334</t>
  </si>
  <si>
    <t>DINS-CUS-500334</t>
  </si>
  <si>
    <t>DINS-POL-200334</t>
  </si>
  <si>
    <t>DINS-CLM-100335</t>
  </si>
  <si>
    <t>DINS-CUS-500335</t>
  </si>
  <si>
    <t>DINS-POL-200335</t>
  </si>
  <si>
    <t>DINS-CLM-100336</t>
  </si>
  <si>
    <t>DINS-CUS-500336</t>
  </si>
  <si>
    <t>DINS-POL-200336</t>
  </si>
  <si>
    <t>DINS-CLM-100337</t>
  </si>
  <si>
    <t>DINS-CUS-500337</t>
  </si>
  <si>
    <t>DINS-POL-200337</t>
  </si>
  <si>
    <t>DINS-CLM-100338</t>
  </si>
  <si>
    <t>DINS-CUS-500338</t>
  </si>
  <si>
    <t>DINS-POL-200338</t>
  </si>
  <si>
    <t>DINS-CLM-100339</t>
  </si>
  <si>
    <t>DINS-CUS-500339</t>
  </si>
  <si>
    <t>DINS-POL-200339</t>
  </si>
  <si>
    <t>DINS-CLM-100340</t>
  </si>
  <si>
    <t>DINS-CUS-500340</t>
  </si>
  <si>
    <t>DINS-POL-200340</t>
  </si>
  <si>
    <t>DINS-CLM-100341</t>
  </si>
  <si>
    <t>DINS-CUS-500341</t>
  </si>
  <si>
    <t>DINS-POL-200341</t>
  </si>
  <si>
    <t>DINS-CLM-100342</t>
  </si>
  <si>
    <t>DINS-CUS-500342</t>
  </si>
  <si>
    <t>DINS-POL-200342</t>
  </si>
  <si>
    <t>DINS-CLM-100343</t>
  </si>
  <si>
    <t>DINS-CUS-500343</t>
  </si>
  <si>
    <t>DINS-POL-200343</t>
  </si>
  <si>
    <t>DINS-CLM-100344</t>
  </si>
  <si>
    <t>DINS-CUS-500344</t>
  </si>
  <si>
    <t>DINS-POL-200344</t>
  </si>
  <si>
    <t>DINS-CLM-100345</t>
  </si>
  <si>
    <t>DINS-CUS-500345</t>
  </si>
  <si>
    <t>DINS-POL-200345</t>
  </si>
  <si>
    <t>DINS-CLM-100346</t>
  </si>
  <si>
    <t>DINS-CUS-500346</t>
  </si>
  <si>
    <t>DINS-POL-200346</t>
  </si>
  <si>
    <t>DINS-CLM-100347</t>
  </si>
  <si>
    <t>DINS-CUS-500347</t>
  </si>
  <si>
    <t>DINS-POL-200347</t>
  </si>
  <si>
    <t>DINS-CLM-100348</t>
  </si>
  <si>
    <t>DINS-CUS-500348</t>
  </si>
  <si>
    <t>DINS-POL-200348</t>
  </si>
  <si>
    <t>DINS-CLM-100349</t>
  </si>
  <si>
    <t>DINS-CUS-500349</t>
  </si>
  <si>
    <t>DINS-POL-200349</t>
  </si>
  <si>
    <t>DINS-CLM-100350</t>
  </si>
  <si>
    <t>DINS-CUS-500350</t>
  </si>
  <si>
    <t>DINS-POL-200350</t>
  </si>
  <si>
    <t>DINS-CLM-100351</t>
  </si>
  <si>
    <t>DINS-CUS-500351</t>
  </si>
  <si>
    <t>DINS-POL-200351</t>
  </si>
  <si>
    <t>DINS-CLM-100352</t>
  </si>
  <si>
    <t>DINS-CUS-500352</t>
  </si>
  <si>
    <t>DINS-POL-200352</t>
  </si>
  <si>
    <t>DINS-CLM-100353</t>
  </si>
  <si>
    <t>DINS-CUS-500353</t>
  </si>
  <si>
    <t>DINS-POL-200353</t>
  </si>
  <si>
    <t>DINS-CLM-100354</t>
  </si>
  <si>
    <t>DINS-CUS-500354</t>
  </si>
  <si>
    <t>DINS-POL-200354</t>
  </si>
  <si>
    <t>DINS-CLM-100355</t>
  </si>
  <si>
    <t>DINS-CUS-500355</t>
  </si>
  <si>
    <t>DINS-POL-200355</t>
  </si>
  <si>
    <t>DINS-CLM-100356</t>
  </si>
  <si>
    <t>DINS-CUS-500356</t>
  </si>
  <si>
    <t>DINS-POL-200356</t>
  </si>
  <si>
    <t>DINS-CLM-100357</t>
  </si>
  <si>
    <t>DINS-CUS-500357</t>
  </si>
  <si>
    <t>DINS-POL-200357</t>
  </si>
  <si>
    <t>DINS-CLM-100358</t>
  </si>
  <si>
    <t>DINS-CUS-500358</t>
  </si>
  <si>
    <t>DINS-POL-200358</t>
  </si>
  <si>
    <t>DINS-CLM-100359</t>
  </si>
  <si>
    <t>DINS-CUS-500359</t>
  </si>
  <si>
    <t>DINS-POL-200359</t>
  </si>
  <si>
    <t>DINS-CLM-100360</t>
  </si>
  <si>
    <t>DINS-CUS-500360</t>
  </si>
  <si>
    <t>DINS-POL-200360</t>
  </si>
  <si>
    <t>DINS-CLM-100361</t>
  </si>
  <si>
    <t>DINS-CUS-500361</t>
  </si>
  <si>
    <t>DINS-POL-200361</t>
  </si>
  <si>
    <t>DINS-CLM-100362</t>
  </si>
  <si>
    <t>DINS-CUS-500362</t>
  </si>
  <si>
    <t>DINS-POL-200362</t>
  </si>
  <si>
    <t>DINS-CLM-100363</t>
  </si>
  <si>
    <t>DINS-CUS-500363</t>
  </si>
  <si>
    <t>DINS-POL-200363</t>
  </si>
  <si>
    <t>DINS-CLM-100364</t>
  </si>
  <si>
    <t>DINS-CUS-500364</t>
  </si>
  <si>
    <t>DINS-POL-200364</t>
  </si>
  <si>
    <t>DINS-CLM-100365</t>
  </si>
  <si>
    <t>DINS-CUS-500365</t>
  </si>
  <si>
    <t>DINS-POL-200365</t>
  </si>
  <si>
    <t>DINS-CLM-100366</t>
  </si>
  <si>
    <t>DINS-CUS-500366</t>
  </si>
  <si>
    <t>DINS-POL-200366</t>
  </si>
  <si>
    <t>DINS-CLM-100367</t>
  </si>
  <si>
    <t>DINS-CUS-500367</t>
  </si>
  <si>
    <t>DINS-POL-200367</t>
  </si>
  <si>
    <t>DINS-CLM-100368</t>
  </si>
  <si>
    <t>DINS-CUS-500368</t>
  </si>
  <si>
    <t>DINS-POL-200368</t>
  </si>
  <si>
    <t>DINS-CLM-100369</t>
  </si>
  <si>
    <t>DINS-CUS-500369</t>
  </si>
  <si>
    <t>DINS-POL-200369</t>
  </si>
  <si>
    <t>DINS-CLM-100370</t>
  </si>
  <si>
    <t>DINS-CUS-500370</t>
  </si>
  <si>
    <t>DINS-POL-200370</t>
  </si>
  <si>
    <t>DINS-CLM-100371</t>
  </si>
  <si>
    <t>DINS-CUS-500371</t>
  </si>
  <si>
    <t>DINS-POL-200371</t>
  </si>
  <si>
    <t>DINS-CLM-100372</t>
  </si>
  <si>
    <t>DINS-CUS-500372</t>
  </si>
  <si>
    <t>DINS-POL-200372</t>
  </si>
  <si>
    <t>DINS-CLM-100373</t>
  </si>
  <si>
    <t>DINS-CUS-500373</t>
  </si>
  <si>
    <t>DINS-POL-200373</t>
  </si>
  <si>
    <t>DINS-CLM-100374</t>
  </si>
  <si>
    <t>DINS-CUS-500374</t>
  </si>
  <si>
    <t>DINS-POL-200374</t>
  </si>
  <si>
    <t>DINS-CLM-100375</t>
  </si>
  <si>
    <t>DINS-CUS-500375</t>
  </si>
  <si>
    <t>DINS-POL-200375</t>
  </si>
  <si>
    <t>DINS-CLM-100376</t>
  </si>
  <si>
    <t>DINS-CUS-500376</t>
  </si>
  <si>
    <t>DINS-POL-200376</t>
  </si>
  <si>
    <t>DINS-CLM-100377</t>
  </si>
  <si>
    <t>DINS-CUS-500377</t>
  </si>
  <si>
    <t>DINS-POL-200377</t>
  </si>
  <si>
    <t>DINS-CLM-100378</t>
  </si>
  <si>
    <t>DINS-CUS-500378</t>
  </si>
  <si>
    <t>DINS-POL-200378</t>
  </si>
  <si>
    <t>DINS-CLM-100379</t>
  </si>
  <si>
    <t>DINS-CUS-500379</t>
  </si>
  <si>
    <t>DINS-POL-200379</t>
  </si>
  <si>
    <t>DINS-CLM-100380</t>
  </si>
  <si>
    <t>DINS-CUS-500380</t>
  </si>
  <si>
    <t>DINS-POL-200380</t>
  </si>
  <si>
    <t>DINS-CLM-100381</t>
  </si>
  <si>
    <t>DINS-CUS-500381</t>
  </si>
  <si>
    <t>DINS-POL-200381</t>
  </si>
  <si>
    <t>DINS-CLM-100382</t>
  </si>
  <si>
    <t>DINS-CUS-500382</t>
  </si>
  <si>
    <t>DINS-POL-200382</t>
  </si>
  <si>
    <t>DINS-CLM-100383</t>
  </si>
  <si>
    <t>DINS-CUS-500383</t>
  </si>
  <si>
    <t>DINS-POL-200383</t>
  </si>
  <si>
    <t>DINS-CLM-100384</t>
  </si>
  <si>
    <t>DINS-CUS-500384</t>
  </si>
  <si>
    <t>DINS-POL-200384</t>
  </si>
  <si>
    <t>DINS-CLM-100385</t>
  </si>
  <si>
    <t>DINS-CUS-500385</t>
  </si>
  <si>
    <t>DINS-POL-200385</t>
  </si>
  <si>
    <t>DINS-CLM-100386</t>
  </si>
  <si>
    <t>DINS-CUS-500386</t>
  </si>
  <si>
    <t>DINS-POL-200386</t>
  </si>
  <si>
    <t>DINS-CLM-100387</t>
  </si>
  <si>
    <t>DINS-CUS-500387</t>
  </si>
  <si>
    <t>DINS-POL-200387</t>
  </si>
  <si>
    <t>DINS-CLM-100388</t>
  </si>
  <si>
    <t>DINS-CUS-500388</t>
  </si>
  <si>
    <t>DINS-POL-200388</t>
  </si>
  <si>
    <t>DINS-CLM-100389</t>
  </si>
  <si>
    <t>DINS-CUS-500389</t>
  </si>
  <si>
    <t>DINS-POL-200389</t>
  </si>
  <si>
    <t>DINS-CLM-100390</t>
  </si>
  <si>
    <t>DINS-CUS-500390</t>
  </si>
  <si>
    <t>DINS-POL-200390</t>
  </si>
  <si>
    <t>DINS-CLM-100391</t>
  </si>
  <si>
    <t>DINS-CUS-500391</t>
  </si>
  <si>
    <t>DINS-POL-200391</t>
  </si>
  <si>
    <t>DINS-CLM-100392</t>
  </si>
  <si>
    <t>DINS-CUS-500392</t>
  </si>
  <si>
    <t>DINS-POL-200392</t>
  </si>
  <si>
    <t>DINS-CLM-100393</t>
  </si>
  <si>
    <t>DINS-CUS-500393</t>
  </si>
  <si>
    <t>DINS-POL-200393</t>
  </si>
  <si>
    <t>DINS-CLM-100394</t>
  </si>
  <si>
    <t>DINS-CUS-500394</t>
  </si>
  <si>
    <t>DINS-POL-200394</t>
  </si>
  <si>
    <t>DINS-CLM-100395</t>
  </si>
  <si>
    <t>DINS-CUS-500395</t>
  </si>
  <si>
    <t>DINS-POL-200395</t>
  </si>
  <si>
    <t>DINS-CLM-100396</t>
  </si>
  <si>
    <t>DINS-CUS-500396</t>
  </si>
  <si>
    <t>DINS-POL-200396</t>
  </si>
  <si>
    <t>DINS-CLM-100397</t>
  </si>
  <si>
    <t>DINS-CUS-500397</t>
  </si>
  <si>
    <t>DINS-POL-200397</t>
  </si>
  <si>
    <t>DINS-CLM-100398</t>
  </si>
  <si>
    <t>DINS-CUS-500398</t>
  </si>
  <si>
    <t>DINS-POL-200398</t>
  </si>
  <si>
    <t>DINS-CLM-100399</t>
  </si>
  <si>
    <t>DINS-CUS-500399</t>
  </si>
  <si>
    <t>DINS-POL-200399</t>
  </si>
  <si>
    <t>DINS-CLM-100400</t>
  </si>
  <si>
    <t>DINS-CUS-500400</t>
  </si>
  <si>
    <t>DINS-POL-200400</t>
  </si>
  <si>
    <t>DINS-CLM-100401</t>
  </si>
  <si>
    <t>DINS-CUS-500401</t>
  </si>
  <si>
    <t>DINS-POL-200401</t>
  </si>
  <si>
    <t>DINS-CLM-100402</t>
  </si>
  <si>
    <t>DINS-CUS-500402</t>
  </si>
  <si>
    <t>DINS-POL-200402</t>
  </si>
  <si>
    <t>DINS-CLM-100403</t>
  </si>
  <si>
    <t>DINS-CUS-500403</t>
  </si>
  <si>
    <t>DINS-POL-200403</t>
  </si>
  <si>
    <t>DINS-CLM-100404</t>
  </si>
  <si>
    <t>DINS-CUS-500404</t>
  </si>
  <si>
    <t>DINS-POL-200404</t>
  </si>
  <si>
    <t>DINS-CLM-100405</t>
  </si>
  <si>
    <t>DINS-CUS-500405</t>
  </si>
  <si>
    <t>DINS-POL-200405</t>
  </si>
  <si>
    <t>DINS-CLM-100406</t>
  </si>
  <si>
    <t>DINS-CUS-500406</t>
  </si>
  <si>
    <t>DINS-POL-200406</t>
  </si>
  <si>
    <t>DINS-CLM-100407</t>
  </si>
  <si>
    <t>DINS-CUS-500407</t>
  </si>
  <si>
    <t>DINS-POL-200407</t>
  </si>
  <si>
    <t>DINS-CLM-100408</t>
  </si>
  <si>
    <t>DINS-CUS-500408</t>
  </si>
  <si>
    <t>DINS-POL-200408</t>
  </si>
  <si>
    <t>DINS-CLM-100409</t>
  </si>
  <si>
    <t>DINS-CUS-500409</t>
  </si>
  <si>
    <t>DINS-POL-200409</t>
  </si>
  <si>
    <t>DINS-CLM-100410</t>
  </si>
  <si>
    <t>DINS-CUS-500410</t>
  </si>
  <si>
    <t>DINS-POL-200410</t>
  </si>
  <si>
    <t>DINS-CLM-100411</t>
  </si>
  <si>
    <t>DINS-CUS-500411</t>
  </si>
  <si>
    <t>DINS-POL-200411</t>
  </si>
  <si>
    <t>DINS-CLM-100412</t>
  </si>
  <si>
    <t>DINS-CUS-500412</t>
  </si>
  <si>
    <t>DINS-POL-200412</t>
  </si>
  <si>
    <t>DINS-CLM-100413</t>
  </si>
  <si>
    <t>DINS-CUS-500413</t>
  </si>
  <si>
    <t>DINS-POL-200413</t>
  </si>
  <si>
    <t>DINS-CLM-100414</t>
  </si>
  <si>
    <t>DINS-CUS-500414</t>
  </si>
  <si>
    <t>DINS-POL-200414</t>
  </si>
  <si>
    <t>DINS-CLM-100415</t>
  </si>
  <si>
    <t>DINS-CUS-500415</t>
  </si>
  <si>
    <t>DINS-POL-200415</t>
  </si>
  <si>
    <t>DINS-CLM-100416</t>
  </si>
  <si>
    <t>DINS-CUS-500416</t>
  </si>
  <si>
    <t>DINS-POL-200416</t>
  </si>
  <si>
    <t>DINS-CLM-100417</t>
  </si>
  <si>
    <t>DINS-CUS-500417</t>
  </si>
  <si>
    <t>DINS-POL-200417</t>
  </si>
  <si>
    <t>DINS-CLM-100418</t>
  </si>
  <si>
    <t>DINS-CUS-500418</t>
  </si>
  <si>
    <t>DINS-POL-200418</t>
  </si>
  <si>
    <t>DINS-CLM-100419</t>
  </si>
  <si>
    <t>DINS-CUS-500419</t>
  </si>
  <si>
    <t>DINS-POL-200419</t>
  </si>
  <si>
    <t>DINS-CLM-100420</t>
  </si>
  <si>
    <t>DINS-CUS-500420</t>
  </si>
  <si>
    <t>DINS-POL-200420</t>
  </si>
  <si>
    <t>DINS-CLM-100421</t>
  </si>
  <si>
    <t>DINS-CUS-500421</t>
  </si>
  <si>
    <t>DINS-POL-200421</t>
  </si>
  <si>
    <t>DINS-CLM-100422</t>
  </si>
  <si>
    <t>DINS-CUS-500422</t>
  </si>
  <si>
    <t>DINS-POL-200422</t>
  </si>
  <si>
    <t>DINS-CLM-100423</t>
  </si>
  <si>
    <t>DINS-CUS-500423</t>
  </si>
  <si>
    <t>DINS-POL-200423</t>
  </si>
  <si>
    <t>DINS-CLM-100424</t>
  </si>
  <si>
    <t>DINS-CUS-500424</t>
  </si>
  <si>
    <t>DINS-POL-200424</t>
  </si>
  <si>
    <t>DINS-CLM-100425</t>
  </si>
  <si>
    <t>DINS-CUS-500425</t>
  </si>
  <si>
    <t>DINS-POL-200425</t>
  </si>
  <si>
    <t>DINS-CLM-100426</t>
  </si>
  <si>
    <t>DINS-CUS-500426</t>
  </si>
  <si>
    <t>DINS-POL-200426</t>
  </si>
  <si>
    <t>DINS-CLM-100427</t>
  </si>
  <si>
    <t>DINS-CUS-500427</t>
  </si>
  <si>
    <t>DINS-POL-200427</t>
  </si>
  <si>
    <t>DINS-CLM-100428</t>
  </si>
  <si>
    <t>DINS-CUS-500428</t>
  </si>
  <si>
    <t>DINS-POL-200428</t>
  </si>
  <si>
    <t>DINS-CLM-100429</t>
  </si>
  <si>
    <t>DINS-CUS-500429</t>
  </si>
  <si>
    <t>DINS-POL-200429</t>
  </si>
  <si>
    <t>DINS-CLM-100430</t>
  </si>
  <si>
    <t>DINS-CUS-500430</t>
  </si>
  <si>
    <t>DINS-POL-200430</t>
  </si>
  <si>
    <t>DINS-CLM-100431</t>
  </si>
  <si>
    <t>DINS-CUS-500431</t>
  </si>
  <si>
    <t>DINS-POL-200431</t>
  </si>
  <si>
    <t>DINS-CLM-100432</t>
  </si>
  <si>
    <t>DINS-CUS-500432</t>
  </si>
  <si>
    <t>DINS-POL-200432</t>
  </si>
  <si>
    <t>DINS-CLM-100433</t>
  </si>
  <si>
    <t>DINS-CUS-500433</t>
  </si>
  <si>
    <t>DINS-POL-200433</t>
  </si>
  <si>
    <t>DINS-CLM-100434</t>
  </si>
  <si>
    <t>DINS-CUS-500434</t>
  </si>
  <si>
    <t>DINS-POL-200434</t>
  </si>
  <si>
    <t>DINS-CLM-100435</t>
  </si>
  <si>
    <t>DINS-CUS-500435</t>
  </si>
  <si>
    <t>DINS-POL-200435</t>
  </si>
  <si>
    <t>DINS-CLM-100436</t>
  </si>
  <si>
    <t>DINS-CUS-500436</t>
  </si>
  <si>
    <t>DINS-POL-200436</t>
  </si>
  <si>
    <t>DINS-CLM-100437</t>
  </si>
  <si>
    <t>DINS-CUS-500437</t>
  </si>
  <si>
    <t>DINS-POL-200437</t>
  </si>
  <si>
    <t>DINS-CLM-100438</t>
  </si>
  <si>
    <t>DINS-CUS-500438</t>
  </si>
  <si>
    <t>DINS-POL-200438</t>
  </si>
  <si>
    <t>DINS-CLM-100439</t>
  </si>
  <si>
    <t>DINS-CUS-500439</t>
  </si>
  <si>
    <t>DINS-POL-200439</t>
  </si>
  <si>
    <t>DINS-CLM-100440</t>
  </si>
  <si>
    <t>DINS-CUS-500440</t>
  </si>
  <si>
    <t>DINS-POL-200440</t>
  </si>
  <si>
    <t>DINS-CLM-100441</t>
  </si>
  <si>
    <t>DINS-CUS-500441</t>
  </si>
  <si>
    <t>DINS-POL-200441</t>
  </si>
  <si>
    <t>DINS-CLM-100442</t>
  </si>
  <si>
    <t>DINS-CUS-500442</t>
  </si>
  <si>
    <t>DINS-POL-200442</t>
  </si>
  <si>
    <t>DINS-CLM-100443</t>
  </si>
  <si>
    <t>DINS-CUS-500443</t>
  </si>
  <si>
    <t>DINS-POL-200443</t>
  </si>
  <si>
    <t>DINS-CLM-100444</t>
  </si>
  <si>
    <t>DINS-CUS-500444</t>
  </si>
  <si>
    <t>DINS-POL-200444</t>
  </si>
  <si>
    <t>DINS-CLM-100445</t>
  </si>
  <si>
    <t>DINS-CUS-500445</t>
  </si>
  <si>
    <t>DINS-POL-200445</t>
  </si>
  <si>
    <t>DINS-CLM-100446</t>
  </si>
  <si>
    <t>DINS-CUS-500446</t>
  </si>
  <si>
    <t>DINS-POL-200446</t>
  </si>
  <si>
    <t>DINS-CLM-100447</t>
  </si>
  <si>
    <t>DINS-CUS-500447</t>
  </si>
  <si>
    <t>DINS-POL-200447</t>
  </si>
  <si>
    <t>DINS-CLM-100448</t>
  </si>
  <si>
    <t>DINS-CUS-500448</t>
  </si>
  <si>
    <t>DINS-POL-200448</t>
  </si>
  <si>
    <t>DINS-CLM-100449</t>
  </si>
  <si>
    <t>DINS-CUS-500449</t>
  </si>
  <si>
    <t>DINS-POL-200449</t>
  </si>
  <si>
    <t>DINS-CLM-100450</t>
  </si>
  <si>
    <t>DINS-CUS-500450</t>
  </si>
  <si>
    <t>DINS-POL-200450</t>
  </si>
  <si>
    <t>DINS-CLM-100451</t>
  </si>
  <si>
    <t>DINS-CUS-500451</t>
  </si>
  <si>
    <t>DINS-POL-200451</t>
  </si>
  <si>
    <t>DINS-CLM-100452</t>
  </si>
  <si>
    <t>DINS-CUS-500452</t>
  </si>
  <si>
    <t>DINS-POL-200452</t>
  </si>
  <si>
    <t>DINS-CLM-100453</t>
  </si>
  <si>
    <t>DINS-CUS-500453</t>
  </si>
  <si>
    <t>DINS-POL-200453</t>
  </si>
  <si>
    <t>DINS-CLM-100454</t>
  </si>
  <si>
    <t>DINS-CUS-500454</t>
  </si>
  <si>
    <t>DINS-POL-200454</t>
  </si>
  <si>
    <t>DINS-CLM-100455</t>
  </si>
  <si>
    <t>DINS-CUS-500455</t>
  </si>
  <si>
    <t>DINS-POL-200455</t>
  </si>
  <si>
    <t>DINS-CLM-100456</t>
  </si>
  <si>
    <t>DINS-CUS-500456</t>
  </si>
  <si>
    <t>DINS-POL-200456</t>
  </si>
  <si>
    <t>DINS-CLM-100457</t>
  </si>
  <si>
    <t>DINS-CUS-500457</t>
  </si>
  <si>
    <t>DINS-POL-200457</t>
  </si>
  <si>
    <t>DINS-CLM-100458</t>
  </si>
  <si>
    <t>DINS-CUS-500458</t>
  </si>
  <si>
    <t>DINS-POL-200458</t>
  </si>
  <si>
    <t>DINS-CLM-100459</t>
  </si>
  <si>
    <t>DINS-CUS-500459</t>
  </si>
  <si>
    <t>DINS-POL-200459</t>
  </si>
  <si>
    <t>DINS-CLM-100460</t>
  </si>
  <si>
    <t>DINS-CUS-500460</t>
  </si>
  <si>
    <t>DINS-POL-200460</t>
  </si>
  <si>
    <t>DINS-CLM-100461</t>
  </si>
  <si>
    <t>DINS-CUS-500461</t>
  </si>
  <si>
    <t>DINS-POL-200461</t>
  </si>
  <si>
    <t>DINS-CLM-100462</t>
  </si>
  <si>
    <t>DINS-CUS-500462</t>
  </si>
  <si>
    <t>DINS-POL-200462</t>
  </si>
  <si>
    <t>DINS-CLM-100463</t>
  </si>
  <si>
    <t>DINS-CUS-500463</t>
  </si>
  <si>
    <t>DINS-POL-200463</t>
  </si>
  <si>
    <t>DINS-CLM-100464</t>
  </si>
  <si>
    <t>DINS-CUS-500464</t>
  </si>
  <si>
    <t>DINS-POL-200464</t>
  </si>
  <si>
    <t>DINS-CLM-100465</t>
  </si>
  <si>
    <t>DINS-CUS-500465</t>
  </si>
  <si>
    <t>DINS-POL-200465</t>
  </si>
  <si>
    <t>DINS-CLM-100466</t>
  </si>
  <si>
    <t>DINS-CUS-500466</t>
  </si>
  <si>
    <t>DINS-POL-200466</t>
  </si>
  <si>
    <t>DINS-CLM-100467</t>
  </si>
  <si>
    <t>DINS-CUS-500467</t>
  </si>
  <si>
    <t>DINS-POL-200467</t>
  </si>
  <si>
    <t>DINS-CLM-100468</t>
  </si>
  <si>
    <t>DINS-CUS-500468</t>
  </si>
  <si>
    <t>DINS-POL-200468</t>
  </si>
  <si>
    <t>DINS-CLM-100469</t>
  </si>
  <si>
    <t>DINS-CUS-500469</t>
  </si>
  <si>
    <t>DINS-POL-200469</t>
  </si>
  <si>
    <t>DINS-CLM-100470</t>
  </si>
  <si>
    <t>DINS-CUS-500470</t>
  </si>
  <si>
    <t>DINS-POL-200470</t>
  </si>
  <si>
    <t>DINS-CLM-100471</t>
  </si>
  <si>
    <t>DINS-CUS-500471</t>
  </si>
  <si>
    <t>DINS-POL-200471</t>
  </si>
  <si>
    <t>DINS-CLM-100472</t>
  </si>
  <si>
    <t>DINS-CUS-500472</t>
  </si>
  <si>
    <t>DINS-POL-200472</t>
  </si>
  <si>
    <t>DINS-CLM-100473</t>
  </si>
  <si>
    <t>DINS-CUS-500473</t>
  </si>
  <si>
    <t>DINS-POL-200473</t>
  </si>
  <si>
    <t>DINS-CLM-100474</t>
  </si>
  <si>
    <t>DINS-CUS-500474</t>
  </si>
  <si>
    <t>DINS-POL-200474</t>
  </si>
  <si>
    <t>DINS-CLM-100475</t>
  </si>
  <si>
    <t>DINS-CUS-500475</t>
  </si>
  <si>
    <t>DINS-POL-200475</t>
  </si>
  <si>
    <t>DINS-CLM-100476</t>
  </si>
  <si>
    <t>DINS-CUS-500476</t>
  </si>
  <si>
    <t>DINS-POL-200476</t>
  </si>
  <si>
    <t>DINS-CLM-100477</t>
  </si>
  <si>
    <t>DINS-CUS-500477</t>
  </si>
  <si>
    <t>DINS-POL-200477</t>
  </si>
  <si>
    <t>DINS-CLM-100478</t>
  </si>
  <si>
    <t>DINS-CUS-500478</t>
  </si>
  <si>
    <t>DINS-POL-200478</t>
  </si>
  <si>
    <t>DINS-CLM-100479</t>
  </si>
  <si>
    <t>DINS-CUS-500479</t>
  </si>
  <si>
    <t>DINS-POL-200479</t>
  </si>
  <si>
    <t>DINS-CLM-100480</t>
  </si>
  <si>
    <t>DINS-CUS-500480</t>
  </si>
  <si>
    <t>DINS-POL-200480</t>
  </si>
  <si>
    <t>DINS-CLM-100481</t>
  </si>
  <si>
    <t>DINS-CUS-500481</t>
  </si>
  <si>
    <t>DINS-POL-200481</t>
  </si>
  <si>
    <t>DINS-CLM-100482</t>
  </si>
  <si>
    <t>DINS-CUS-500482</t>
  </si>
  <si>
    <t>DINS-POL-200482</t>
  </si>
  <si>
    <t>DINS-CLM-100483</t>
  </si>
  <si>
    <t>DINS-CUS-500483</t>
  </si>
  <si>
    <t>DINS-POL-200483</t>
  </si>
  <si>
    <t>DINS-CLM-100484</t>
  </si>
  <si>
    <t>DINS-CUS-500484</t>
  </si>
  <si>
    <t>DINS-POL-200484</t>
  </si>
  <si>
    <t>DINS-CLM-100485</t>
  </si>
  <si>
    <t>DINS-CUS-500485</t>
  </si>
  <si>
    <t>DINS-POL-200485</t>
  </si>
  <si>
    <t>DINS-CLM-100486</t>
  </si>
  <si>
    <t>DINS-CUS-500486</t>
  </si>
  <si>
    <t>DINS-POL-200486</t>
  </si>
  <si>
    <t>DINS-CLM-100487</t>
  </si>
  <si>
    <t>DINS-CUS-500487</t>
  </si>
  <si>
    <t>DINS-POL-200487</t>
  </si>
  <si>
    <t>DINS-CLM-100488</t>
  </si>
  <si>
    <t>DINS-CUS-500488</t>
  </si>
  <si>
    <t>DINS-POL-200488</t>
  </si>
  <si>
    <t>DINS-CLM-100489</t>
  </si>
  <si>
    <t>DINS-CUS-500489</t>
  </si>
  <si>
    <t>DINS-POL-200489</t>
  </si>
  <si>
    <t>DINS-CLM-100490</t>
  </si>
  <si>
    <t>DINS-CUS-500490</t>
  </si>
  <si>
    <t>DINS-POL-200490</t>
  </si>
  <si>
    <t>DINS-CLM-100491</t>
  </si>
  <si>
    <t>DINS-CUS-500491</t>
  </si>
  <si>
    <t>DINS-POL-200491</t>
  </si>
  <si>
    <t>DINS-CLM-100492</t>
  </si>
  <si>
    <t>DINS-CUS-500492</t>
  </si>
  <si>
    <t>DINS-POL-200492</t>
  </si>
  <si>
    <t>DINS-CLM-100493</t>
  </si>
  <si>
    <t>DINS-CUS-500493</t>
  </si>
  <si>
    <t>DINS-POL-200493</t>
  </si>
  <si>
    <t>DINS-CLM-100494</t>
  </si>
  <si>
    <t>DINS-CUS-500494</t>
  </si>
  <si>
    <t>DINS-POL-200494</t>
  </si>
  <si>
    <t>DINS-CLM-100495</t>
  </si>
  <si>
    <t>DINS-CUS-500495</t>
  </si>
  <si>
    <t>DINS-POL-200495</t>
  </si>
  <si>
    <t>DINS-CLM-100496</t>
  </si>
  <si>
    <t>DINS-CUS-500496</t>
  </si>
  <si>
    <t>DINS-POL-200496</t>
  </si>
  <si>
    <t>DINS-CLM-100497</t>
  </si>
  <si>
    <t>DINS-CUS-500497</t>
  </si>
  <si>
    <t>DINS-POL-200497</t>
  </si>
  <si>
    <t>DINS-CLM-100498</t>
  </si>
  <si>
    <t>DINS-CUS-500498</t>
  </si>
  <si>
    <t>DINS-POL-200498</t>
  </si>
  <si>
    <t>DINS-CLM-100499</t>
  </si>
  <si>
    <t>DINS-CUS-500499</t>
  </si>
  <si>
    <t>DINS-POL-200499</t>
  </si>
  <si>
    <t>DINS-CLM-100500</t>
  </si>
  <si>
    <t>DINS-CUS-500500</t>
  </si>
  <si>
    <t>DINS-POL-200500</t>
  </si>
  <si>
    <t>DINS-CLM-100501</t>
  </si>
  <si>
    <t>DINS-CUS-500501</t>
  </si>
  <si>
    <t>DINS-POL-200501</t>
  </si>
  <si>
    <t>DINS-CLM-100502</t>
  </si>
  <si>
    <t>DINS-CUS-500502</t>
  </si>
  <si>
    <t>DINS-POL-200502</t>
  </si>
  <si>
    <t>DINS-CLM-100503</t>
  </si>
  <si>
    <t>DINS-CUS-500503</t>
  </si>
  <si>
    <t>DINS-POL-200503</t>
  </si>
  <si>
    <t>DINS-CLM-100504</t>
  </si>
  <si>
    <t>DINS-CUS-500504</t>
  </si>
  <si>
    <t>DINS-POL-200504</t>
  </si>
  <si>
    <t>DINS-CLM-100505</t>
  </si>
  <si>
    <t>DINS-CUS-500505</t>
  </si>
  <si>
    <t>DINS-POL-200505</t>
  </si>
  <si>
    <t>DINS-CLM-100506</t>
  </si>
  <si>
    <t>DINS-CUS-500506</t>
  </si>
  <si>
    <t>DINS-POL-200506</t>
  </si>
  <si>
    <t>DINS-CLM-100507</t>
  </si>
  <si>
    <t>DINS-CUS-500507</t>
  </si>
  <si>
    <t>DINS-POL-200507</t>
  </si>
  <si>
    <t>DINS-CLM-100508</t>
  </si>
  <si>
    <t>DINS-CUS-500508</t>
  </si>
  <si>
    <t>DINS-POL-200508</t>
  </si>
  <si>
    <t>DINS-CLM-100509</t>
  </si>
  <si>
    <t>DINS-CUS-500509</t>
  </si>
  <si>
    <t>DINS-POL-200509</t>
  </si>
  <si>
    <t>DINS-CLM-100510</t>
  </si>
  <si>
    <t>DINS-CUS-500510</t>
  </si>
  <si>
    <t>DINS-POL-200510</t>
  </si>
  <si>
    <t>DINS-CLM-100511</t>
  </si>
  <si>
    <t>DINS-CUS-500511</t>
  </si>
  <si>
    <t>DINS-POL-200511</t>
  </si>
  <si>
    <t>DINS-CLM-100512</t>
  </si>
  <si>
    <t>DINS-CUS-500512</t>
  </si>
  <si>
    <t>DINS-POL-200512</t>
  </si>
  <si>
    <t>DINS-CLM-100513</t>
  </si>
  <si>
    <t>DINS-CUS-500513</t>
  </si>
  <si>
    <t>DINS-POL-200513</t>
  </si>
  <si>
    <t>DINS-CLM-100514</t>
  </si>
  <si>
    <t>DINS-CUS-500514</t>
  </si>
  <si>
    <t>DINS-POL-200514</t>
  </si>
  <si>
    <t>DINS-CLM-100515</t>
  </si>
  <si>
    <t>DINS-CUS-500515</t>
  </si>
  <si>
    <t>DINS-POL-200515</t>
  </si>
  <si>
    <t>DINS-CLM-100516</t>
  </si>
  <si>
    <t>DINS-CUS-500516</t>
  </si>
  <si>
    <t>DINS-POL-200516</t>
  </si>
  <si>
    <t>DINS-CLM-100517</t>
  </si>
  <si>
    <t>DINS-CUS-500517</t>
  </si>
  <si>
    <t>DINS-POL-200517</t>
  </si>
  <si>
    <t>DINS-CLM-100518</t>
  </si>
  <si>
    <t>DINS-CUS-500518</t>
  </si>
  <si>
    <t>DINS-POL-200518</t>
  </si>
  <si>
    <t>DINS-CLM-100519</t>
  </si>
  <si>
    <t>DINS-CUS-500519</t>
  </si>
  <si>
    <t>DINS-POL-200519</t>
  </si>
  <si>
    <t>DINS-CLM-100520</t>
  </si>
  <si>
    <t>DINS-CUS-500520</t>
  </si>
  <si>
    <t>DINS-POL-200520</t>
  </si>
  <si>
    <t>DINS-CLM-100521</t>
  </si>
  <si>
    <t>DINS-CUS-500521</t>
  </si>
  <si>
    <t>DINS-POL-200521</t>
  </si>
  <si>
    <t>DINS-CLM-100522</t>
  </si>
  <si>
    <t>DINS-CUS-500522</t>
  </si>
  <si>
    <t>DINS-POL-200522</t>
  </si>
  <si>
    <t>DINS-CLM-100523</t>
  </si>
  <si>
    <t>DINS-CUS-500523</t>
  </si>
  <si>
    <t>DINS-POL-200523</t>
  </si>
  <si>
    <t>DINS-CLM-100524</t>
  </si>
  <si>
    <t>DINS-CUS-500524</t>
  </si>
  <si>
    <t>DINS-POL-200524</t>
  </si>
  <si>
    <t>DINS-CLM-100525</t>
  </si>
  <si>
    <t>DINS-CUS-500525</t>
  </si>
  <si>
    <t>DINS-POL-200525</t>
  </si>
  <si>
    <t>DINS-CLM-100526</t>
  </si>
  <si>
    <t>DINS-CUS-500526</t>
  </si>
  <si>
    <t>DINS-POL-200526</t>
  </si>
  <si>
    <t>DINS-CLM-100527</t>
  </si>
  <si>
    <t>DINS-CUS-500527</t>
  </si>
  <si>
    <t>DINS-POL-200527</t>
  </si>
  <si>
    <t>DINS-CLM-100528</t>
  </si>
  <si>
    <t>DINS-CUS-500528</t>
  </si>
  <si>
    <t>DINS-POL-200528</t>
  </si>
  <si>
    <t>DINS-CLM-100529</t>
  </si>
  <si>
    <t>DINS-CUS-500529</t>
  </si>
  <si>
    <t>DINS-POL-200529</t>
  </si>
  <si>
    <t>DINS-CLM-100530</t>
  </si>
  <si>
    <t>DINS-CUS-500530</t>
  </si>
  <si>
    <t>DINS-POL-200530</t>
  </si>
  <si>
    <t>DINS-CLM-100531</t>
  </si>
  <si>
    <t>DINS-CUS-500531</t>
  </si>
  <si>
    <t>DINS-POL-200531</t>
  </si>
  <si>
    <t>DINS-CLM-100532</t>
  </si>
  <si>
    <t>DINS-CUS-500532</t>
  </si>
  <si>
    <t>DINS-POL-200532</t>
  </si>
  <si>
    <t>DINS-CLM-100533</t>
  </si>
  <si>
    <t>DINS-CUS-500533</t>
  </si>
  <si>
    <t>DINS-POL-200533</t>
  </si>
  <si>
    <t>DINS-CLM-100534</t>
  </si>
  <si>
    <t>DINS-CUS-500534</t>
  </si>
  <si>
    <t>DINS-POL-200534</t>
  </si>
  <si>
    <t>DINS-CLM-100535</t>
  </si>
  <si>
    <t>DINS-CUS-500535</t>
  </si>
  <si>
    <t>DINS-POL-200535</t>
  </si>
  <si>
    <t>DINS-CLM-100536</t>
  </si>
  <si>
    <t>DINS-CUS-500536</t>
  </si>
  <si>
    <t>DINS-POL-200536</t>
  </si>
  <si>
    <t>DINS-CLM-100537</t>
  </si>
  <si>
    <t>DINS-CUS-500537</t>
  </si>
  <si>
    <t>DINS-POL-200537</t>
  </si>
  <si>
    <t>DINS-CLM-100538</t>
  </si>
  <si>
    <t>DINS-CUS-500538</t>
  </si>
  <si>
    <t>DINS-POL-200538</t>
  </si>
  <si>
    <t>DINS-CLM-100539</t>
  </si>
  <si>
    <t>DINS-CUS-500539</t>
  </si>
  <si>
    <t>DINS-POL-200539</t>
  </si>
  <si>
    <t>DINS-CLM-100540</t>
  </si>
  <si>
    <t>DINS-CUS-500540</t>
  </si>
  <si>
    <t>DINS-POL-200540</t>
  </si>
  <si>
    <t>DINS-CLM-100541</t>
  </si>
  <si>
    <t>DINS-CUS-500541</t>
  </si>
  <si>
    <t>DINS-POL-200541</t>
  </si>
  <si>
    <t>DINS-CLM-100542</t>
  </si>
  <si>
    <t>DINS-CUS-500542</t>
  </si>
  <si>
    <t>DINS-POL-200542</t>
  </si>
  <si>
    <t>DINS-CLM-100543</t>
  </si>
  <si>
    <t>DINS-CUS-500543</t>
  </si>
  <si>
    <t>DINS-POL-200543</t>
  </si>
  <si>
    <t>DINS-CLM-100544</t>
  </si>
  <si>
    <t>DINS-CUS-500544</t>
  </si>
  <si>
    <t>DINS-POL-200544</t>
  </si>
  <si>
    <t>DINS-CLM-100545</t>
  </si>
  <si>
    <t>DINS-CUS-500545</t>
  </si>
  <si>
    <t>DINS-POL-200545</t>
  </si>
  <si>
    <t>DINS-CLM-100546</t>
  </si>
  <si>
    <t>DINS-CUS-500546</t>
  </si>
  <si>
    <t>DINS-POL-200546</t>
  </si>
  <si>
    <t>DINS-CLM-100547</t>
  </si>
  <si>
    <t>DINS-CUS-500547</t>
  </si>
  <si>
    <t>DINS-POL-200547</t>
  </si>
  <si>
    <t>DINS-CLM-100548</t>
  </si>
  <si>
    <t>DINS-CUS-500548</t>
  </si>
  <si>
    <t>DINS-POL-200548</t>
  </si>
  <si>
    <t>DINS-CLM-100549</t>
  </si>
  <si>
    <t>DINS-CUS-500549</t>
  </si>
  <si>
    <t>DINS-POL-200549</t>
  </si>
  <si>
    <t>DINS-CLM-100550</t>
  </si>
  <si>
    <t>DINS-CUS-500550</t>
  </si>
  <si>
    <t>DINS-POL-200550</t>
  </si>
  <si>
    <t>DINS-CLM-100551</t>
  </si>
  <si>
    <t>DINS-CUS-500551</t>
  </si>
  <si>
    <t>DINS-POL-200551</t>
  </si>
  <si>
    <t>DINS-CLM-100552</t>
  </si>
  <si>
    <t>DINS-CUS-500552</t>
  </si>
  <si>
    <t>DINS-POL-200552</t>
  </si>
  <si>
    <t>DINS-CLM-100553</t>
  </si>
  <si>
    <t>DINS-CUS-500553</t>
  </si>
  <si>
    <t>DINS-POL-200553</t>
  </si>
  <si>
    <t>DINS-CLM-100554</t>
  </si>
  <si>
    <t>DINS-CUS-500554</t>
  </si>
  <si>
    <t>DINS-POL-200554</t>
  </si>
  <si>
    <t>DINS-CLM-100555</t>
  </si>
  <si>
    <t>DINS-CUS-500555</t>
  </si>
  <si>
    <t>DINS-POL-200555</t>
  </si>
  <si>
    <t>DINS-CLM-100556</t>
  </si>
  <si>
    <t>DINS-CUS-500556</t>
  </si>
  <si>
    <t>DINS-POL-200556</t>
  </si>
  <si>
    <t>DINS-CLM-100557</t>
  </si>
  <si>
    <t>DINS-CUS-500557</t>
  </si>
  <si>
    <t>DINS-POL-200557</t>
  </si>
  <si>
    <t>DINS-CLM-100558</t>
  </si>
  <si>
    <t>DINS-CUS-500558</t>
  </si>
  <si>
    <t>DINS-POL-200558</t>
  </si>
  <si>
    <t>DINS-CLM-100559</t>
  </si>
  <si>
    <t>DINS-CUS-500559</t>
  </si>
  <si>
    <t>DINS-POL-200559</t>
  </si>
  <si>
    <t>DINS-CLM-100560</t>
  </si>
  <si>
    <t>DINS-CUS-500560</t>
  </si>
  <si>
    <t>DINS-POL-200560</t>
  </si>
  <si>
    <t>DINS-CLM-100561</t>
  </si>
  <si>
    <t>DINS-CUS-500561</t>
  </si>
  <si>
    <t>DINS-POL-200561</t>
  </si>
  <si>
    <t>DINS-CLM-100562</t>
  </si>
  <si>
    <t>DINS-CUS-500562</t>
  </si>
  <si>
    <t>DINS-POL-200562</t>
  </si>
  <si>
    <t>DINS-CLM-100563</t>
  </si>
  <si>
    <t>DINS-CUS-500563</t>
  </si>
  <si>
    <t>DINS-POL-200563</t>
  </si>
  <si>
    <t>DINS-CLM-100564</t>
  </si>
  <si>
    <t>DINS-CUS-500564</t>
  </si>
  <si>
    <t>DINS-POL-200564</t>
  </si>
  <si>
    <t>DINS-CLM-100565</t>
  </si>
  <si>
    <t>DINS-CUS-500565</t>
  </si>
  <si>
    <t>DINS-POL-200565</t>
  </si>
  <si>
    <t>DINS-CLM-100566</t>
  </si>
  <si>
    <t>DINS-CUS-500566</t>
  </si>
  <si>
    <t>DINS-POL-200566</t>
  </si>
  <si>
    <t>DINS-CLM-100567</t>
  </si>
  <si>
    <t>DINS-CUS-500567</t>
  </si>
  <si>
    <t>DINS-POL-200567</t>
  </si>
  <si>
    <t>DINS-CLM-100568</t>
  </si>
  <si>
    <t>DINS-CUS-500568</t>
  </si>
  <si>
    <t>DINS-POL-200568</t>
  </si>
  <si>
    <t>DINS-CLM-100569</t>
  </si>
  <si>
    <t>DINS-CUS-500569</t>
  </si>
  <si>
    <t>DINS-POL-200569</t>
  </si>
  <si>
    <t>DINS-CLM-100570</t>
  </si>
  <si>
    <t>DINS-CUS-500570</t>
  </si>
  <si>
    <t>DINS-POL-200570</t>
  </si>
  <si>
    <t>DINS-CLM-100571</t>
  </si>
  <si>
    <t>DINS-CUS-500571</t>
  </si>
  <si>
    <t>DINS-POL-200571</t>
  </si>
  <si>
    <t>DINS-CLM-100572</t>
  </si>
  <si>
    <t>DINS-CUS-500572</t>
  </si>
  <si>
    <t>DINS-POL-200572</t>
  </si>
  <si>
    <t>DINS-CLM-100573</t>
  </si>
  <si>
    <t>DINS-CUS-500573</t>
  </si>
  <si>
    <t>DINS-POL-200573</t>
  </si>
  <si>
    <t>DINS-CLM-100574</t>
  </si>
  <si>
    <t>DINS-CUS-500574</t>
  </si>
  <si>
    <t>DINS-POL-200574</t>
  </si>
  <si>
    <t>DINS-CLM-100575</t>
  </si>
  <si>
    <t>DINS-CUS-500575</t>
  </si>
  <si>
    <t>DINS-POL-200575</t>
  </si>
  <si>
    <t>DINS-CLM-100576</t>
  </si>
  <si>
    <t>DINS-CUS-500576</t>
  </si>
  <si>
    <t>DINS-POL-200576</t>
  </si>
  <si>
    <t>DINS-CLM-100577</t>
  </si>
  <si>
    <t>DINS-CUS-500577</t>
  </si>
  <si>
    <t>DINS-POL-200577</t>
  </si>
  <si>
    <t>DINS-CLM-100578</t>
  </si>
  <si>
    <t>DINS-CUS-500578</t>
  </si>
  <si>
    <t>DINS-POL-200578</t>
  </si>
  <si>
    <t>DINS-CLM-100579</t>
  </si>
  <si>
    <t>DINS-CUS-500579</t>
  </si>
  <si>
    <t>DINS-POL-200579</t>
  </si>
  <si>
    <t>DINS-CLM-100580</t>
  </si>
  <si>
    <t>DINS-CUS-500580</t>
  </si>
  <si>
    <t>DINS-POL-200580</t>
  </si>
  <si>
    <t>DINS-CLM-100581</t>
  </si>
  <si>
    <t>DINS-CUS-500581</t>
  </si>
  <si>
    <t>DINS-POL-200581</t>
  </si>
  <si>
    <t>DINS-CLM-100582</t>
  </si>
  <si>
    <t>DINS-CUS-500582</t>
  </si>
  <si>
    <t>DINS-POL-200582</t>
  </si>
  <si>
    <t>DINS-CLM-100583</t>
  </si>
  <si>
    <t>DINS-CUS-500583</t>
  </si>
  <si>
    <t>DINS-POL-200583</t>
  </si>
  <si>
    <t>DINS-CLM-100584</t>
  </si>
  <si>
    <t>DINS-CUS-500584</t>
  </si>
  <si>
    <t>DINS-POL-200584</t>
  </si>
  <si>
    <t>DINS-CLM-100585</t>
  </si>
  <si>
    <t>DINS-CUS-500585</t>
  </si>
  <si>
    <t>DINS-POL-200585</t>
  </si>
  <si>
    <t>DINS-CLM-100586</t>
  </si>
  <si>
    <t>DINS-CUS-500586</t>
  </si>
  <si>
    <t>DINS-POL-200586</t>
  </si>
  <si>
    <t>DINS-CLM-100587</t>
  </si>
  <si>
    <t>DINS-CUS-500587</t>
  </si>
  <si>
    <t>DINS-POL-200587</t>
  </si>
  <si>
    <t>DINS-CLM-100588</t>
  </si>
  <si>
    <t>DINS-CUS-500588</t>
  </si>
  <si>
    <t>DINS-POL-200588</t>
  </si>
  <si>
    <t>DINS-CLM-100589</t>
  </si>
  <si>
    <t>DINS-CUS-500589</t>
  </si>
  <si>
    <t>DINS-POL-200589</t>
  </si>
  <si>
    <t>DINS-CLM-100590</t>
  </si>
  <si>
    <t>DINS-CUS-500590</t>
  </si>
  <si>
    <t>DINS-POL-200590</t>
  </si>
  <si>
    <t>DINS-CLM-100591</t>
  </si>
  <si>
    <t>DINS-CUS-500591</t>
  </si>
  <si>
    <t>DINS-POL-200591</t>
  </si>
  <si>
    <t>DINS-CLM-100592</t>
  </si>
  <si>
    <t>DINS-CUS-500592</t>
  </si>
  <si>
    <t>DINS-POL-200592</t>
  </si>
  <si>
    <t>DINS-CLM-100593</t>
  </si>
  <si>
    <t>DINS-CUS-500593</t>
  </si>
  <si>
    <t>DINS-POL-200593</t>
  </si>
  <si>
    <t>DINS-CLM-100594</t>
  </si>
  <si>
    <t>DINS-CUS-500594</t>
  </si>
  <si>
    <t>DINS-POL-200594</t>
  </si>
  <si>
    <t>DINS-CLM-100595</t>
  </si>
  <si>
    <t>DINS-CUS-500595</t>
  </si>
  <si>
    <t>DINS-POL-200595</t>
  </si>
  <si>
    <t>DINS-CLM-100596</t>
  </si>
  <si>
    <t>DINS-CUS-500596</t>
  </si>
  <si>
    <t>DINS-POL-200596</t>
  </si>
  <si>
    <t>DINS-CLM-100597</t>
  </si>
  <si>
    <t>DINS-CUS-500597</t>
  </si>
  <si>
    <t>DINS-POL-200597</t>
  </si>
  <si>
    <t>DINS-CLM-100598</t>
  </si>
  <si>
    <t>DINS-CUS-500598</t>
  </si>
  <si>
    <t>DINS-POL-200598</t>
  </si>
  <si>
    <t>DINS-CLM-100599</t>
  </si>
  <si>
    <t>DINS-CUS-500599</t>
  </si>
  <si>
    <t>DINS-POL-200599</t>
  </si>
  <si>
    <t>DINS-CLM-100600</t>
  </si>
  <si>
    <t>DINS-CUS-500600</t>
  </si>
  <si>
    <t>DINS-POL-200600</t>
  </si>
  <si>
    <t>DINS-CLM-100601</t>
  </si>
  <si>
    <t>DINS-CUS-500601</t>
  </si>
  <si>
    <t>DINS-POL-200601</t>
  </si>
  <si>
    <t>DINS-CLM-100602</t>
  </si>
  <si>
    <t>DINS-CUS-500602</t>
  </si>
  <si>
    <t>DINS-POL-200602</t>
  </si>
  <si>
    <t>DINS-CLM-100603</t>
  </si>
  <si>
    <t>DINS-CUS-500603</t>
  </si>
  <si>
    <t>DINS-POL-200603</t>
  </si>
  <si>
    <t>DINS-CLM-100604</t>
  </si>
  <si>
    <t>DINS-CUS-500604</t>
  </si>
  <si>
    <t>DINS-POL-200604</t>
  </si>
  <si>
    <t>DINS-CLM-100605</t>
  </si>
  <si>
    <t>DINS-CUS-500605</t>
  </si>
  <si>
    <t>DINS-POL-200605</t>
  </si>
  <si>
    <t>DINS-CLM-100606</t>
  </si>
  <si>
    <t>DINS-CUS-500606</t>
  </si>
  <si>
    <t>DINS-POL-200606</t>
  </si>
  <si>
    <t>DINS-CLM-100607</t>
  </si>
  <si>
    <t>DINS-CUS-500607</t>
  </si>
  <si>
    <t>DINS-POL-200607</t>
  </si>
  <si>
    <t>DINS-CLM-100608</t>
  </si>
  <si>
    <t>DINS-CUS-500608</t>
  </si>
  <si>
    <t>DINS-POL-200608</t>
  </si>
  <si>
    <t>DINS-CLM-100609</t>
  </si>
  <si>
    <t>DINS-CUS-500609</t>
  </si>
  <si>
    <t>DINS-POL-200609</t>
  </si>
  <si>
    <t>DINS-CLM-100610</t>
  </si>
  <si>
    <t>DINS-CUS-500610</t>
  </si>
  <si>
    <t>DINS-POL-200610</t>
  </si>
  <si>
    <t>DINS-CLM-100611</t>
  </si>
  <si>
    <t>DINS-CUS-500611</t>
  </si>
  <si>
    <t>DINS-POL-200611</t>
  </si>
  <si>
    <t>DINS-CLM-100612</t>
  </si>
  <si>
    <t>DINS-CUS-500612</t>
  </si>
  <si>
    <t>DINS-POL-200612</t>
  </si>
  <si>
    <t>DINS-CLM-100613</t>
  </si>
  <si>
    <t>DINS-CUS-500613</t>
  </si>
  <si>
    <t>DINS-POL-200613</t>
  </si>
  <si>
    <t>DINS-CLM-100614</t>
  </si>
  <si>
    <t>DINS-CUS-500614</t>
  </si>
  <si>
    <t>DINS-POL-200614</t>
  </si>
  <si>
    <t>DINS-CLM-100615</t>
  </si>
  <si>
    <t>DINS-CUS-500615</t>
  </si>
  <si>
    <t>DINS-POL-200615</t>
  </si>
  <si>
    <t>DINS-CLM-100616</t>
  </si>
  <si>
    <t>DINS-CUS-500616</t>
  </si>
  <si>
    <t>DINS-POL-200616</t>
  </si>
  <si>
    <t>DINS-CLM-100617</t>
  </si>
  <si>
    <t>DINS-CUS-500617</t>
  </si>
  <si>
    <t>DINS-POL-200617</t>
  </si>
  <si>
    <t>DINS-CLM-100618</t>
  </si>
  <si>
    <t>DINS-CUS-500618</t>
  </si>
  <si>
    <t>DINS-POL-200618</t>
  </si>
  <si>
    <t>DINS-CLM-100619</t>
  </si>
  <si>
    <t>DINS-CUS-500619</t>
  </si>
  <si>
    <t>DINS-POL-200619</t>
  </si>
  <si>
    <t>DINS-CLM-100620</t>
  </si>
  <si>
    <t>DINS-CUS-500620</t>
  </si>
  <si>
    <t>DINS-POL-200620</t>
  </si>
  <si>
    <t>DINS-CLM-100621</t>
  </si>
  <si>
    <t>DINS-CUS-500621</t>
  </si>
  <si>
    <t>DINS-POL-200621</t>
  </si>
  <si>
    <t>DINS-CLM-100622</t>
  </si>
  <si>
    <t>DINS-CUS-500622</t>
  </si>
  <si>
    <t>DINS-POL-200622</t>
  </si>
  <si>
    <t>DINS-CLM-100623</t>
  </si>
  <si>
    <t>DINS-CUS-500623</t>
  </si>
  <si>
    <t>DINS-POL-200623</t>
  </si>
  <si>
    <t>DINS-CLM-100624</t>
  </si>
  <si>
    <t>DINS-CUS-500624</t>
  </si>
  <si>
    <t>DINS-POL-200624</t>
  </si>
  <si>
    <t>DINS-CLM-100625</t>
  </si>
  <si>
    <t>DINS-CUS-500625</t>
  </si>
  <si>
    <t>DINS-POL-200625</t>
  </si>
  <si>
    <t>DINS-CLM-100626</t>
  </si>
  <si>
    <t>DINS-CUS-500626</t>
  </si>
  <si>
    <t>DINS-POL-200626</t>
  </si>
  <si>
    <t>DINS-CLM-100627</t>
  </si>
  <si>
    <t>DINS-CUS-500627</t>
  </si>
  <si>
    <t>DINS-POL-200627</t>
  </si>
  <si>
    <t>DINS-CLM-100628</t>
  </si>
  <si>
    <t>DINS-CUS-500628</t>
  </si>
  <si>
    <t>DINS-POL-200628</t>
  </si>
  <si>
    <t>DINS-CLM-100629</t>
  </si>
  <si>
    <t>DINS-CUS-500629</t>
  </si>
  <si>
    <t>DINS-POL-200629</t>
  </si>
  <si>
    <t>DINS-CLM-100630</t>
  </si>
  <si>
    <t>DINS-CUS-500630</t>
  </si>
  <si>
    <t>DINS-POL-200630</t>
  </si>
  <si>
    <t>DINS-CLM-100631</t>
  </si>
  <si>
    <t>DINS-CUS-500631</t>
  </si>
  <si>
    <t>DINS-POL-200631</t>
  </si>
  <si>
    <t>DINS-CLM-100632</t>
  </si>
  <si>
    <t>DINS-CUS-500632</t>
  </si>
  <si>
    <t>DINS-POL-200632</t>
  </si>
  <si>
    <t>DINS-CLM-100633</t>
  </si>
  <si>
    <t>DINS-CUS-500633</t>
  </si>
  <si>
    <t>DINS-POL-200633</t>
  </si>
  <si>
    <t>DINS-CLM-100634</t>
  </si>
  <si>
    <t>DINS-CUS-500634</t>
  </si>
  <si>
    <t>DINS-POL-200634</t>
  </si>
  <si>
    <t>DINS-CLM-100635</t>
  </si>
  <si>
    <t>DINS-CUS-500635</t>
  </si>
  <si>
    <t>DINS-POL-200635</t>
  </si>
  <si>
    <t>DINS-CLM-100636</t>
  </si>
  <si>
    <t>DINS-CUS-500636</t>
  </si>
  <si>
    <t>DINS-POL-200636</t>
  </si>
  <si>
    <t>DINS-CLM-100637</t>
  </si>
  <si>
    <t>DINS-CUS-500637</t>
  </si>
  <si>
    <t>DINS-POL-200637</t>
  </si>
  <si>
    <t>DINS-CLM-100638</t>
  </si>
  <si>
    <t>DINS-CUS-500638</t>
  </si>
  <si>
    <t>DINS-POL-200638</t>
  </si>
  <si>
    <t>DINS-CLM-100639</t>
  </si>
  <si>
    <t>DINS-CUS-500639</t>
  </si>
  <si>
    <t>DINS-POL-200639</t>
  </si>
  <si>
    <t>DINS-CLM-100640</t>
  </si>
  <si>
    <t>DINS-CUS-500640</t>
  </si>
  <si>
    <t>DINS-POL-200640</t>
  </si>
  <si>
    <t>DINS-CLM-100641</t>
  </si>
  <si>
    <t>DINS-CUS-500641</t>
  </si>
  <si>
    <t>DINS-POL-200641</t>
  </si>
  <si>
    <t>DINS-CLM-100642</t>
  </si>
  <si>
    <t>DINS-CUS-500642</t>
  </si>
  <si>
    <t>DINS-POL-200642</t>
  </si>
  <si>
    <t>DINS-CLM-100643</t>
  </si>
  <si>
    <t>DINS-CUS-500643</t>
  </si>
  <si>
    <t>DINS-POL-200643</t>
  </si>
  <si>
    <t>DINS-CLM-100644</t>
  </si>
  <si>
    <t>DINS-CUS-500644</t>
  </si>
  <si>
    <t>DINS-POL-200644</t>
  </si>
  <si>
    <t>DINS-CLM-100645</t>
  </si>
  <si>
    <t>DINS-CUS-500645</t>
  </si>
  <si>
    <t>DINS-POL-200645</t>
  </si>
  <si>
    <t>DINS-CLM-100646</t>
  </si>
  <si>
    <t>DINS-CUS-500646</t>
  </si>
  <si>
    <t>DINS-POL-200646</t>
  </si>
  <si>
    <t>DINS-CLM-100647</t>
  </si>
  <si>
    <t>DINS-CUS-500647</t>
  </si>
  <si>
    <t>DINS-POL-200647</t>
  </si>
  <si>
    <t>DINS-CLM-100648</t>
  </si>
  <si>
    <t>DINS-CUS-500648</t>
  </si>
  <si>
    <t>DINS-POL-200648</t>
  </si>
  <si>
    <t>DINS-CLM-100649</t>
  </si>
  <si>
    <t>DINS-CUS-500649</t>
  </si>
  <si>
    <t>DINS-POL-200649</t>
  </si>
  <si>
    <t>DINS-CLM-100650</t>
  </si>
  <si>
    <t>DINS-CUS-500650</t>
  </si>
  <si>
    <t>DINS-POL-200650</t>
  </si>
  <si>
    <t>DINS-CLM-100651</t>
  </si>
  <si>
    <t>DINS-CUS-500651</t>
  </si>
  <si>
    <t>DINS-POL-200651</t>
  </si>
  <si>
    <t>DINS-CLM-100652</t>
  </si>
  <si>
    <t>DINS-CUS-500652</t>
  </si>
  <si>
    <t>DINS-POL-200652</t>
  </si>
  <si>
    <t>DINS-CLM-100653</t>
  </si>
  <si>
    <t>DINS-CUS-500653</t>
  </si>
  <si>
    <t>DINS-POL-200653</t>
  </si>
  <si>
    <t>DINS-CLM-100654</t>
  </si>
  <si>
    <t>DINS-CUS-500654</t>
  </si>
  <si>
    <t>DINS-POL-200654</t>
  </si>
  <si>
    <t>DINS-CLM-100655</t>
  </si>
  <si>
    <t>DINS-CUS-500655</t>
  </si>
  <si>
    <t>DINS-POL-200655</t>
  </si>
  <si>
    <t>DINS-CLM-100656</t>
  </si>
  <si>
    <t>DINS-CUS-500656</t>
  </si>
  <si>
    <t>DINS-POL-200656</t>
  </si>
  <si>
    <t>DINS-CLM-100657</t>
  </si>
  <si>
    <t>DINS-CUS-500657</t>
  </si>
  <si>
    <t>DINS-POL-200657</t>
  </si>
  <si>
    <t>DINS-CLM-100658</t>
  </si>
  <si>
    <t>DINS-CUS-500658</t>
  </si>
  <si>
    <t>DINS-POL-200658</t>
  </si>
  <si>
    <t>DINS-CLM-100659</t>
  </si>
  <si>
    <t>DINS-CUS-500659</t>
  </si>
  <si>
    <t>DINS-POL-200659</t>
  </si>
  <si>
    <t>DINS-CLM-100660</t>
  </si>
  <si>
    <t>DINS-CUS-500660</t>
  </si>
  <si>
    <t>DINS-POL-200660</t>
  </si>
  <si>
    <t>DINS-CLM-100661</t>
  </si>
  <si>
    <t>DINS-CUS-500661</t>
  </si>
  <si>
    <t>DINS-POL-200661</t>
  </si>
  <si>
    <t>DINS-CLM-100662</t>
  </si>
  <si>
    <t>DINS-CUS-500662</t>
  </si>
  <si>
    <t>DINS-POL-200662</t>
  </si>
  <si>
    <t>DINS-CLM-100663</t>
  </si>
  <si>
    <t>DINS-CUS-500663</t>
  </si>
  <si>
    <t>DINS-POL-200663</t>
  </si>
  <si>
    <t>DINS-CLM-100664</t>
  </si>
  <si>
    <t>DINS-CUS-500664</t>
  </si>
  <si>
    <t>DINS-POL-200664</t>
  </si>
  <si>
    <t>DINS-CLM-100665</t>
  </si>
  <si>
    <t>DINS-CUS-500665</t>
  </si>
  <si>
    <t>DINS-POL-200665</t>
  </si>
  <si>
    <t>DINS-CLM-100666</t>
  </si>
  <si>
    <t>DINS-CUS-500666</t>
  </si>
  <si>
    <t>DINS-POL-200666</t>
  </si>
  <si>
    <t>DINS-CLM-100667</t>
  </si>
  <si>
    <t>DINS-CUS-500667</t>
  </si>
  <si>
    <t>DINS-POL-200667</t>
  </si>
  <si>
    <t>DINS-CLM-100668</t>
  </si>
  <si>
    <t>DINS-CUS-500668</t>
  </si>
  <si>
    <t>DINS-POL-200668</t>
  </si>
  <si>
    <t>DINS-CLM-100669</t>
  </si>
  <si>
    <t>DINS-CUS-500669</t>
  </si>
  <si>
    <t>DINS-POL-200669</t>
  </si>
  <si>
    <t>DINS-CLM-100670</t>
  </si>
  <si>
    <t>DINS-CUS-500670</t>
  </si>
  <si>
    <t>DINS-POL-200670</t>
  </si>
  <si>
    <t>DINS-CLM-100671</t>
  </si>
  <si>
    <t>DINS-CUS-500671</t>
  </si>
  <si>
    <t>DINS-POL-200671</t>
  </si>
  <si>
    <t>DINS-CLM-100672</t>
  </si>
  <si>
    <t>DINS-CUS-500672</t>
  </si>
  <si>
    <t>DINS-POL-200672</t>
  </si>
  <si>
    <t>DINS-CLM-100673</t>
  </si>
  <si>
    <t>DINS-CUS-500673</t>
  </si>
  <si>
    <t>DINS-POL-200673</t>
  </si>
  <si>
    <t>DINS-CLM-100674</t>
  </si>
  <si>
    <t>DINS-CUS-500674</t>
  </si>
  <si>
    <t>DINS-POL-200674</t>
  </si>
  <si>
    <t>DINS-CLM-100675</t>
  </si>
  <si>
    <t>DINS-CUS-500675</t>
  </si>
  <si>
    <t>DINS-POL-200675</t>
  </si>
  <si>
    <t>DINS-CLM-100676</t>
  </si>
  <si>
    <t>DINS-CUS-500676</t>
  </si>
  <si>
    <t>DINS-POL-200676</t>
  </si>
  <si>
    <t>DINS-CLM-100677</t>
  </si>
  <si>
    <t>DINS-CUS-500677</t>
  </si>
  <si>
    <t>DINS-POL-200677</t>
  </si>
  <si>
    <t>DINS-CLM-100678</t>
  </si>
  <si>
    <t>DINS-CUS-500678</t>
  </si>
  <si>
    <t>DINS-POL-200678</t>
  </si>
  <si>
    <t>DINS-CLM-100679</t>
  </si>
  <si>
    <t>DINS-CUS-500679</t>
  </si>
  <si>
    <t>DINS-POL-200679</t>
  </si>
  <si>
    <t>DINS-CLM-100680</t>
  </si>
  <si>
    <t>DINS-CUS-500680</t>
  </si>
  <si>
    <t>DINS-POL-200680</t>
  </si>
  <si>
    <t>DINS-CLM-100681</t>
  </si>
  <si>
    <t>DINS-CUS-500681</t>
  </si>
  <si>
    <t>DINS-POL-200681</t>
  </si>
  <si>
    <t>DINS-CLM-100682</t>
  </si>
  <si>
    <t>DINS-CUS-500682</t>
  </si>
  <si>
    <t>DINS-POL-200682</t>
  </si>
  <si>
    <t>DINS-CLM-100683</t>
  </si>
  <si>
    <t>DINS-CUS-500683</t>
  </si>
  <si>
    <t>DINS-POL-200683</t>
  </si>
  <si>
    <t>DINS-CLM-100684</t>
  </si>
  <si>
    <t>DINS-CUS-500684</t>
  </si>
  <si>
    <t>DINS-POL-200684</t>
  </si>
  <si>
    <t>DINS-CLM-100685</t>
  </si>
  <si>
    <t>DINS-CUS-500685</t>
  </si>
  <si>
    <t>DINS-POL-200685</t>
  </si>
  <si>
    <t>DINS-CLM-100686</t>
  </si>
  <si>
    <t>DINS-CUS-500686</t>
  </si>
  <si>
    <t>DINS-POL-200686</t>
  </si>
  <si>
    <t>DINS-CLM-100687</t>
  </si>
  <si>
    <t>DINS-CUS-500687</t>
  </si>
  <si>
    <t>DINS-POL-200687</t>
  </si>
  <si>
    <t>DINS-CLM-100688</t>
  </si>
  <si>
    <t>DINS-CUS-500688</t>
  </si>
  <si>
    <t>DINS-POL-200688</t>
  </si>
  <si>
    <t>DINS-CLM-100689</t>
  </si>
  <si>
    <t>DINS-CUS-500689</t>
  </si>
  <si>
    <t>DINS-POL-200689</t>
  </si>
  <si>
    <t>DINS-CLM-100690</t>
  </si>
  <si>
    <t>DINS-CUS-500690</t>
  </si>
  <si>
    <t>DINS-POL-200690</t>
  </si>
  <si>
    <t>DINS-CLM-100691</t>
  </si>
  <si>
    <t>DINS-CUS-500691</t>
  </si>
  <si>
    <t>DINS-POL-200691</t>
  </si>
  <si>
    <t>DINS-CLM-100692</t>
  </si>
  <si>
    <t>DINS-CUS-500692</t>
  </si>
  <si>
    <t>DINS-POL-200692</t>
  </si>
  <si>
    <t>DINS-CLM-100693</t>
  </si>
  <si>
    <t>DINS-CUS-500693</t>
  </si>
  <si>
    <t>DINS-POL-200693</t>
  </si>
  <si>
    <t>DINS-CLM-100694</t>
  </si>
  <si>
    <t>DINS-CUS-500694</t>
  </si>
  <si>
    <t>DINS-POL-200694</t>
  </si>
  <si>
    <t>DINS-CLM-100695</t>
  </si>
  <si>
    <t>DINS-CUS-500695</t>
  </si>
  <si>
    <t>DINS-POL-200695</t>
  </si>
  <si>
    <t>DINS-CLM-100696</t>
  </si>
  <si>
    <t>DINS-CUS-500696</t>
  </si>
  <si>
    <t>DINS-POL-200696</t>
  </si>
  <si>
    <t>DINS-CLM-100697</t>
  </si>
  <si>
    <t>DINS-CUS-500697</t>
  </si>
  <si>
    <t>DINS-POL-200697</t>
  </si>
  <si>
    <t>DINS-CLM-100698</t>
  </si>
  <si>
    <t>DINS-CUS-500698</t>
  </si>
  <si>
    <t>DINS-POL-200698</t>
  </si>
  <si>
    <t>DINS-CLM-100699</t>
  </si>
  <si>
    <t>DINS-CUS-500699</t>
  </si>
  <si>
    <t>DINS-POL-200699</t>
  </si>
  <si>
    <t>DINS-CLM-100700</t>
  </si>
  <si>
    <t>DINS-CUS-500700</t>
  </si>
  <si>
    <t>DINS-POL-200700</t>
  </si>
  <si>
    <t>DINS-CLM-100701</t>
  </si>
  <si>
    <t>DINS-CUS-500701</t>
  </si>
  <si>
    <t>DINS-POL-200701</t>
  </si>
  <si>
    <t>DINS-CLM-100702</t>
  </si>
  <si>
    <t>DINS-CUS-500702</t>
  </si>
  <si>
    <t>DINS-POL-200702</t>
  </si>
  <si>
    <t>DINS-CLM-100703</t>
  </si>
  <si>
    <t>DINS-CUS-500703</t>
  </si>
  <si>
    <t>DINS-POL-200703</t>
  </si>
  <si>
    <t>DINS-CLM-100704</t>
  </si>
  <si>
    <t>DINS-CUS-500704</t>
  </si>
  <si>
    <t>DINS-POL-200704</t>
  </si>
  <si>
    <t>DINS-CLM-100705</t>
  </si>
  <si>
    <t>DINS-CUS-500705</t>
  </si>
  <si>
    <t>DINS-POL-200705</t>
  </si>
  <si>
    <t>DINS-CLM-100706</t>
  </si>
  <si>
    <t>DINS-CUS-500706</t>
  </si>
  <si>
    <t>DINS-POL-200706</t>
  </si>
  <si>
    <t>DINS-CLM-100707</t>
  </si>
  <si>
    <t>DINS-CUS-500707</t>
  </si>
  <si>
    <t>DINS-POL-200707</t>
  </si>
  <si>
    <t>DINS-CLM-100708</t>
  </si>
  <si>
    <t>DINS-CUS-500708</t>
  </si>
  <si>
    <t>DINS-POL-200708</t>
  </si>
  <si>
    <t>DINS-CLM-100709</t>
  </si>
  <si>
    <t>DINS-CUS-500709</t>
  </si>
  <si>
    <t>DINS-POL-200709</t>
  </si>
  <si>
    <t>DINS-CLM-100710</t>
  </si>
  <si>
    <t>DINS-CUS-500710</t>
  </si>
  <si>
    <t>DINS-POL-200710</t>
  </si>
  <si>
    <t>DINS-CLM-100711</t>
  </si>
  <si>
    <t>DINS-CUS-500711</t>
  </si>
  <si>
    <t>DINS-POL-200711</t>
  </si>
  <si>
    <t>DINS-CLM-100712</t>
  </si>
  <si>
    <t>DINS-CUS-500712</t>
  </si>
  <si>
    <t>DINS-POL-200712</t>
  </si>
  <si>
    <t>DINS-CLM-100713</t>
  </si>
  <si>
    <t>DINS-CUS-500713</t>
  </si>
  <si>
    <t>DINS-POL-200713</t>
  </si>
  <si>
    <t>DINS-CLM-100714</t>
  </si>
  <si>
    <t>DINS-CUS-500714</t>
  </si>
  <si>
    <t>DINS-POL-200714</t>
  </si>
  <si>
    <t>DINS-CLM-100715</t>
  </si>
  <si>
    <t>DINS-CUS-500715</t>
  </si>
  <si>
    <t>DINS-POL-200715</t>
  </si>
  <si>
    <t>DINS-CLM-100716</t>
  </si>
  <si>
    <t>DINS-CUS-500716</t>
  </si>
  <si>
    <t>DINS-POL-200716</t>
  </si>
  <si>
    <t>DINS-CLM-100717</t>
  </si>
  <si>
    <t>DINS-CUS-500717</t>
  </si>
  <si>
    <t>DINS-POL-200717</t>
  </si>
  <si>
    <t>DINS-CLM-100718</t>
  </si>
  <si>
    <t>DINS-CUS-500718</t>
  </si>
  <si>
    <t>DINS-POL-200718</t>
  </si>
  <si>
    <t>DINS-CLM-100719</t>
  </si>
  <si>
    <t>DINS-CUS-500719</t>
  </si>
  <si>
    <t>DINS-POL-200719</t>
  </si>
  <si>
    <t>DINS-CLM-100720</t>
  </si>
  <si>
    <t>DINS-CUS-500720</t>
  </si>
  <si>
    <t>DINS-POL-200720</t>
  </si>
  <si>
    <t>DINS-CLM-100721</t>
  </si>
  <si>
    <t>DINS-CUS-500721</t>
  </si>
  <si>
    <t>DINS-POL-200721</t>
  </si>
  <si>
    <t>DINS-CLM-100722</t>
  </si>
  <si>
    <t>DINS-CUS-500722</t>
  </si>
  <si>
    <t>DINS-POL-200722</t>
  </si>
  <si>
    <t>DINS-CLM-100723</t>
  </si>
  <si>
    <t>DINS-CUS-500723</t>
  </si>
  <si>
    <t>DINS-POL-200723</t>
  </si>
  <si>
    <t>DINS-CLM-100724</t>
  </si>
  <si>
    <t>DINS-CUS-500724</t>
  </si>
  <si>
    <t>DINS-POL-200724</t>
  </si>
  <si>
    <t>DINS-CLM-100725</t>
  </si>
  <si>
    <t>DINS-CUS-500725</t>
  </si>
  <si>
    <t>DINS-POL-200725</t>
  </si>
  <si>
    <t>DINS-CLM-100726</t>
  </si>
  <si>
    <t>DINS-CUS-500726</t>
  </si>
  <si>
    <t>DINS-POL-200726</t>
  </si>
  <si>
    <t>DINS-CLM-100727</t>
  </si>
  <si>
    <t>DINS-CUS-500727</t>
  </si>
  <si>
    <t>DINS-POL-200727</t>
  </si>
  <si>
    <t>DINS-CLM-100728</t>
  </si>
  <si>
    <t>DINS-CUS-500728</t>
  </si>
  <si>
    <t>DINS-POL-200728</t>
  </si>
  <si>
    <t>DINS-CLM-100729</t>
  </si>
  <si>
    <t>DINS-CUS-500729</t>
  </si>
  <si>
    <t>DINS-POL-200729</t>
  </si>
  <si>
    <t>DINS-CLM-100730</t>
  </si>
  <si>
    <t>DINS-CUS-500730</t>
  </si>
  <si>
    <t>DINS-POL-200730</t>
  </si>
  <si>
    <t>DINS-CLM-100731</t>
  </si>
  <si>
    <t>DINS-CUS-500731</t>
  </si>
  <si>
    <t>DINS-POL-200731</t>
  </si>
  <si>
    <t>DINS-CLM-100732</t>
  </si>
  <si>
    <t>DINS-CUS-500732</t>
  </si>
  <si>
    <t>DINS-POL-200732</t>
  </si>
  <si>
    <t>DINS-CLM-100733</t>
  </si>
  <si>
    <t>DINS-CUS-500733</t>
  </si>
  <si>
    <t>DINS-POL-200733</t>
  </si>
  <si>
    <t>DINS-CLM-100734</t>
  </si>
  <si>
    <t>DINS-CUS-500734</t>
  </si>
  <si>
    <t>DINS-POL-200734</t>
  </si>
  <si>
    <t>DINS-CLM-100735</t>
  </si>
  <si>
    <t>DINS-CUS-500735</t>
  </si>
  <si>
    <t>DINS-POL-200735</t>
  </si>
  <si>
    <t>DINS-CLM-100736</t>
  </si>
  <si>
    <t>DINS-CUS-500736</t>
  </si>
  <si>
    <t>DINS-POL-200736</t>
  </si>
  <si>
    <t>DINS-CLM-100737</t>
  </si>
  <si>
    <t>DINS-CUS-500737</t>
  </si>
  <si>
    <t>DINS-POL-200737</t>
  </si>
  <si>
    <t>DINS-CLM-100738</t>
  </si>
  <si>
    <t>DINS-CUS-500738</t>
  </si>
  <si>
    <t>DINS-POL-200738</t>
  </si>
  <si>
    <t>DINS-CLM-100739</t>
  </si>
  <si>
    <t>DINS-CUS-500739</t>
  </si>
  <si>
    <t>DINS-POL-200739</t>
  </si>
  <si>
    <t>DINS-CLM-100740</t>
  </si>
  <si>
    <t>DINS-CUS-500740</t>
  </si>
  <si>
    <t>DINS-POL-200740</t>
  </si>
  <si>
    <t>DINS-CLM-100741</t>
  </si>
  <si>
    <t>DINS-CUS-500741</t>
  </si>
  <si>
    <t>DINS-POL-200741</t>
  </si>
  <si>
    <t>DINS-CLM-100742</t>
  </si>
  <si>
    <t>DINS-CUS-500742</t>
  </si>
  <si>
    <t>DINS-POL-200742</t>
  </si>
  <si>
    <t>DINS-CLM-100743</t>
  </si>
  <si>
    <t>DINS-CUS-500743</t>
  </si>
  <si>
    <t>DINS-POL-200743</t>
  </si>
  <si>
    <t>DINS-CLM-100744</t>
  </si>
  <si>
    <t>DINS-CUS-500744</t>
  </si>
  <si>
    <t>DINS-POL-200744</t>
  </si>
  <si>
    <t>DINS-CLM-100745</t>
  </si>
  <si>
    <t>DINS-CUS-500745</t>
  </si>
  <si>
    <t>DINS-POL-200745</t>
  </si>
  <si>
    <t>DINS-CLM-100746</t>
  </si>
  <si>
    <t>DINS-CUS-500746</t>
  </si>
  <si>
    <t>DINS-POL-200746</t>
  </si>
  <si>
    <t>DINS-CLM-100747</t>
  </si>
  <si>
    <t>DINS-CUS-500747</t>
  </si>
  <si>
    <t>DINS-POL-200747</t>
  </si>
  <si>
    <t>DINS-CLM-100748</t>
  </si>
  <si>
    <t>DINS-CUS-500748</t>
  </si>
  <si>
    <t>DINS-POL-200748</t>
  </si>
  <si>
    <t>DINS-CLM-100749</t>
  </si>
  <si>
    <t>DINS-CUS-500749</t>
  </si>
  <si>
    <t>DINS-POL-200749</t>
  </si>
  <si>
    <t>DINS-CLM-100750</t>
  </si>
  <si>
    <t>DINS-CUS-500750</t>
  </si>
  <si>
    <t>DINS-POL-200750</t>
  </si>
  <si>
    <t>DINS-CLM-100751</t>
  </si>
  <si>
    <t>DINS-CUS-500751</t>
  </si>
  <si>
    <t>DINS-POL-200751</t>
  </si>
  <si>
    <t>DINS-CLM-100752</t>
  </si>
  <si>
    <t>DINS-CUS-500752</t>
  </si>
  <si>
    <t>DINS-POL-200752</t>
  </si>
  <si>
    <t>DINS-CLM-100753</t>
  </si>
  <si>
    <t>DINS-CUS-500753</t>
  </si>
  <si>
    <t>DINS-POL-200753</t>
  </si>
  <si>
    <t>DINS-CLM-100754</t>
  </si>
  <si>
    <t>DINS-CUS-500754</t>
  </si>
  <si>
    <t>DINS-POL-200754</t>
  </si>
  <si>
    <t>DINS-CLM-100755</t>
  </si>
  <si>
    <t>DINS-CUS-500755</t>
  </si>
  <si>
    <t>DINS-POL-200755</t>
  </si>
  <si>
    <t>DINS-CLM-100756</t>
  </si>
  <si>
    <t>DINS-CUS-500756</t>
  </si>
  <si>
    <t>DINS-POL-200756</t>
  </si>
  <si>
    <t>DINS-CLM-100757</t>
  </si>
  <si>
    <t>DINS-CUS-500757</t>
  </si>
  <si>
    <t>DINS-POL-200757</t>
  </si>
  <si>
    <t>DINS-CLM-100758</t>
  </si>
  <si>
    <t>DINS-CUS-500758</t>
  </si>
  <si>
    <t>DINS-POL-200758</t>
  </si>
  <si>
    <t>DINS-CLM-100759</t>
  </si>
  <si>
    <t>DINS-CUS-500759</t>
  </si>
  <si>
    <t>DINS-POL-200759</t>
  </si>
  <si>
    <t>DINS-CLM-100760</t>
  </si>
  <si>
    <t>DINS-CUS-500760</t>
  </si>
  <si>
    <t>DINS-POL-200760</t>
  </si>
  <si>
    <t>DINS-CLM-100761</t>
  </si>
  <si>
    <t>DINS-CUS-500761</t>
  </si>
  <si>
    <t>DINS-POL-200761</t>
  </si>
  <si>
    <t>DINS-CLM-100762</t>
  </si>
  <si>
    <t>DINS-CUS-500762</t>
  </si>
  <si>
    <t>DINS-POL-200762</t>
  </si>
  <si>
    <t>DINS-CLM-100763</t>
  </si>
  <si>
    <t>DINS-CUS-500763</t>
  </si>
  <si>
    <t>DINS-POL-200763</t>
  </si>
  <si>
    <t>DINS-CLM-100764</t>
  </si>
  <si>
    <t>DINS-CUS-500764</t>
  </si>
  <si>
    <t>DINS-POL-200764</t>
  </si>
  <si>
    <t>DINS-CLM-100765</t>
  </si>
  <si>
    <t>DINS-CUS-500765</t>
  </si>
  <si>
    <t>DINS-POL-200765</t>
  </si>
  <si>
    <t>DINS-CLM-100766</t>
  </si>
  <si>
    <t>DINS-CUS-500766</t>
  </si>
  <si>
    <t>DINS-POL-200766</t>
  </si>
  <si>
    <t>DINS-CLM-100767</t>
  </si>
  <si>
    <t>DINS-CUS-500767</t>
  </si>
  <si>
    <t>DINS-POL-200767</t>
  </si>
  <si>
    <t>DINS-CLM-100768</t>
  </si>
  <si>
    <t>DINS-CUS-500768</t>
  </si>
  <si>
    <t>DINS-POL-200768</t>
  </si>
  <si>
    <t>DINS-CLM-100769</t>
  </si>
  <si>
    <t>DINS-CUS-500769</t>
  </si>
  <si>
    <t>DINS-POL-200769</t>
  </si>
  <si>
    <t>DINS-CLM-100770</t>
  </si>
  <si>
    <t>DINS-CUS-500770</t>
  </si>
  <si>
    <t>DINS-POL-200770</t>
  </si>
  <si>
    <t>DINS-CLM-100771</t>
  </si>
  <si>
    <t>DINS-CUS-500771</t>
  </si>
  <si>
    <t>DINS-POL-200771</t>
  </si>
  <si>
    <t>DINS-CLM-100772</t>
  </si>
  <si>
    <t>DINS-CUS-500772</t>
  </si>
  <si>
    <t>DINS-POL-200772</t>
  </si>
  <si>
    <t>DINS-CLM-100773</t>
  </si>
  <si>
    <t>DINS-CUS-500773</t>
  </si>
  <si>
    <t>DINS-POL-200773</t>
  </si>
  <si>
    <t>DINS-CLM-100774</t>
  </si>
  <si>
    <t>DINS-CUS-500774</t>
  </si>
  <si>
    <t>DINS-POL-200774</t>
  </si>
  <si>
    <t>DINS-CLM-100775</t>
  </si>
  <si>
    <t>DINS-CUS-500775</t>
  </si>
  <si>
    <t>DINS-POL-200775</t>
  </si>
  <si>
    <t>DINS-CLM-100776</t>
  </si>
  <si>
    <t>DINS-CUS-500776</t>
  </si>
  <si>
    <t>DINS-POL-200776</t>
  </si>
  <si>
    <t>DINS-CLM-100777</t>
  </si>
  <si>
    <t>DINS-CUS-500777</t>
  </si>
  <si>
    <t>DINS-POL-200777</t>
  </si>
  <si>
    <t>DINS-CLM-100778</t>
  </si>
  <si>
    <t>DINS-CUS-500778</t>
  </si>
  <si>
    <t>DINS-POL-200778</t>
  </si>
  <si>
    <t>DINS-CLM-100779</t>
  </si>
  <si>
    <t>DINS-CUS-500779</t>
  </si>
  <si>
    <t>DINS-POL-200779</t>
  </si>
  <si>
    <t>DINS-CLM-100780</t>
  </si>
  <si>
    <t>DINS-CUS-500780</t>
  </si>
  <si>
    <t>DINS-POL-200780</t>
  </si>
  <si>
    <t>DINS-CLM-100781</t>
  </si>
  <si>
    <t>DINS-CUS-500781</t>
  </si>
  <si>
    <t>DINS-POL-200781</t>
  </si>
  <si>
    <t>DINS-CLM-100782</t>
  </si>
  <si>
    <t>DINS-CUS-500782</t>
  </si>
  <si>
    <t>DINS-POL-200782</t>
  </si>
  <si>
    <t>DINS-CLM-100783</t>
  </si>
  <si>
    <t>DINS-CUS-500783</t>
  </si>
  <si>
    <t>DINS-POL-200783</t>
  </si>
  <si>
    <t>DINS-CLM-100784</t>
  </si>
  <si>
    <t>DINS-CUS-500784</t>
  </si>
  <si>
    <t>DINS-POL-200784</t>
  </si>
  <si>
    <t>DINS-CLM-100785</t>
  </si>
  <si>
    <t>DINS-CUS-500785</t>
  </si>
  <si>
    <t>DINS-POL-200785</t>
  </si>
  <si>
    <t>DINS-CLM-100786</t>
  </si>
  <si>
    <t>DINS-CUS-500786</t>
  </si>
  <si>
    <t>DINS-POL-200786</t>
  </si>
  <si>
    <t>DINS-CLM-100787</t>
  </si>
  <si>
    <t>DINS-CUS-500787</t>
  </si>
  <si>
    <t>DINS-POL-200787</t>
  </si>
  <si>
    <t>DINS-CLM-100788</t>
  </si>
  <si>
    <t>DINS-CUS-500788</t>
  </si>
  <si>
    <t>DINS-POL-200788</t>
  </si>
  <si>
    <t>DINS-CLM-100789</t>
  </si>
  <si>
    <t>DINS-CUS-500789</t>
  </si>
  <si>
    <t>DINS-POL-200789</t>
  </si>
  <si>
    <t>DINS-CLM-100790</t>
  </si>
  <si>
    <t>DINS-CUS-500790</t>
  </si>
  <si>
    <t>DINS-POL-200790</t>
  </si>
  <si>
    <t>DINS-CLM-100791</t>
  </si>
  <si>
    <t>DINS-CUS-500791</t>
  </si>
  <si>
    <t>DINS-POL-200791</t>
  </si>
  <si>
    <t>DINS-CLM-100792</t>
  </si>
  <si>
    <t>DINS-CUS-500792</t>
  </si>
  <si>
    <t>DINS-POL-200792</t>
  </si>
  <si>
    <t>DINS-CLM-100793</t>
  </si>
  <si>
    <t>DINS-CUS-500793</t>
  </si>
  <si>
    <t>DINS-POL-200793</t>
  </si>
  <si>
    <t>DINS-CLM-100794</t>
  </si>
  <si>
    <t>DINS-CUS-500794</t>
  </si>
  <si>
    <t>DINS-POL-200794</t>
  </si>
  <si>
    <t>DINS-CLM-100795</t>
  </si>
  <si>
    <t>DINS-CUS-500795</t>
  </si>
  <si>
    <t>DINS-POL-200795</t>
  </si>
  <si>
    <t>DINS-CLM-100796</t>
  </si>
  <si>
    <t>DINS-CUS-500796</t>
  </si>
  <si>
    <t>DINS-POL-200796</t>
  </si>
  <si>
    <t>DINS-CLM-100797</t>
  </si>
  <si>
    <t>DINS-CUS-500797</t>
  </si>
  <si>
    <t>DINS-POL-200797</t>
  </si>
  <si>
    <t>DINS-CLM-100798</t>
  </si>
  <si>
    <t>DINS-CUS-500798</t>
  </si>
  <si>
    <t>DINS-POL-200798</t>
  </si>
  <si>
    <t>DINS-CLM-100799</t>
  </si>
  <si>
    <t>DINS-CUS-500799</t>
  </si>
  <si>
    <t>DINS-POL-200799</t>
  </si>
  <si>
    <t>DINS-CLM-100800</t>
  </si>
  <si>
    <t>DINS-CUS-500800</t>
  </si>
  <si>
    <t>DINS-POL-200800</t>
  </si>
  <si>
    <t>DINS-CLM-100801</t>
  </si>
  <si>
    <t>DINS-CUS-500801</t>
  </si>
  <si>
    <t>DINS-POL-200801</t>
  </si>
  <si>
    <t>DINS-CLM-100802</t>
  </si>
  <si>
    <t>DINS-CUS-500802</t>
  </si>
  <si>
    <t>DINS-POL-200802</t>
  </si>
  <si>
    <t>DINS-CLM-100803</t>
  </si>
  <si>
    <t>DINS-CUS-500803</t>
  </si>
  <si>
    <t>DINS-POL-200803</t>
  </si>
  <si>
    <t>DINS-CLM-100804</t>
  </si>
  <si>
    <t>DINS-CUS-500804</t>
  </si>
  <si>
    <t>DINS-POL-200804</t>
  </si>
  <si>
    <t>DINS-CLM-100805</t>
  </si>
  <si>
    <t>DINS-CUS-500805</t>
  </si>
  <si>
    <t>DINS-POL-200805</t>
  </si>
  <si>
    <t>DINS-CLM-100806</t>
  </si>
  <si>
    <t>DINS-CUS-500806</t>
  </si>
  <si>
    <t>DINS-POL-200806</t>
  </si>
  <si>
    <t>DINS-CLM-100807</t>
  </si>
  <si>
    <t>DINS-CUS-500807</t>
  </si>
  <si>
    <t>DINS-POL-200807</t>
  </si>
  <si>
    <t>DINS-CLM-100808</t>
  </si>
  <si>
    <t>DINS-CUS-500808</t>
  </si>
  <si>
    <t>DINS-POL-200808</t>
  </si>
  <si>
    <t>DINS-CLM-100809</t>
  </si>
  <si>
    <t>DINS-CUS-500809</t>
  </si>
  <si>
    <t>DINS-POL-200809</t>
  </si>
  <si>
    <t>DINS-CLM-100810</t>
  </si>
  <si>
    <t>DINS-CUS-500810</t>
  </si>
  <si>
    <t>DINS-POL-200810</t>
  </si>
  <si>
    <t>DINS-CLM-100811</t>
  </si>
  <si>
    <t>DINS-CUS-500811</t>
  </si>
  <si>
    <t>DINS-POL-200811</t>
  </si>
  <si>
    <t>DINS-CLM-100812</t>
  </si>
  <si>
    <t>DINS-CUS-500812</t>
  </si>
  <si>
    <t>DINS-POL-200812</t>
  </si>
  <si>
    <t>DINS-CLM-100813</t>
  </si>
  <si>
    <t>DINS-CUS-500813</t>
  </si>
  <si>
    <t>DINS-POL-200813</t>
  </si>
  <si>
    <t>DINS-CLM-100814</t>
  </si>
  <si>
    <t>DINS-CUS-500814</t>
  </si>
  <si>
    <t>DINS-POL-200814</t>
  </si>
  <si>
    <t>DINS-CLM-100815</t>
  </si>
  <si>
    <t>DINS-CUS-500815</t>
  </si>
  <si>
    <t>DINS-POL-200815</t>
  </si>
  <si>
    <t>DINS-CLM-100816</t>
  </si>
  <si>
    <t>DINS-CUS-500816</t>
  </si>
  <si>
    <t>DINS-POL-200816</t>
  </si>
  <si>
    <t>DINS-CLM-100817</t>
  </si>
  <si>
    <t>DINS-CUS-500817</t>
  </si>
  <si>
    <t>DINS-POL-200817</t>
  </si>
  <si>
    <t>DINS-CLM-100818</t>
  </si>
  <si>
    <t>DINS-CUS-500818</t>
  </si>
  <si>
    <t>DINS-POL-200818</t>
  </si>
  <si>
    <t>DINS-CLM-100819</t>
  </si>
  <si>
    <t>DINS-CUS-500819</t>
  </si>
  <si>
    <t>DINS-POL-200819</t>
  </si>
  <si>
    <t>DINS-CLM-100820</t>
  </si>
  <si>
    <t>DINS-CUS-500820</t>
  </si>
  <si>
    <t>DINS-POL-200820</t>
  </si>
  <si>
    <t>DINS-CLM-100821</t>
  </si>
  <si>
    <t>DINS-CUS-500821</t>
  </si>
  <si>
    <t>DINS-POL-200821</t>
  </si>
  <si>
    <t>DINS-CLM-100822</t>
  </si>
  <si>
    <t>DINS-CUS-500822</t>
  </si>
  <si>
    <t>DINS-POL-200822</t>
  </si>
  <si>
    <t>DINS-CLM-100823</t>
  </si>
  <si>
    <t>DINS-CUS-500823</t>
  </si>
  <si>
    <t>DINS-POL-200823</t>
  </si>
  <si>
    <t>DINS-CLM-100824</t>
  </si>
  <si>
    <t>DINS-CUS-500824</t>
  </si>
  <si>
    <t>DINS-POL-200824</t>
  </si>
  <si>
    <t>DINS-CLM-100825</t>
  </si>
  <si>
    <t>DINS-CUS-500825</t>
  </si>
  <si>
    <t>DINS-POL-200825</t>
  </si>
  <si>
    <t>DINS-CLM-100826</t>
  </si>
  <si>
    <t>DINS-CUS-500826</t>
  </si>
  <si>
    <t>DINS-POL-200826</t>
  </si>
  <si>
    <t>DINS-CLM-100827</t>
  </si>
  <si>
    <t>DINS-CUS-500827</t>
  </si>
  <si>
    <t>DINS-POL-200827</t>
  </si>
  <si>
    <t>DINS-CLM-100828</t>
  </si>
  <si>
    <t>DINS-CUS-500828</t>
  </si>
  <si>
    <t>DINS-POL-200828</t>
  </si>
  <si>
    <t>DINS-CLM-100829</t>
  </si>
  <si>
    <t>DINS-CUS-500829</t>
  </si>
  <si>
    <t>DINS-POL-200829</t>
  </si>
  <si>
    <t>DINS-CLM-100830</t>
  </si>
  <si>
    <t>DINS-CUS-500830</t>
  </si>
  <si>
    <t>DINS-POL-200830</t>
  </si>
  <si>
    <t>DINS-CLM-100831</t>
  </si>
  <si>
    <t>DINS-CUS-500831</t>
  </si>
  <si>
    <t>DINS-POL-200831</t>
  </si>
  <si>
    <t>DINS-CLM-100832</t>
  </si>
  <si>
    <t>DINS-CUS-500832</t>
  </si>
  <si>
    <t>DINS-POL-200832</t>
  </si>
  <si>
    <t>DINS-CLM-100833</t>
  </si>
  <si>
    <t>DINS-CUS-500833</t>
  </si>
  <si>
    <t>DINS-POL-200833</t>
  </si>
  <si>
    <t>DINS-CLM-100834</t>
  </si>
  <si>
    <t>DINS-CUS-500834</t>
  </si>
  <si>
    <t>DINS-POL-200834</t>
  </si>
  <si>
    <t>DINS-CLM-100835</t>
  </si>
  <si>
    <t>DINS-CUS-500835</t>
  </si>
  <si>
    <t>DINS-POL-200835</t>
  </si>
  <si>
    <t>DINS-CLM-100836</t>
  </si>
  <si>
    <t>DINS-CUS-500836</t>
  </si>
  <si>
    <t>DINS-POL-200836</t>
  </si>
  <si>
    <t>DINS-CLM-100837</t>
  </si>
  <si>
    <t>DINS-CUS-500837</t>
  </si>
  <si>
    <t>DINS-POL-200837</t>
  </si>
  <si>
    <t>DINS-CLM-100838</t>
  </si>
  <si>
    <t>DINS-CUS-500838</t>
  </si>
  <si>
    <t>DINS-POL-200838</t>
  </si>
  <si>
    <t>DINS-CLM-100839</t>
  </si>
  <si>
    <t>DINS-CUS-500839</t>
  </si>
  <si>
    <t>DINS-POL-200839</t>
  </si>
  <si>
    <t>DINS-CLM-100840</t>
  </si>
  <si>
    <t>DINS-CUS-500840</t>
  </si>
  <si>
    <t>DINS-POL-200840</t>
  </si>
  <si>
    <t>DINS-CLM-100841</t>
  </si>
  <si>
    <t>DINS-CUS-500841</t>
  </si>
  <si>
    <t>DINS-POL-200841</t>
  </si>
  <si>
    <t>DINS-CLM-100842</t>
  </si>
  <si>
    <t>DINS-CUS-500842</t>
  </si>
  <si>
    <t>DINS-POL-200842</t>
  </si>
  <si>
    <t>DINS-CLM-100843</t>
  </si>
  <si>
    <t>DINS-CUS-500843</t>
  </si>
  <si>
    <t>DINS-POL-200843</t>
  </si>
  <si>
    <t>DINS-CLM-100844</t>
  </si>
  <si>
    <t>DINS-CUS-500844</t>
  </si>
  <si>
    <t>DINS-POL-200844</t>
  </si>
  <si>
    <t>DINS-CLM-100845</t>
  </si>
  <si>
    <t>DINS-CUS-500845</t>
  </si>
  <si>
    <t>DINS-POL-200845</t>
  </si>
  <si>
    <t>DINS-CLM-100846</t>
  </si>
  <si>
    <t>DINS-CUS-500846</t>
  </si>
  <si>
    <t>DINS-POL-200846</t>
  </si>
  <si>
    <t>DINS-CLM-100847</t>
  </si>
  <si>
    <t>DINS-CUS-500847</t>
  </si>
  <si>
    <t>DINS-POL-200847</t>
  </si>
  <si>
    <t>DINS-CLM-100848</t>
  </si>
  <si>
    <t>DINS-CUS-500848</t>
  </si>
  <si>
    <t>DINS-POL-200848</t>
  </si>
  <si>
    <t>DINS-CLM-100849</t>
  </si>
  <si>
    <t>DINS-CUS-500849</t>
  </si>
  <si>
    <t>DINS-POL-200849</t>
  </si>
  <si>
    <t>DINS-CLM-100850</t>
  </si>
  <si>
    <t>DINS-CUS-500850</t>
  </si>
  <si>
    <t>DINS-POL-200850</t>
  </si>
  <si>
    <t>DINS-CLM-100851</t>
  </si>
  <si>
    <t>DINS-CUS-500851</t>
  </si>
  <si>
    <t>DINS-POL-200851</t>
  </si>
  <si>
    <t>DINS-CLM-100852</t>
  </si>
  <si>
    <t>DINS-CUS-500852</t>
  </si>
  <si>
    <t>DINS-POL-200852</t>
  </si>
  <si>
    <t>DINS-CLM-100853</t>
  </si>
  <si>
    <t>DINS-CUS-500853</t>
  </si>
  <si>
    <t>DINS-POL-200853</t>
  </si>
  <si>
    <t>DINS-CLM-100854</t>
  </si>
  <si>
    <t>DINS-CUS-500854</t>
  </si>
  <si>
    <t>DINS-POL-200854</t>
  </si>
  <si>
    <t>DINS-CLM-100855</t>
  </si>
  <si>
    <t>DINS-CUS-500855</t>
  </si>
  <si>
    <t>DINS-POL-200855</t>
  </si>
  <si>
    <t>DINS-CLM-100856</t>
  </si>
  <si>
    <t>DINS-CUS-500856</t>
  </si>
  <si>
    <t>DINS-POL-200856</t>
  </si>
  <si>
    <t>DINS-CLM-100857</t>
  </si>
  <si>
    <t>DINS-CUS-500857</t>
  </si>
  <si>
    <t>DINS-POL-200857</t>
  </si>
  <si>
    <t>DINS-CLM-100858</t>
  </si>
  <si>
    <t>DINS-CUS-500858</t>
  </si>
  <si>
    <t>DINS-POL-200858</t>
  </si>
  <si>
    <t>DINS-CLM-100859</t>
  </si>
  <si>
    <t>DINS-CUS-500859</t>
  </si>
  <si>
    <t>DINS-POL-200859</t>
  </si>
  <si>
    <t>DINS-CLM-100860</t>
  </si>
  <si>
    <t>DINS-CUS-500860</t>
  </si>
  <si>
    <t>DINS-POL-200860</t>
  </si>
  <si>
    <t>DINS-CLM-100861</t>
  </si>
  <si>
    <t>DINS-CUS-500861</t>
  </si>
  <si>
    <t>DINS-POL-200861</t>
  </si>
  <si>
    <t>DINS-CLM-100862</t>
  </si>
  <si>
    <t>DINS-CUS-500862</t>
  </si>
  <si>
    <t>DINS-POL-200862</t>
  </si>
  <si>
    <t>DINS-CLM-100863</t>
  </si>
  <si>
    <t>DINS-CUS-500863</t>
  </si>
  <si>
    <t>DINS-POL-200863</t>
  </si>
  <si>
    <t>DINS-CLM-100864</t>
  </si>
  <si>
    <t>DINS-CUS-500864</t>
  </si>
  <si>
    <t>DINS-POL-200864</t>
  </si>
  <si>
    <t>DINS-CLM-100865</t>
  </si>
  <si>
    <t>DINS-CUS-500865</t>
  </si>
  <si>
    <t>DINS-POL-200865</t>
  </si>
  <si>
    <t>DINS-CLM-100866</t>
  </si>
  <si>
    <t>DINS-CUS-500866</t>
  </si>
  <si>
    <t>DINS-POL-200866</t>
  </si>
  <si>
    <t>DINS-CLM-100867</t>
  </si>
  <si>
    <t>DINS-CUS-500867</t>
  </si>
  <si>
    <t>DINS-POL-200867</t>
  </si>
  <si>
    <t>DINS-CLM-100868</t>
  </si>
  <si>
    <t>DINS-CUS-500868</t>
  </si>
  <si>
    <t>DINS-POL-200868</t>
  </si>
  <si>
    <t>DINS-CLM-100869</t>
  </si>
  <si>
    <t>DINS-CUS-500869</t>
  </si>
  <si>
    <t>DINS-POL-200869</t>
  </si>
  <si>
    <t>DINS-CLM-100870</t>
  </si>
  <si>
    <t>DINS-CUS-500870</t>
  </si>
  <si>
    <t>DINS-POL-200870</t>
  </si>
  <si>
    <t>DINS-CLM-100871</t>
  </si>
  <si>
    <t>DINS-CUS-500871</t>
  </si>
  <si>
    <t>DINS-POL-200871</t>
  </si>
  <si>
    <t>DINS-CLM-100872</t>
  </si>
  <si>
    <t>DINS-CUS-500872</t>
  </si>
  <si>
    <t>DINS-POL-200872</t>
  </si>
  <si>
    <t>DINS-CLM-100873</t>
  </si>
  <si>
    <t>DINS-CUS-500873</t>
  </si>
  <si>
    <t>DINS-POL-200873</t>
  </si>
  <si>
    <t>DINS-CLM-100874</t>
  </si>
  <si>
    <t>DINS-CUS-500874</t>
  </si>
  <si>
    <t>DINS-POL-200874</t>
  </si>
  <si>
    <t>DINS-CLM-100875</t>
  </si>
  <si>
    <t>DINS-CUS-500875</t>
  </si>
  <si>
    <t>DINS-POL-200875</t>
  </si>
  <si>
    <t>DINS-CLM-100876</t>
  </si>
  <si>
    <t>DINS-CUS-500876</t>
  </si>
  <si>
    <t>DINS-POL-200876</t>
  </si>
  <si>
    <t>DINS-CLM-100877</t>
  </si>
  <si>
    <t>DINS-CUS-500877</t>
  </si>
  <si>
    <t>DINS-POL-200877</t>
  </si>
  <si>
    <t>DINS-CLM-100878</t>
  </si>
  <si>
    <t>DINS-CUS-500878</t>
  </si>
  <si>
    <t>DINS-POL-200878</t>
  </si>
  <si>
    <t>DINS-CLM-100879</t>
  </si>
  <si>
    <t>DINS-CUS-500879</t>
  </si>
  <si>
    <t>DINS-POL-200879</t>
  </si>
  <si>
    <t>DINS-CLM-100880</t>
  </si>
  <si>
    <t>DINS-CUS-500880</t>
  </si>
  <si>
    <t>DINS-POL-200880</t>
  </si>
  <si>
    <t>DINS-CLM-100881</t>
  </si>
  <si>
    <t>DINS-CUS-500881</t>
  </si>
  <si>
    <t>DINS-POL-200881</t>
  </si>
  <si>
    <t>DINS-CLM-100882</t>
  </si>
  <si>
    <t>DINS-CUS-500882</t>
  </si>
  <si>
    <t>DINS-POL-200882</t>
  </si>
  <si>
    <t>DINS-CLM-100883</t>
  </si>
  <si>
    <t>DINS-CUS-500883</t>
  </si>
  <si>
    <t>DINS-POL-200883</t>
  </si>
  <si>
    <t>DINS-CLM-100884</t>
  </si>
  <si>
    <t>DINS-CUS-500884</t>
  </si>
  <si>
    <t>DINS-POL-200884</t>
  </si>
  <si>
    <t>DINS-CLM-100885</t>
  </si>
  <si>
    <t>DINS-CUS-500885</t>
  </si>
  <si>
    <t>DINS-POL-200885</t>
  </si>
  <si>
    <t>DINS-CLM-100886</t>
  </si>
  <si>
    <t>DINS-CUS-500886</t>
  </si>
  <si>
    <t>DINS-POL-200886</t>
  </si>
  <si>
    <t>DINS-CLM-100887</t>
  </si>
  <si>
    <t>DINS-CUS-500887</t>
  </si>
  <si>
    <t>DINS-POL-200887</t>
  </si>
  <si>
    <t>DINS-CLM-100888</t>
  </si>
  <si>
    <t>DINS-CUS-500888</t>
  </si>
  <si>
    <t>DINS-POL-200888</t>
  </si>
  <si>
    <t>DINS-CLM-100889</t>
  </si>
  <si>
    <t>DINS-CUS-500889</t>
  </si>
  <si>
    <t>DINS-POL-200889</t>
  </si>
  <si>
    <t>DINS-CLM-100890</t>
  </si>
  <si>
    <t>DINS-CUS-500890</t>
  </si>
  <si>
    <t>DINS-POL-200890</t>
  </si>
  <si>
    <t>DINS-CLM-100891</t>
  </si>
  <si>
    <t>DINS-CUS-500891</t>
  </si>
  <si>
    <t>DINS-POL-200891</t>
  </si>
  <si>
    <t>DINS-CLM-100892</t>
  </si>
  <si>
    <t>DINS-CUS-500892</t>
  </si>
  <si>
    <t>DINS-POL-200892</t>
  </si>
  <si>
    <t>DINS-CLM-100893</t>
  </si>
  <si>
    <t>DINS-CUS-500893</t>
  </si>
  <si>
    <t>DINS-POL-200893</t>
  </si>
  <si>
    <t>DINS-CLM-100894</t>
  </si>
  <si>
    <t>DINS-CUS-500894</t>
  </si>
  <si>
    <t>DINS-POL-200894</t>
  </si>
  <si>
    <t>DINS-CLM-100895</t>
  </si>
  <si>
    <t>DINS-CUS-500895</t>
  </si>
  <si>
    <t>DINS-POL-200895</t>
  </si>
  <si>
    <t>DINS-CLM-100896</t>
  </si>
  <si>
    <t>DINS-CUS-500896</t>
  </si>
  <si>
    <t>DINS-POL-200896</t>
  </si>
  <si>
    <t>DINS-CLM-100897</t>
  </si>
  <si>
    <t>DINS-CUS-500897</t>
  </si>
  <si>
    <t>DINS-POL-200897</t>
  </si>
  <si>
    <t>DINS-CLM-100898</t>
  </si>
  <si>
    <t>DINS-CUS-500898</t>
  </si>
  <si>
    <t>DINS-POL-200898</t>
  </si>
  <si>
    <t>DINS-CLM-100899</t>
  </si>
  <si>
    <t>DINS-CUS-500899</t>
  </si>
  <si>
    <t>DINS-POL-200899</t>
  </si>
  <si>
    <t>DINS-CLM-100900</t>
  </si>
  <si>
    <t>DINS-CUS-500900</t>
  </si>
  <si>
    <t>DINS-POL-200900</t>
  </si>
  <si>
    <t>DINS-CLM-100901</t>
  </si>
  <si>
    <t>DINS-CUS-500901</t>
  </si>
  <si>
    <t>DINS-POL-200901</t>
  </si>
  <si>
    <t>DINS-CLM-100902</t>
  </si>
  <si>
    <t>DINS-CUS-500902</t>
  </si>
  <si>
    <t>DINS-POL-200902</t>
  </si>
  <si>
    <t>DINS-CLM-100903</t>
  </si>
  <si>
    <t>DINS-CUS-500903</t>
  </si>
  <si>
    <t>DINS-POL-200903</t>
  </si>
  <si>
    <t>DINS-CLM-100904</t>
  </si>
  <si>
    <t>DINS-CUS-500904</t>
  </si>
  <si>
    <t>DINS-POL-200904</t>
  </si>
  <si>
    <t>DINS-CLM-100905</t>
  </si>
  <si>
    <t>DINS-CUS-500905</t>
  </si>
  <si>
    <t>DINS-POL-200905</t>
  </si>
  <si>
    <t>DINS-CLM-100906</t>
  </si>
  <si>
    <t>DINS-CUS-500906</t>
  </si>
  <si>
    <t>DINS-POL-200906</t>
  </si>
  <si>
    <t>DINS-CLM-100907</t>
  </si>
  <si>
    <t>DINS-CUS-500907</t>
  </si>
  <si>
    <t>DINS-POL-200907</t>
  </si>
  <si>
    <t>DINS-CLM-100908</t>
  </si>
  <si>
    <t>DINS-CUS-500908</t>
  </si>
  <si>
    <t>DINS-POL-200908</t>
  </si>
  <si>
    <t>DINS-CLM-100909</t>
  </si>
  <si>
    <t>DINS-CUS-500909</t>
  </si>
  <si>
    <t>DINS-POL-200909</t>
  </si>
  <si>
    <t>DINS-CLM-100910</t>
  </si>
  <si>
    <t>DINS-CUS-500910</t>
  </si>
  <si>
    <t>DINS-POL-200910</t>
  </si>
  <si>
    <t>DINS-CLM-100911</t>
  </si>
  <si>
    <t>DINS-CUS-500911</t>
  </si>
  <si>
    <t>DINS-POL-200911</t>
  </si>
  <si>
    <t>DINS-CLM-100912</t>
  </si>
  <si>
    <t>DINS-CUS-500912</t>
  </si>
  <si>
    <t>DINS-POL-200912</t>
  </si>
  <si>
    <t>DINS-CLM-100913</t>
  </si>
  <si>
    <t>DINS-CUS-500913</t>
  </si>
  <si>
    <t>DINS-POL-200913</t>
  </si>
  <si>
    <t>DINS-CLM-100914</t>
  </si>
  <si>
    <t>DINS-CUS-500914</t>
  </si>
  <si>
    <t>DINS-POL-200914</t>
  </si>
  <si>
    <t>DINS-CLM-100915</t>
  </si>
  <si>
    <t>DINS-CUS-500915</t>
  </si>
  <si>
    <t>DINS-POL-200915</t>
  </si>
  <si>
    <t>DINS-CLM-100916</t>
  </si>
  <si>
    <t>DINS-CUS-500916</t>
  </si>
  <si>
    <t>DINS-POL-200916</t>
  </si>
  <si>
    <t>DINS-CLM-100917</t>
  </si>
  <si>
    <t>DINS-CUS-500917</t>
  </si>
  <si>
    <t>DINS-POL-200917</t>
  </si>
  <si>
    <t>DINS-CLM-100918</t>
  </si>
  <si>
    <t>DINS-CUS-500918</t>
  </si>
  <si>
    <t>DINS-POL-200918</t>
  </si>
  <si>
    <t>DINS-CLM-100919</t>
  </si>
  <si>
    <t>DINS-CUS-500919</t>
  </si>
  <si>
    <t>DINS-POL-200919</t>
  </si>
  <si>
    <t>DINS-CLM-100920</t>
  </si>
  <si>
    <t>DINS-CUS-500920</t>
  </si>
  <si>
    <t>DINS-POL-200920</t>
  </si>
  <si>
    <t>DINS-CLM-100921</t>
  </si>
  <si>
    <t>DINS-CUS-500921</t>
  </si>
  <si>
    <t>DINS-POL-200921</t>
  </si>
  <si>
    <t>DINS-CLM-100922</t>
  </si>
  <si>
    <t>DINS-CUS-500922</t>
  </si>
  <si>
    <t>DINS-POL-200922</t>
  </si>
  <si>
    <t>DINS-CLM-100923</t>
  </si>
  <si>
    <t>DINS-CUS-500923</t>
  </si>
  <si>
    <t>DINS-POL-200923</t>
  </si>
  <si>
    <t>DINS-CLM-100924</t>
  </si>
  <si>
    <t>DINS-CUS-500924</t>
  </si>
  <si>
    <t>DINS-POL-200924</t>
  </si>
  <si>
    <t>DINS-CLM-100925</t>
  </si>
  <si>
    <t>DINS-CUS-500925</t>
  </si>
  <si>
    <t>DINS-POL-200925</t>
  </si>
  <si>
    <t>DINS-CLM-100926</t>
  </si>
  <si>
    <t>DINS-CUS-500926</t>
  </si>
  <si>
    <t>DINS-POL-200926</t>
  </si>
  <si>
    <t>DINS-CLM-100927</t>
  </si>
  <si>
    <t>DINS-CUS-500927</t>
  </si>
  <si>
    <t>DINS-POL-200927</t>
  </si>
  <si>
    <t>DINS-CLM-100928</t>
  </si>
  <si>
    <t>DINS-CUS-500928</t>
  </si>
  <si>
    <t>DINS-POL-200928</t>
  </si>
  <si>
    <t>DINS-CLM-100929</t>
  </si>
  <si>
    <t>DINS-CUS-500929</t>
  </si>
  <si>
    <t>DINS-POL-200929</t>
  </si>
  <si>
    <t>DINS-CLM-100930</t>
  </si>
  <si>
    <t>DINS-CUS-500930</t>
  </si>
  <si>
    <t>DINS-POL-200930</t>
  </si>
  <si>
    <t>DINS-CLM-100931</t>
  </si>
  <si>
    <t>DINS-CUS-500931</t>
  </si>
  <si>
    <t>DINS-POL-200931</t>
  </si>
  <si>
    <t>DINS-CLM-100932</t>
  </si>
  <si>
    <t>DINS-CUS-500932</t>
  </si>
  <si>
    <t>DINS-POL-200932</t>
  </si>
  <si>
    <t>DINS-CLM-100933</t>
  </si>
  <si>
    <t>DINS-CUS-500933</t>
  </si>
  <si>
    <t>DINS-POL-200933</t>
  </si>
  <si>
    <t>DINS-CLM-100934</t>
  </si>
  <si>
    <t>DINS-CUS-500934</t>
  </si>
  <si>
    <t>DINS-POL-200934</t>
  </si>
  <si>
    <t>DINS-CLM-100935</t>
  </si>
  <si>
    <t>DINS-CUS-500935</t>
  </si>
  <si>
    <t>DINS-POL-200935</t>
  </si>
  <si>
    <t>DINS-CLM-100936</t>
  </si>
  <si>
    <t>DINS-CUS-500936</t>
  </si>
  <si>
    <t>DINS-POL-200936</t>
  </si>
  <si>
    <t>DINS-CLM-100937</t>
  </si>
  <si>
    <t>DINS-CUS-500937</t>
  </si>
  <si>
    <t>DINS-POL-200937</t>
  </si>
  <si>
    <t>DINS-CLM-100938</t>
  </si>
  <si>
    <t>DINS-CUS-500938</t>
  </si>
  <si>
    <t>DINS-POL-200938</t>
  </si>
  <si>
    <t>DINS-CLM-100939</t>
  </si>
  <si>
    <t>DINS-CUS-500939</t>
  </si>
  <si>
    <t>DINS-POL-200939</t>
  </si>
  <si>
    <t>DINS-CLM-100940</t>
  </si>
  <si>
    <t>DINS-CUS-500940</t>
  </si>
  <si>
    <t>DINS-POL-200940</t>
  </si>
  <si>
    <t>DINS-CLM-100941</t>
  </si>
  <si>
    <t>DINS-CUS-500941</t>
  </si>
  <si>
    <t>DINS-POL-200941</t>
  </si>
  <si>
    <t>DINS-CLM-100942</t>
  </si>
  <si>
    <t>DINS-CUS-500942</t>
  </si>
  <si>
    <t>DINS-POL-200942</t>
  </si>
  <si>
    <t>DINS-CLM-100943</t>
  </si>
  <si>
    <t>DINS-CUS-500943</t>
  </si>
  <si>
    <t>DINS-POL-200943</t>
  </si>
  <si>
    <t>DINS-CLM-100944</t>
  </si>
  <si>
    <t>DINS-CUS-500944</t>
  </si>
  <si>
    <t>DINS-POL-200944</t>
  </si>
  <si>
    <t>DINS-CLM-100945</t>
  </si>
  <si>
    <t>DINS-CUS-500945</t>
  </si>
  <si>
    <t>DINS-POL-200945</t>
  </si>
  <si>
    <t>DINS-CLM-100946</t>
  </si>
  <si>
    <t>DINS-CUS-500946</t>
  </si>
  <si>
    <t>DINS-POL-200946</t>
  </si>
  <si>
    <t>DINS-CLM-100947</t>
  </si>
  <si>
    <t>DINS-CUS-500947</t>
  </si>
  <si>
    <t>DINS-POL-200947</t>
  </si>
  <si>
    <t>DINS-CLM-100948</t>
  </si>
  <si>
    <t>DINS-CUS-500948</t>
  </si>
  <si>
    <t>DINS-POL-200948</t>
  </si>
  <si>
    <t>DINS-CLM-100949</t>
  </si>
  <si>
    <t>DINS-CUS-500949</t>
  </si>
  <si>
    <t>DINS-POL-200949</t>
  </si>
  <si>
    <t>DINS-CLM-100950</t>
  </si>
  <si>
    <t>DINS-CUS-500950</t>
  </si>
  <si>
    <t>DINS-POL-200950</t>
  </si>
  <si>
    <t>DINS-CLM-100951</t>
  </si>
  <si>
    <t>DINS-CUS-500951</t>
  </si>
  <si>
    <t>DINS-POL-200951</t>
  </si>
  <si>
    <t>DINS-CLM-100952</t>
  </si>
  <si>
    <t>DINS-CUS-500952</t>
  </si>
  <si>
    <t>DINS-POL-200952</t>
  </si>
  <si>
    <t>DINS-CLM-100953</t>
  </si>
  <si>
    <t>DINS-CUS-500953</t>
  </si>
  <si>
    <t>DINS-POL-200953</t>
  </si>
  <si>
    <t>DINS-CLM-100954</t>
  </si>
  <si>
    <t>DINS-CUS-500954</t>
  </si>
  <si>
    <t>DINS-POL-200954</t>
  </si>
  <si>
    <t>DINS-CLM-100955</t>
  </si>
  <si>
    <t>DINS-CUS-500955</t>
  </si>
  <si>
    <t>DINS-POL-200955</t>
  </si>
  <si>
    <t>DINS-CLM-100956</t>
  </si>
  <si>
    <t>DINS-CUS-500956</t>
  </si>
  <si>
    <t>DINS-POL-200956</t>
  </si>
  <si>
    <t>DINS-CLM-100957</t>
  </si>
  <si>
    <t>DINS-CUS-500957</t>
  </si>
  <si>
    <t>DINS-POL-200957</t>
  </si>
  <si>
    <t>DINS-CLM-100958</t>
  </si>
  <si>
    <t>DINS-CUS-500958</t>
  </si>
  <si>
    <t>DINS-POL-200958</t>
  </si>
  <si>
    <t>DINS-CLM-100959</t>
  </si>
  <si>
    <t>DINS-CUS-500959</t>
  </si>
  <si>
    <t>DINS-POL-200959</t>
  </si>
  <si>
    <t>DINS-CLM-100960</t>
  </si>
  <si>
    <t>DINS-CUS-500960</t>
  </si>
  <si>
    <t>DINS-POL-200960</t>
  </si>
  <si>
    <t>DINS-CLM-100961</t>
  </si>
  <si>
    <t>DINS-CUS-500961</t>
  </si>
  <si>
    <t>DINS-POL-200961</t>
  </si>
  <si>
    <t>DINS-CLM-100962</t>
  </si>
  <si>
    <t>DINS-CUS-500962</t>
  </si>
  <si>
    <t>DINS-POL-200962</t>
  </si>
  <si>
    <t>DINS-CLM-100963</t>
  </si>
  <si>
    <t>DINS-CUS-500963</t>
  </si>
  <si>
    <t>DINS-POL-200963</t>
  </si>
  <si>
    <t>DINS-CLM-100964</t>
  </si>
  <si>
    <t>DINS-CUS-500964</t>
  </si>
  <si>
    <t>DINS-POL-200964</t>
  </si>
  <si>
    <t>DINS-CLM-100965</t>
  </si>
  <si>
    <t>DINS-CUS-500965</t>
  </si>
  <si>
    <t>DINS-POL-200965</t>
  </si>
  <si>
    <t>DINS-CLM-100966</t>
  </si>
  <si>
    <t>DINS-CUS-500966</t>
  </si>
  <si>
    <t>DINS-POL-200966</t>
  </si>
  <si>
    <t>DINS-CLM-100967</t>
  </si>
  <si>
    <t>DINS-CUS-500967</t>
  </si>
  <si>
    <t>DINS-POL-200967</t>
  </si>
  <si>
    <t>DINS-CLM-100968</t>
  </si>
  <si>
    <t>DINS-CUS-500968</t>
  </si>
  <si>
    <t>DINS-POL-200968</t>
  </si>
  <si>
    <t>DINS-CLM-100969</t>
  </si>
  <si>
    <t>DINS-CUS-500969</t>
  </si>
  <si>
    <t>DINS-POL-200969</t>
  </si>
  <si>
    <t>DINS-CLM-100970</t>
  </si>
  <si>
    <t>DINS-CUS-500970</t>
  </si>
  <si>
    <t>DINS-POL-200970</t>
  </si>
  <si>
    <t>DINS-CLM-100971</t>
  </si>
  <si>
    <t>DINS-CUS-500971</t>
  </si>
  <si>
    <t>DINS-POL-200971</t>
  </si>
  <si>
    <t>DINS-CLM-100972</t>
  </si>
  <si>
    <t>DINS-CUS-500972</t>
  </si>
  <si>
    <t>DINS-POL-200972</t>
  </si>
  <si>
    <t>DINS-CLM-100973</t>
  </si>
  <si>
    <t>DINS-CUS-500973</t>
  </si>
  <si>
    <t>DINS-POL-200973</t>
  </si>
  <si>
    <t>DINS-CLM-100974</t>
  </si>
  <si>
    <t>DINS-CUS-500974</t>
  </si>
  <si>
    <t>DINS-POL-200974</t>
  </si>
  <si>
    <t>DINS-CLM-100975</t>
  </si>
  <si>
    <t>DINS-CUS-500975</t>
  </si>
  <si>
    <t>DINS-POL-200975</t>
  </si>
  <si>
    <t>DINS-CLM-100976</t>
  </si>
  <si>
    <t>DINS-CUS-500976</t>
  </si>
  <si>
    <t>DINS-POL-200976</t>
  </si>
  <si>
    <t>DINS-CLM-100977</t>
  </si>
  <si>
    <t>DINS-CUS-500977</t>
  </si>
  <si>
    <t>DINS-POL-200977</t>
  </si>
  <si>
    <t>DINS-CLM-100978</t>
  </si>
  <si>
    <t>DINS-CUS-500978</t>
  </si>
  <si>
    <t>DINS-POL-200978</t>
  </si>
  <si>
    <t>DINS-CLM-100979</t>
  </si>
  <si>
    <t>DINS-CUS-500979</t>
  </si>
  <si>
    <t>DINS-POL-200979</t>
  </si>
  <si>
    <t>DINS-CLM-100980</t>
  </si>
  <si>
    <t>DINS-CUS-500980</t>
  </si>
  <si>
    <t>DINS-POL-200980</t>
  </si>
  <si>
    <t>DINS-CLM-100981</t>
  </si>
  <si>
    <t>DINS-CUS-500981</t>
  </si>
  <si>
    <t>DINS-POL-200981</t>
  </si>
  <si>
    <t>DINS-CLM-100982</t>
  </si>
  <si>
    <t>DINS-CUS-500982</t>
  </si>
  <si>
    <t>DINS-POL-200982</t>
  </si>
  <si>
    <t>DINS-CLM-100983</t>
  </si>
  <si>
    <t>DINS-CUS-500983</t>
  </si>
  <si>
    <t>DINS-POL-200983</t>
  </si>
  <si>
    <t>DINS-CLM-100984</t>
  </si>
  <si>
    <t>DINS-CUS-500984</t>
  </si>
  <si>
    <t>DINS-POL-200984</t>
  </si>
  <si>
    <t>DINS-CLM-100985</t>
  </si>
  <si>
    <t>DINS-CUS-500985</t>
  </si>
  <si>
    <t>DINS-POL-200985</t>
  </si>
  <si>
    <t>DINS-CLM-100986</t>
  </si>
  <si>
    <t>DINS-CUS-500986</t>
  </si>
  <si>
    <t>DINS-POL-200986</t>
  </si>
  <si>
    <t>DINS-CLM-100987</t>
  </si>
  <si>
    <t>DINS-CUS-500987</t>
  </si>
  <si>
    <t>DINS-POL-200987</t>
  </si>
  <si>
    <t>DINS-CLM-100988</t>
  </si>
  <si>
    <t>DINS-CUS-500988</t>
  </si>
  <si>
    <t>DINS-POL-200988</t>
  </si>
  <si>
    <t>DINS-CLM-100989</t>
  </si>
  <si>
    <t>DINS-CUS-500989</t>
  </si>
  <si>
    <t>DINS-POL-200989</t>
  </si>
  <si>
    <t>DINS-CLM-100990</t>
  </si>
  <si>
    <t>DINS-CUS-500990</t>
  </si>
  <si>
    <t>DINS-POL-200990</t>
  </si>
  <si>
    <t>DINS-CLM-100991</t>
  </si>
  <si>
    <t>DINS-CUS-500991</t>
  </si>
  <si>
    <t>DINS-POL-200991</t>
  </si>
  <si>
    <t>DINS-CLM-100992</t>
  </si>
  <si>
    <t>DINS-CUS-500992</t>
  </si>
  <si>
    <t>DINS-POL-200992</t>
  </si>
  <si>
    <t>DINS-CLM-100993</t>
  </si>
  <si>
    <t>DINS-CUS-500993</t>
  </si>
  <si>
    <t>DINS-POL-200993</t>
  </si>
  <si>
    <t>DINS-CLM-100994</t>
  </si>
  <si>
    <t>DINS-CUS-500994</t>
  </si>
  <si>
    <t>DINS-POL-200994</t>
  </si>
  <si>
    <t>DINS-CLM-100995</t>
  </si>
  <si>
    <t>DINS-CUS-500995</t>
  </si>
  <si>
    <t>DINS-POL-200995</t>
  </si>
  <si>
    <t>DINS-CLM-100996</t>
  </si>
  <si>
    <t>DINS-CUS-500996</t>
  </si>
  <si>
    <t>DINS-POL-200996</t>
  </si>
  <si>
    <t>DINS-CLM-100997</t>
  </si>
  <si>
    <t>DINS-CUS-500997</t>
  </si>
  <si>
    <t>DINS-POL-200997</t>
  </si>
  <si>
    <t>DINS-CLM-100998</t>
  </si>
  <si>
    <t>DINS-CUS-500998</t>
  </si>
  <si>
    <t>DINS-POL-200998</t>
  </si>
  <si>
    <t>DINS-CLM-100999</t>
  </si>
  <si>
    <t>DINS-CUS-500999</t>
  </si>
  <si>
    <t>DINS-POL-200999</t>
  </si>
  <si>
    <t>DINS-CLM-101000</t>
  </si>
  <si>
    <t>DINS-CUS-501000</t>
  </si>
  <si>
    <t>DINS-POL-201000</t>
  </si>
  <si>
    <t>DINS-CLM-101001</t>
  </si>
  <si>
    <t>DINS-CUS-501001</t>
  </si>
  <si>
    <t>DINS-POL-201001</t>
  </si>
  <si>
    <t>DINS-CLM-101002</t>
  </si>
  <si>
    <t>DINS-CUS-501002</t>
  </si>
  <si>
    <t>DINS-POL-201002</t>
  </si>
  <si>
    <t>DINS-CLM-101003</t>
  </si>
  <si>
    <t>DINS-CUS-501003</t>
  </si>
  <si>
    <t>DINS-POL-201003</t>
  </si>
  <si>
    <t>DINS-CLM-101004</t>
  </si>
  <si>
    <t>DINS-CUS-501004</t>
  </si>
  <si>
    <t>DINS-POL-201004</t>
  </si>
  <si>
    <t>DINS-CLM-101005</t>
  </si>
  <si>
    <t>DINS-CUS-501005</t>
  </si>
  <si>
    <t>DINS-POL-201005</t>
  </si>
  <si>
    <t>DINS-CLM-101006</t>
  </si>
  <si>
    <t>DINS-CUS-501006</t>
  </si>
  <si>
    <t>DINS-POL-201006</t>
  </si>
  <si>
    <t>DINS-CLM-101007</t>
  </si>
  <si>
    <t>DINS-CUS-501007</t>
  </si>
  <si>
    <t>DINS-POL-201007</t>
  </si>
  <si>
    <t>DINS-CLM-101008</t>
  </si>
  <si>
    <t>DINS-CUS-501008</t>
  </si>
  <si>
    <t>DINS-POL-201008</t>
  </si>
  <si>
    <t>DINS-CLM-101009</t>
  </si>
  <si>
    <t>DINS-CUS-501009</t>
  </si>
  <si>
    <t>DINS-POL-201009</t>
  </si>
  <si>
    <t>DINS-CLM-101010</t>
  </si>
  <si>
    <t>DINS-CUS-501010</t>
  </si>
  <si>
    <t>DINS-POL-201010</t>
  </si>
  <si>
    <t>DINS-CLM-101011</t>
  </si>
  <si>
    <t>DINS-CUS-501011</t>
  </si>
  <si>
    <t>DINS-POL-201011</t>
  </si>
  <si>
    <t>DINS-CLM-101012</t>
  </si>
  <si>
    <t>DINS-CUS-501012</t>
  </si>
  <si>
    <t>DINS-POL-201012</t>
  </si>
  <si>
    <t>DINS-CLM-101013</t>
  </si>
  <si>
    <t>DINS-CUS-501013</t>
  </si>
  <si>
    <t>DINS-POL-201013</t>
  </si>
  <si>
    <t>DINS-CLM-101014</t>
  </si>
  <si>
    <t>DINS-CUS-501014</t>
  </si>
  <si>
    <t>DINS-POL-201014</t>
  </si>
  <si>
    <t>DINS-CLM-101015</t>
  </si>
  <si>
    <t>DINS-CUS-501015</t>
  </si>
  <si>
    <t>DINS-POL-201015</t>
  </si>
  <si>
    <t>DINS-CLM-101016</t>
  </si>
  <si>
    <t>DINS-CUS-501016</t>
  </si>
  <si>
    <t>DINS-POL-201016</t>
  </si>
  <si>
    <t>DINS-CLM-101017</t>
  </si>
  <si>
    <t>DINS-CUS-501017</t>
  </si>
  <si>
    <t>DINS-POL-201017</t>
  </si>
  <si>
    <t>DINS-CLM-101018</t>
  </si>
  <si>
    <t>DINS-CUS-501018</t>
  </si>
  <si>
    <t>DINS-POL-201018</t>
  </si>
  <si>
    <t>DINS-CLM-101019</t>
  </si>
  <si>
    <t>DINS-CUS-501019</t>
  </si>
  <si>
    <t>DINS-POL-201019</t>
  </si>
  <si>
    <t>DINS-CLM-101020</t>
  </si>
  <si>
    <t>DINS-CUS-501020</t>
  </si>
  <si>
    <t>DINS-POL-201020</t>
  </si>
  <si>
    <t>DINS-CLM-101021</t>
  </si>
  <si>
    <t>DINS-CUS-501021</t>
  </si>
  <si>
    <t>DINS-POL-201021</t>
  </si>
  <si>
    <t>DINS-CLM-101022</t>
  </si>
  <si>
    <t>DINS-CUS-501022</t>
  </si>
  <si>
    <t>DINS-POL-201022</t>
  </si>
  <si>
    <t>DINS-CLM-101023</t>
  </si>
  <si>
    <t>DINS-CUS-501023</t>
  </si>
  <si>
    <t>DINS-POL-201023</t>
  </si>
  <si>
    <t>DINS-CLM-101024</t>
  </si>
  <si>
    <t>DINS-CUS-501024</t>
  </si>
  <si>
    <t>DINS-POL-201024</t>
  </si>
  <si>
    <t>DINS-CLM-101025</t>
  </si>
  <si>
    <t>DINS-CUS-501025</t>
  </si>
  <si>
    <t>DINS-POL-201025</t>
  </si>
  <si>
    <t>DINS-CLM-101026</t>
  </si>
  <si>
    <t>DINS-CUS-501026</t>
  </si>
  <si>
    <t>DINS-POL-201026</t>
  </si>
  <si>
    <t>DINS-CLM-101027</t>
  </si>
  <si>
    <t>DINS-CUS-501027</t>
  </si>
  <si>
    <t>DINS-POL-201027</t>
  </si>
  <si>
    <t>DINS-CLM-101028</t>
  </si>
  <si>
    <t>DINS-CUS-501028</t>
  </si>
  <si>
    <t>DINS-POL-201028</t>
  </si>
  <si>
    <t>DINS-CLM-101029</t>
  </si>
  <si>
    <t>DINS-CUS-501029</t>
  </si>
  <si>
    <t>DINS-POL-201029</t>
  </si>
  <si>
    <t>DINS-CLM-101030</t>
  </si>
  <si>
    <t>DINS-CUS-501030</t>
  </si>
  <si>
    <t>DINS-POL-201030</t>
  </si>
  <si>
    <t>DINS-CLM-101031</t>
  </si>
  <si>
    <t>DINS-CUS-501031</t>
  </si>
  <si>
    <t>DINS-POL-201031</t>
  </si>
  <si>
    <t>DINS-CLM-101032</t>
  </si>
  <si>
    <t>DINS-CUS-501032</t>
  </si>
  <si>
    <t>DINS-POL-201032</t>
  </si>
  <si>
    <t>DINS-CLM-101033</t>
  </si>
  <si>
    <t>DINS-CUS-501033</t>
  </si>
  <si>
    <t>DINS-POL-201033</t>
  </si>
  <si>
    <t>DINS-CLM-101034</t>
  </si>
  <si>
    <t>DINS-CUS-501034</t>
  </si>
  <si>
    <t>DINS-POL-201034</t>
  </si>
  <si>
    <t>DINS-CLM-101035</t>
  </si>
  <si>
    <t>DINS-CUS-501035</t>
  </si>
  <si>
    <t>DINS-POL-201035</t>
  </si>
  <si>
    <t>DINS-CLM-101036</t>
  </si>
  <si>
    <t>DINS-CUS-501036</t>
  </si>
  <si>
    <t>DINS-POL-201036</t>
  </si>
  <si>
    <t>DINS-CLM-101037</t>
  </si>
  <si>
    <t>DINS-CUS-501037</t>
  </si>
  <si>
    <t>DINS-POL-201037</t>
  </si>
  <si>
    <t>DINS-CLM-101038</t>
  </si>
  <si>
    <t>DINS-CUS-501038</t>
  </si>
  <si>
    <t>DINS-POL-201038</t>
  </si>
  <si>
    <t>DINS-CLM-101039</t>
  </si>
  <si>
    <t>DINS-CUS-501039</t>
  </si>
  <si>
    <t>DINS-POL-201039</t>
  </si>
  <si>
    <t>DINS-CLM-101040</t>
  </si>
  <si>
    <t>DINS-CUS-501040</t>
  </si>
  <si>
    <t>DINS-POL-201040</t>
  </si>
  <si>
    <t>DINS-CLM-101041</t>
  </si>
  <si>
    <t>DINS-CUS-501041</t>
  </si>
  <si>
    <t>DINS-POL-201041</t>
  </si>
  <si>
    <t>DINS-CLM-101042</t>
  </si>
  <si>
    <t>DINS-CUS-501042</t>
  </si>
  <si>
    <t>DINS-POL-201042</t>
  </si>
  <si>
    <t>DINS-CLM-101043</t>
  </si>
  <si>
    <t>DINS-CUS-501043</t>
  </si>
  <si>
    <t>DINS-POL-201043</t>
  </si>
  <si>
    <t>DINS-CLM-101044</t>
  </si>
  <si>
    <t>DINS-CUS-501044</t>
  </si>
  <si>
    <t>DINS-POL-201044</t>
  </si>
  <si>
    <t>DINS-CLM-101045</t>
  </si>
  <si>
    <t>DINS-CUS-501045</t>
  </si>
  <si>
    <t>DINS-POL-201045</t>
  </si>
  <si>
    <t>DINS-CLM-101046</t>
  </si>
  <si>
    <t>DINS-CUS-501046</t>
  </si>
  <si>
    <t>DINS-POL-201046</t>
  </si>
  <si>
    <t>DINS-CLM-101047</t>
  </si>
  <si>
    <t>DINS-CUS-501047</t>
  </si>
  <si>
    <t>DINS-POL-201047</t>
  </si>
  <si>
    <t>DINS-CLM-101048</t>
  </si>
  <si>
    <t>DINS-CUS-501048</t>
  </si>
  <si>
    <t>DINS-POL-201048</t>
  </si>
  <si>
    <t>DINS-CLM-101049</t>
  </si>
  <si>
    <t>DINS-CUS-501049</t>
  </si>
  <si>
    <t>DINS-POL-201049</t>
  </si>
  <si>
    <t>DINS-CLM-101050</t>
  </si>
  <si>
    <t>DINS-CUS-501050</t>
  </si>
  <si>
    <t>DINS-POL-201050</t>
  </si>
  <si>
    <t>DINS-CLM-101051</t>
  </si>
  <si>
    <t>DINS-CUS-501051</t>
  </si>
  <si>
    <t>DINS-POL-201051</t>
  </si>
  <si>
    <t>DINS-CLM-101052</t>
  </si>
  <si>
    <t>DINS-CUS-501052</t>
  </si>
  <si>
    <t>DINS-POL-201052</t>
  </si>
  <si>
    <t>DINS-CLM-101053</t>
  </si>
  <si>
    <t>DINS-CUS-501053</t>
  </si>
  <si>
    <t>DINS-POL-201053</t>
  </si>
  <si>
    <t>DINS-CLM-101054</t>
  </si>
  <si>
    <t>DINS-CUS-501054</t>
  </si>
  <si>
    <t>DINS-POL-201054</t>
  </si>
  <si>
    <t>DINS-CLM-101055</t>
  </si>
  <si>
    <t>DINS-CUS-501055</t>
  </si>
  <si>
    <t>DINS-POL-201055</t>
  </si>
  <si>
    <t>DINS-CLM-101056</t>
  </si>
  <si>
    <t>DINS-CUS-501056</t>
  </si>
  <si>
    <t>DINS-POL-201056</t>
  </si>
  <si>
    <t>DINS-CLM-101057</t>
  </si>
  <si>
    <t>DINS-CUS-501057</t>
  </si>
  <si>
    <t>DINS-POL-201057</t>
  </si>
  <si>
    <t>DINS-CLM-101058</t>
  </si>
  <si>
    <t>DINS-CUS-501058</t>
  </si>
  <si>
    <t>DINS-POL-201058</t>
  </si>
  <si>
    <t>DINS-CLM-101059</t>
  </si>
  <si>
    <t>DINS-CUS-501059</t>
  </si>
  <si>
    <t>DINS-POL-201059</t>
  </si>
  <si>
    <t>DINS-CLM-101060</t>
  </si>
  <si>
    <t>DINS-CUS-501060</t>
  </si>
  <si>
    <t>DINS-POL-201060</t>
  </si>
  <si>
    <t>DINS-CLM-101061</t>
  </si>
  <si>
    <t>DINS-CUS-501061</t>
  </si>
  <si>
    <t>DINS-POL-201061</t>
  </si>
  <si>
    <t>DINS-CLM-101062</t>
  </si>
  <si>
    <t>DINS-CUS-501062</t>
  </si>
  <si>
    <t>DINS-POL-201062</t>
  </si>
  <si>
    <t>DINS-CLM-101063</t>
  </si>
  <si>
    <t>DINS-CUS-501063</t>
  </si>
  <si>
    <t>DINS-POL-201063</t>
  </si>
  <si>
    <t>DINS-CLM-101064</t>
  </si>
  <si>
    <t>DINS-CUS-501064</t>
  </si>
  <si>
    <t>DINS-POL-201064</t>
  </si>
  <si>
    <t>DINS-CLM-101065</t>
  </si>
  <si>
    <t>DINS-CUS-501065</t>
  </si>
  <si>
    <t>DINS-POL-201065</t>
  </si>
  <si>
    <t>DINS-CLM-101066</t>
  </si>
  <si>
    <t>DINS-CUS-501066</t>
  </si>
  <si>
    <t>DINS-POL-201066</t>
  </si>
  <si>
    <t>DINS-CLM-101067</t>
  </si>
  <si>
    <t>DINS-CUS-501067</t>
  </si>
  <si>
    <t>DINS-POL-201067</t>
  </si>
  <si>
    <t>DINS-CLM-101068</t>
  </si>
  <si>
    <t>DINS-CUS-501068</t>
  </si>
  <si>
    <t>DINS-POL-201068</t>
  </si>
  <si>
    <t>DINS-CLM-101069</t>
  </si>
  <si>
    <t>DINS-CUS-501069</t>
  </si>
  <si>
    <t>DINS-POL-201069</t>
  </si>
  <si>
    <t>DINS-CLM-101070</t>
  </si>
  <si>
    <t>DINS-CUS-501070</t>
  </si>
  <si>
    <t>DINS-POL-201070</t>
  </si>
  <si>
    <t>DINS-CLM-101071</t>
  </si>
  <si>
    <t>DINS-CUS-501071</t>
  </si>
  <si>
    <t>DINS-POL-201071</t>
  </si>
  <si>
    <t>DINS-CLM-101072</t>
  </si>
  <si>
    <t>DINS-CUS-501072</t>
  </si>
  <si>
    <t>DINS-POL-201072</t>
  </si>
  <si>
    <t>DINS-CLM-101073</t>
  </si>
  <si>
    <t>DINS-CUS-501073</t>
  </si>
  <si>
    <t>DINS-POL-201073</t>
  </si>
  <si>
    <t>DINS-CLM-101074</t>
  </si>
  <si>
    <t>DINS-CUS-501074</t>
  </si>
  <si>
    <t>DINS-POL-201074</t>
  </si>
  <si>
    <t>DINS-CLM-101075</t>
  </si>
  <si>
    <t>DINS-CUS-501075</t>
  </si>
  <si>
    <t>DINS-POL-201075</t>
  </si>
  <si>
    <t>DINS-CLM-101076</t>
  </si>
  <si>
    <t>DINS-CUS-501076</t>
  </si>
  <si>
    <t>DINS-POL-201076</t>
  </si>
  <si>
    <t>DINS-CLM-101077</t>
  </si>
  <si>
    <t>DINS-CUS-501077</t>
  </si>
  <si>
    <t>DINS-POL-201077</t>
  </si>
  <si>
    <t>DINS-CLM-101078</t>
  </si>
  <si>
    <t>DINS-CUS-501078</t>
  </si>
  <si>
    <t>DINS-POL-201078</t>
  </si>
  <si>
    <t>DINS-CLM-101079</t>
  </si>
  <si>
    <t>DINS-CUS-501079</t>
  </si>
  <si>
    <t>DINS-POL-201079</t>
  </si>
  <si>
    <t>DINS-CLM-101080</t>
  </si>
  <si>
    <t>DINS-CUS-501080</t>
  </si>
  <si>
    <t>DINS-POL-201080</t>
  </si>
  <si>
    <t>DINS-CLM-101081</t>
  </si>
  <si>
    <t>DINS-CUS-501081</t>
  </si>
  <si>
    <t>DINS-POL-201081</t>
  </si>
  <si>
    <t>DINS-CLM-101082</t>
  </si>
  <si>
    <t>DINS-CUS-501082</t>
  </si>
  <si>
    <t>DINS-POL-201082</t>
  </si>
  <si>
    <t>DINS-CLM-101083</t>
  </si>
  <si>
    <t>DINS-CUS-501083</t>
  </si>
  <si>
    <t>DINS-POL-201083</t>
  </si>
  <si>
    <t>DINS-CLM-101084</t>
  </si>
  <si>
    <t>DINS-CUS-501084</t>
  </si>
  <si>
    <t>DINS-POL-201084</t>
  </si>
  <si>
    <t>DINS-CLM-101085</t>
  </si>
  <si>
    <t>DINS-CUS-501085</t>
  </si>
  <si>
    <t>DINS-POL-201085</t>
  </si>
  <si>
    <t>DINS-CLM-101086</t>
  </si>
  <si>
    <t>DINS-CUS-501086</t>
  </si>
  <si>
    <t>DINS-POL-201086</t>
  </si>
  <si>
    <t>DINS-CLM-101087</t>
  </si>
  <si>
    <t>DINS-CUS-501087</t>
  </si>
  <si>
    <t>DINS-POL-201087</t>
  </si>
  <si>
    <t>DINS-CLM-101088</t>
  </si>
  <si>
    <t>DINS-CUS-501088</t>
  </si>
  <si>
    <t>DINS-POL-201088</t>
  </si>
  <si>
    <t>DINS-CLM-101089</t>
  </si>
  <si>
    <t>DINS-CUS-501089</t>
  </si>
  <si>
    <t>DINS-POL-201089</t>
  </si>
  <si>
    <t>DINS-CLM-101090</t>
  </si>
  <si>
    <t>DINS-CUS-501090</t>
  </si>
  <si>
    <t>DINS-POL-201090</t>
  </si>
  <si>
    <t>DINS-CLM-101091</t>
  </si>
  <si>
    <t>DINS-CUS-501091</t>
  </si>
  <si>
    <t>DINS-POL-201091</t>
  </si>
  <si>
    <t>DINS-CLM-101092</t>
  </si>
  <si>
    <t>DINS-CUS-501092</t>
  </si>
  <si>
    <t>DINS-POL-201092</t>
  </si>
  <si>
    <t>DINS-CLM-101093</t>
  </si>
  <si>
    <t>DINS-CUS-501093</t>
  </si>
  <si>
    <t>DINS-POL-201093</t>
  </si>
  <si>
    <t>DINS-CLM-101094</t>
  </si>
  <si>
    <t>DINS-CUS-501094</t>
  </si>
  <si>
    <t>DINS-POL-201094</t>
  </si>
  <si>
    <t>DINS-CLM-101095</t>
  </si>
  <si>
    <t>DINS-CUS-501095</t>
  </si>
  <si>
    <t>DINS-POL-201095</t>
  </si>
  <si>
    <t>DINS-CLM-101096</t>
  </si>
  <si>
    <t>DINS-CUS-501096</t>
  </si>
  <si>
    <t>DINS-POL-201096</t>
  </si>
  <si>
    <t>DINS-CLM-101097</t>
  </si>
  <si>
    <t>DINS-CUS-501097</t>
  </si>
  <si>
    <t>DINS-POL-201097</t>
  </si>
  <si>
    <t>DINS-CLM-101098</t>
  </si>
  <si>
    <t>DINS-CUS-501098</t>
  </si>
  <si>
    <t>DINS-POL-201098</t>
  </si>
  <si>
    <t>DINS-CLM-101099</t>
  </si>
  <si>
    <t>DINS-CUS-501099</t>
  </si>
  <si>
    <t>DINS-POL-201099</t>
  </si>
  <si>
    <t>DINS-CLM-101100</t>
  </si>
  <si>
    <t>DINS-CUS-501100</t>
  </si>
  <si>
    <t>DINS-POL-201100</t>
  </si>
  <si>
    <t>DINS-CLM-101101</t>
  </si>
  <si>
    <t>DINS-CUS-501101</t>
  </si>
  <si>
    <t>DINS-POL-201101</t>
  </si>
  <si>
    <t>DINS-CLM-101102</t>
  </si>
  <si>
    <t>DINS-CUS-501102</t>
  </si>
  <si>
    <t>DINS-POL-201102</t>
  </si>
  <si>
    <t>DINS-CLM-101103</t>
  </si>
  <si>
    <t>DINS-CUS-501103</t>
  </si>
  <si>
    <t>DINS-POL-201103</t>
  </si>
  <si>
    <t>DINS-CLM-101104</t>
  </si>
  <si>
    <t>DINS-CUS-501104</t>
  </si>
  <si>
    <t>DINS-POL-201104</t>
  </si>
  <si>
    <t>DINS-CLM-101105</t>
  </si>
  <si>
    <t>DINS-CUS-501105</t>
  </si>
  <si>
    <t>DINS-POL-201105</t>
  </si>
  <si>
    <t>DINS-CLM-101106</t>
  </si>
  <si>
    <t>DINS-CUS-501106</t>
  </si>
  <si>
    <t>DINS-POL-201106</t>
  </si>
  <si>
    <t>DINS-CLM-101107</t>
  </si>
  <si>
    <t>DINS-CUS-501107</t>
  </si>
  <si>
    <t>DINS-POL-201107</t>
  </si>
  <si>
    <t>DINS-CLM-101108</t>
  </si>
  <si>
    <t>DINS-CUS-501108</t>
  </si>
  <si>
    <t>DINS-POL-201108</t>
  </si>
  <si>
    <t>DINS-CLM-101109</t>
  </si>
  <si>
    <t>DINS-CUS-501109</t>
  </si>
  <si>
    <t>DINS-POL-201109</t>
  </si>
  <si>
    <t>DINS-CLM-101110</t>
  </si>
  <si>
    <t>DINS-CUS-501110</t>
  </si>
  <si>
    <t>DINS-POL-201110</t>
  </si>
  <si>
    <t>DINS-CLM-101111</t>
  </si>
  <si>
    <t>DINS-CUS-501111</t>
  </si>
  <si>
    <t>DINS-POL-201111</t>
  </si>
  <si>
    <t>DINS-CLM-101112</t>
  </si>
  <si>
    <t>DINS-CUS-501112</t>
  </si>
  <si>
    <t>DINS-POL-201112</t>
  </si>
  <si>
    <t>DINS-CLM-101113</t>
  </si>
  <si>
    <t>DINS-CUS-501113</t>
  </si>
  <si>
    <t>DINS-POL-201113</t>
  </si>
  <si>
    <t>DINS-CLM-101114</t>
  </si>
  <si>
    <t>DINS-CUS-501114</t>
  </si>
  <si>
    <t>DINS-POL-201114</t>
  </si>
  <si>
    <t>DINS-CLM-101115</t>
  </si>
  <si>
    <t>DINS-CUS-501115</t>
  </si>
  <si>
    <t>DINS-POL-201115</t>
  </si>
  <si>
    <t>DINS-CLM-101116</t>
  </si>
  <si>
    <t>DINS-CUS-501116</t>
  </si>
  <si>
    <t>DINS-POL-201116</t>
  </si>
  <si>
    <t>DINS-CLM-101117</t>
  </si>
  <si>
    <t>DINS-CUS-501117</t>
  </si>
  <si>
    <t>DINS-POL-201117</t>
  </si>
  <si>
    <t>DINS-CLM-101118</t>
  </si>
  <si>
    <t>DINS-CUS-501118</t>
  </si>
  <si>
    <t>DINS-POL-201118</t>
  </si>
  <si>
    <t>DINS-CLM-101119</t>
  </si>
  <si>
    <t>DINS-CUS-501119</t>
  </si>
  <si>
    <t>DINS-POL-201119</t>
  </si>
  <si>
    <t>DINS-CLM-101120</t>
  </si>
  <si>
    <t>DINS-CUS-501120</t>
  </si>
  <si>
    <t>DINS-POL-201120</t>
  </si>
  <si>
    <t>DINS-CLM-101121</t>
  </si>
  <si>
    <t>DINS-CUS-501121</t>
  </si>
  <si>
    <t>DINS-POL-201121</t>
  </si>
  <si>
    <t>DINS-CLM-101122</t>
  </si>
  <si>
    <t>DINS-CUS-501122</t>
  </si>
  <si>
    <t>DINS-POL-201122</t>
  </si>
  <si>
    <t>DINS-CLM-101123</t>
  </si>
  <si>
    <t>DINS-CUS-501123</t>
  </si>
  <si>
    <t>DINS-POL-201123</t>
  </si>
  <si>
    <t>DINS-CLM-101124</t>
  </si>
  <si>
    <t>DINS-CUS-501124</t>
  </si>
  <si>
    <t>DINS-POL-201124</t>
  </si>
  <si>
    <t>DINS-CLM-101125</t>
  </si>
  <si>
    <t>DINS-CUS-501125</t>
  </si>
  <si>
    <t>DINS-POL-201125</t>
  </si>
  <si>
    <t>DINS-CLM-101126</t>
  </si>
  <si>
    <t>DINS-CUS-501126</t>
  </si>
  <si>
    <t>DINS-POL-201126</t>
  </si>
  <si>
    <t>DINS-CLM-101127</t>
  </si>
  <si>
    <t>DINS-CUS-501127</t>
  </si>
  <si>
    <t>DINS-POL-201127</t>
  </si>
  <si>
    <t>DINS-CLM-101128</t>
  </si>
  <si>
    <t>DINS-CUS-501128</t>
  </si>
  <si>
    <t>DINS-POL-201128</t>
  </si>
  <si>
    <t>DINS-CLM-101129</t>
  </si>
  <si>
    <t>DINS-CUS-501129</t>
  </si>
  <si>
    <t>DINS-POL-201129</t>
  </si>
  <si>
    <t>DINS-CLM-101130</t>
  </si>
  <si>
    <t>DINS-CUS-501130</t>
  </si>
  <si>
    <t>DINS-POL-201130</t>
  </si>
  <si>
    <t>DINS-CLM-101131</t>
  </si>
  <si>
    <t>DINS-CUS-501131</t>
  </si>
  <si>
    <t>DINS-POL-201131</t>
  </si>
  <si>
    <t>DINS-CLM-101132</t>
  </si>
  <si>
    <t>DINS-CUS-501132</t>
  </si>
  <si>
    <t>DINS-POL-201132</t>
  </si>
  <si>
    <t>DINS-CLM-101133</t>
  </si>
  <si>
    <t>DINS-CUS-501133</t>
  </si>
  <si>
    <t>DINS-POL-201133</t>
  </si>
  <si>
    <t>DINS-CLM-101134</t>
  </si>
  <si>
    <t>DINS-CUS-501134</t>
  </si>
  <si>
    <t>DINS-POL-201134</t>
  </si>
  <si>
    <t>DINS-CLM-101135</t>
  </si>
  <si>
    <t>DINS-CUS-501135</t>
  </si>
  <si>
    <t>DINS-POL-201135</t>
  </si>
  <si>
    <t>DINS-CLM-101136</t>
  </si>
  <si>
    <t>DINS-CUS-501136</t>
  </si>
  <si>
    <t>DINS-POL-201136</t>
  </si>
  <si>
    <t>DINS-CLM-101137</t>
  </si>
  <si>
    <t>DINS-CUS-501137</t>
  </si>
  <si>
    <t>DINS-POL-201137</t>
  </si>
  <si>
    <t>DINS-CLM-101138</t>
  </si>
  <si>
    <t>DINS-CUS-501138</t>
  </si>
  <si>
    <t>DINS-POL-201138</t>
  </si>
  <si>
    <t>DINS-CLM-101139</t>
  </si>
  <si>
    <t>DINS-CUS-501139</t>
  </si>
  <si>
    <t>DINS-POL-201139</t>
  </si>
  <si>
    <t>DINS-CLM-101140</t>
  </si>
  <si>
    <t>DINS-CUS-501140</t>
  </si>
  <si>
    <t>DINS-POL-201140</t>
  </si>
  <si>
    <t>DINS-CLM-101141</t>
  </si>
  <si>
    <t>DINS-CUS-501141</t>
  </si>
  <si>
    <t>DINS-POL-201141</t>
  </si>
  <si>
    <t>DINS-CLM-101142</t>
  </si>
  <si>
    <t>DINS-CUS-501142</t>
  </si>
  <si>
    <t>DINS-POL-201142</t>
  </si>
  <si>
    <t>DINS-CLM-101143</t>
  </si>
  <si>
    <t>DINS-CUS-501143</t>
  </si>
  <si>
    <t>DINS-POL-201143</t>
  </si>
  <si>
    <t>DINS-CLM-101144</t>
  </si>
  <si>
    <t>DINS-CUS-501144</t>
  </si>
  <si>
    <t>DINS-POL-201144</t>
  </si>
  <si>
    <t>DINS-CLM-101145</t>
  </si>
  <si>
    <t>DINS-CUS-501145</t>
  </si>
  <si>
    <t>DINS-POL-201145</t>
  </si>
  <si>
    <t>DINS-CLM-101146</t>
  </si>
  <si>
    <t>DINS-CUS-501146</t>
  </si>
  <si>
    <t>DINS-POL-201146</t>
  </si>
  <si>
    <t>DINS-CLM-101147</t>
  </si>
  <si>
    <t>DINS-CUS-501147</t>
  </si>
  <si>
    <t>DINS-POL-201147</t>
  </si>
  <si>
    <t>DINS-CLM-101148</t>
  </si>
  <si>
    <t>DINS-CUS-501148</t>
  </si>
  <si>
    <t>DINS-POL-201148</t>
  </si>
  <si>
    <t>DINS-CLM-101149</t>
  </si>
  <si>
    <t>DINS-CUS-501149</t>
  </si>
  <si>
    <t>DINS-POL-201149</t>
  </si>
  <si>
    <t>DINS-CLM-101150</t>
  </si>
  <si>
    <t>DINS-CUS-501150</t>
  </si>
  <si>
    <t>DINS-POL-201150</t>
  </si>
  <si>
    <t>DINS-CLM-101151</t>
  </si>
  <si>
    <t>DINS-CUS-501151</t>
  </si>
  <si>
    <t>DINS-POL-201151</t>
  </si>
  <si>
    <t>DINS-CLM-101152</t>
  </si>
  <si>
    <t>DINS-CUS-501152</t>
  </si>
  <si>
    <t>DINS-POL-201152</t>
  </si>
  <si>
    <t>DINS-CLM-101153</t>
  </si>
  <si>
    <t>DINS-CUS-501153</t>
  </si>
  <si>
    <t>DINS-POL-201153</t>
  </si>
  <si>
    <t>DINS-CLM-101154</t>
  </si>
  <si>
    <t>DINS-CUS-501154</t>
  </si>
  <si>
    <t>DINS-POL-201154</t>
  </si>
  <si>
    <t>DINS-CLM-101155</t>
  </si>
  <si>
    <t>DINS-CUS-501155</t>
  </si>
  <si>
    <t>DINS-POL-201155</t>
  </si>
  <si>
    <t>DINS-CLM-101156</t>
  </si>
  <si>
    <t>DINS-CUS-501156</t>
  </si>
  <si>
    <t>DINS-POL-201156</t>
  </si>
  <si>
    <t>DINS-CLM-101157</t>
  </si>
  <si>
    <t>DINS-CUS-501157</t>
  </si>
  <si>
    <t>DINS-POL-201157</t>
  </si>
  <si>
    <t>DINS-CLM-101158</t>
  </si>
  <si>
    <t>DINS-CUS-501158</t>
  </si>
  <si>
    <t>DINS-POL-201158</t>
  </si>
  <si>
    <t>DINS-CLM-101159</t>
  </si>
  <si>
    <t>DINS-CUS-501159</t>
  </si>
  <si>
    <t>DINS-POL-201159</t>
  </si>
  <si>
    <t>DINS-CLM-101160</t>
  </si>
  <si>
    <t>DINS-CUS-501160</t>
  </si>
  <si>
    <t>DINS-POL-201160</t>
  </si>
  <si>
    <t>DINS-CLM-101161</t>
  </si>
  <si>
    <t>DINS-CUS-501161</t>
  </si>
  <si>
    <t>DINS-POL-201161</t>
  </si>
  <si>
    <t>DINS-CLM-101162</t>
  </si>
  <si>
    <t>DINS-CUS-501162</t>
  </si>
  <si>
    <t>DINS-POL-201162</t>
  </si>
  <si>
    <t>DINS-CLM-101163</t>
  </si>
  <si>
    <t>DINS-CUS-501163</t>
  </si>
  <si>
    <t>DINS-POL-201163</t>
  </si>
  <si>
    <t>DINS-CLM-101164</t>
  </si>
  <si>
    <t>DINS-CUS-501164</t>
  </si>
  <si>
    <t>DINS-POL-201164</t>
  </si>
  <si>
    <t>DINS-CLM-101165</t>
  </si>
  <si>
    <t>DINS-CUS-501165</t>
  </si>
  <si>
    <t>DINS-POL-201165</t>
  </si>
  <si>
    <t>DINS-CLM-101166</t>
  </si>
  <si>
    <t>DINS-CUS-501166</t>
  </si>
  <si>
    <t>DINS-POL-201166</t>
  </si>
  <si>
    <t>DINS-CLM-101167</t>
  </si>
  <si>
    <t>DINS-CUS-501167</t>
  </si>
  <si>
    <t>DINS-POL-201167</t>
  </si>
  <si>
    <t>DINS-CLM-101168</t>
  </si>
  <si>
    <t>DINS-CUS-501168</t>
  </si>
  <si>
    <t>DINS-POL-201168</t>
  </si>
  <si>
    <t>DINS-CLM-101169</t>
  </si>
  <si>
    <t>DINS-CUS-501169</t>
  </si>
  <si>
    <t>DINS-POL-201169</t>
  </si>
  <si>
    <t>DINS-CLM-101170</t>
  </si>
  <si>
    <t>DINS-CUS-501170</t>
  </si>
  <si>
    <t>DINS-POL-201170</t>
  </si>
  <si>
    <t>DINS-CLM-101171</t>
  </si>
  <si>
    <t>DINS-CUS-501171</t>
  </si>
  <si>
    <t>DINS-POL-201171</t>
  </si>
  <si>
    <t>DINS-CLM-101172</t>
  </si>
  <si>
    <t>DINS-CUS-501172</t>
  </si>
  <si>
    <t>DINS-POL-201172</t>
  </si>
  <si>
    <t>DINS-CLM-101173</t>
  </si>
  <si>
    <t>DINS-CUS-501173</t>
  </si>
  <si>
    <t>DINS-POL-201173</t>
  </si>
  <si>
    <t>DINS-CLM-101174</t>
  </si>
  <si>
    <t>DINS-CUS-501174</t>
  </si>
  <si>
    <t>DINS-POL-201174</t>
  </si>
  <si>
    <t>DINS-CLM-101175</t>
  </si>
  <si>
    <t>DINS-CUS-501175</t>
  </si>
  <si>
    <t>DINS-POL-201175</t>
  </si>
  <si>
    <t>DINS-CLM-101176</t>
  </si>
  <si>
    <t>DINS-CUS-501176</t>
  </si>
  <si>
    <t>DINS-POL-201176</t>
  </si>
  <si>
    <t>DINS-CLM-101177</t>
  </si>
  <si>
    <t>DINS-CUS-501177</t>
  </si>
  <si>
    <t>DINS-POL-201177</t>
  </si>
  <si>
    <t>DINS-CLM-101178</t>
  </si>
  <si>
    <t>DINS-CUS-501178</t>
  </si>
  <si>
    <t>DINS-POL-201178</t>
  </si>
  <si>
    <t>DINS-CLM-101179</t>
  </si>
  <si>
    <t>DINS-CUS-501179</t>
  </si>
  <si>
    <t>DINS-POL-201179</t>
  </si>
  <si>
    <t>DINS-CLM-101180</t>
  </si>
  <si>
    <t>DINS-CUS-501180</t>
  </si>
  <si>
    <t>DINS-POL-201180</t>
  </si>
  <si>
    <t>DINS-CLM-101181</t>
  </si>
  <si>
    <t>DINS-CUS-501181</t>
  </si>
  <si>
    <t>DINS-POL-201181</t>
  </si>
  <si>
    <t>DINS-CLM-101182</t>
  </si>
  <si>
    <t>DINS-CUS-501182</t>
  </si>
  <si>
    <t>DINS-POL-201182</t>
  </si>
  <si>
    <t>DINS-CLM-101183</t>
  </si>
  <si>
    <t>DINS-CUS-501183</t>
  </si>
  <si>
    <t>DINS-POL-201183</t>
  </si>
  <si>
    <t>DINS-CLM-101184</t>
  </si>
  <si>
    <t>DINS-CUS-501184</t>
  </si>
  <si>
    <t>DINS-POL-201184</t>
  </si>
  <si>
    <t>DINS-CLM-101185</t>
  </si>
  <si>
    <t>DINS-CUS-501185</t>
  </si>
  <si>
    <t>DINS-POL-201185</t>
  </si>
  <si>
    <t>DINS-CLM-101186</t>
  </si>
  <si>
    <t>DINS-CUS-501186</t>
  </si>
  <si>
    <t>DINS-POL-201186</t>
  </si>
  <si>
    <t>DINS-CLM-101187</t>
  </si>
  <si>
    <t>DINS-CUS-501187</t>
  </si>
  <si>
    <t>DINS-POL-201187</t>
  </si>
  <si>
    <t>DINS-CLM-101188</t>
  </si>
  <si>
    <t>DINS-CUS-501188</t>
  </si>
  <si>
    <t>DINS-POL-201188</t>
  </si>
  <si>
    <t>DINS-CLM-101189</t>
  </si>
  <si>
    <t>DINS-CUS-501189</t>
  </si>
  <si>
    <t>DINS-POL-201189</t>
  </si>
  <si>
    <t>DINS-CLM-101190</t>
  </si>
  <si>
    <t>DINS-CUS-501190</t>
  </si>
  <si>
    <t>DINS-POL-201190</t>
  </si>
  <si>
    <t>DINS-CLM-101191</t>
  </si>
  <si>
    <t>DINS-CUS-501191</t>
  </si>
  <si>
    <t>DINS-POL-201191</t>
  </si>
  <si>
    <t>DINS-CLM-101192</t>
  </si>
  <si>
    <t>DINS-CUS-501192</t>
  </si>
  <si>
    <t>DINS-POL-201192</t>
  </si>
  <si>
    <t>DINS-CLM-101193</t>
  </si>
  <si>
    <t>DINS-CUS-501193</t>
  </si>
  <si>
    <t>DINS-POL-201193</t>
  </si>
  <si>
    <t>DINS-CLM-101194</t>
  </si>
  <si>
    <t>DINS-CUS-501194</t>
  </si>
  <si>
    <t>DINS-POL-201194</t>
  </si>
  <si>
    <t>DINS-CLM-101195</t>
  </si>
  <si>
    <t>DINS-CUS-501195</t>
  </si>
  <si>
    <t>DINS-POL-201195</t>
  </si>
  <si>
    <t>DINS-CLM-101196</t>
  </si>
  <si>
    <t>DINS-CUS-501196</t>
  </si>
  <si>
    <t>DINS-POL-201196</t>
  </si>
  <si>
    <t>DINS-CLM-101197</t>
  </si>
  <si>
    <t>DINS-CUS-501197</t>
  </si>
  <si>
    <t>DINS-POL-201197</t>
  </si>
  <si>
    <t>DINS-CLM-101198</t>
  </si>
  <si>
    <t>DINS-CUS-501198</t>
  </si>
  <si>
    <t>DINS-POL-201198</t>
  </si>
  <si>
    <t>DINS-CLM-101199</t>
  </si>
  <si>
    <t>DINS-CUS-501199</t>
  </si>
  <si>
    <t>DINS-POL-201199</t>
  </si>
  <si>
    <t>DINS-CLM-101200</t>
  </si>
  <si>
    <t>DINS-CUS-501200</t>
  </si>
  <si>
    <t>DINS-POL-201200</t>
  </si>
  <si>
    <t>DINS-CLM-101201</t>
  </si>
  <si>
    <t>DINS-CUS-501201</t>
  </si>
  <si>
    <t>DINS-POL-201201</t>
  </si>
  <si>
    <t>DINS-CLM-101202</t>
  </si>
  <si>
    <t>DINS-CUS-501202</t>
  </si>
  <si>
    <t>DINS-POL-201202</t>
  </si>
  <si>
    <t>DINS-CLM-101203</t>
  </si>
  <si>
    <t>DINS-CUS-501203</t>
  </si>
  <si>
    <t>DINS-POL-201203</t>
  </si>
  <si>
    <t>DINS-CLM-101204</t>
  </si>
  <si>
    <t>DINS-CUS-501204</t>
  </si>
  <si>
    <t>DINS-POL-201204</t>
  </si>
  <si>
    <t>DINS-CLM-101205</t>
  </si>
  <si>
    <t>DINS-CUS-501205</t>
  </si>
  <si>
    <t>DINS-POL-201205</t>
  </si>
  <si>
    <t>DINS-CLM-101206</t>
  </si>
  <si>
    <t>DINS-CUS-501206</t>
  </si>
  <si>
    <t>DINS-POL-201206</t>
  </si>
  <si>
    <t>DINS-CLM-101207</t>
  </si>
  <si>
    <t>DINS-CUS-501207</t>
  </si>
  <si>
    <t>DINS-POL-201207</t>
  </si>
  <si>
    <t>DINS-CLM-101208</t>
  </si>
  <si>
    <t>DINS-CUS-501208</t>
  </si>
  <si>
    <t>DINS-POL-201208</t>
  </si>
  <si>
    <t>DINS-CLM-101209</t>
  </si>
  <si>
    <t>DINS-CUS-501209</t>
  </si>
  <si>
    <t>DINS-POL-201209</t>
  </si>
  <si>
    <t>DINS-CLM-101210</t>
  </si>
  <si>
    <t>DINS-CUS-501210</t>
  </si>
  <si>
    <t>DINS-POL-201210</t>
  </si>
  <si>
    <t>DINS-CLM-101211</t>
  </si>
  <si>
    <t>DINS-CUS-501211</t>
  </si>
  <si>
    <t>DINS-POL-201211</t>
  </si>
  <si>
    <t>DINS-CLM-101212</t>
  </si>
  <si>
    <t>DINS-CUS-501212</t>
  </si>
  <si>
    <t>DINS-POL-201212</t>
  </si>
  <si>
    <t>DINS-CLM-101213</t>
  </si>
  <si>
    <t>DINS-CUS-501213</t>
  </si>
  <si>
    <t>DINS-POL-201213</t>
  </si>
  <si>
    <t>DINS-CLM-101214</t>
  </si>
  <si>
    <t>DINS-CUS-501214</t>
  </si>
  <si>
    <t>DINS-POL-201214</t>
  </si>
  <si>
    <t>DINS-CLM-101215</t>
  </si>
  <si>
    <t>DINS-CUS-501215</t>
  </si>
  <si>
    <t>DINS-POL-201215</t>
  </si>
  <si>
    <t>DINS-CLM-101216</t>
  </si>
  <si>
    <t>DINS-CUS-501216</t>
  </si>
  <si>
    <t>DINS-POL-201216</t>
  </si>
  <si>
    <t>DINS-CLM-101217</t>
  </si>
  <si>
    <t>DINS-CUS-501217</t>
  </si>
  <si>
    <t>DINS-POL-201217</t>
  </si>
  <si>
    <t>DINS-CLM-101218</t>
  </si>
  <si>
    <t>DINS-CUS-501218</t>
  </si>
  <si>
    <t>DINS-POL-201218</t>
  </si>
  <si>
    <t>DINS-CLM-101219</t>
  </si>
  <si>
    <t>DINS-CUS-501219</t>
  </si>
  <si>
    <t>DINS-POL-201219</t>
  </si>
  <si>
    <t>DINS-CLM-101220</t>
  </si>
  <si>
    <t>DINS-CUS-501220</t>
  </si>
  <si>
    <t>DINS-POL-201220</t>
  </si>
  <si>
    <t>DINS-CLM-101221</t>
  </si>
  <si>
    <t>DINS-CUS-501221</t>
  </si>
  <si>
    <t>DINS-POL-201221</t>
  </si>
  <si>
    <t>DINS-CLM-101222</t>
  </si>
  <si>
    <t>DINS-CUS-501222</t>
  </si>
  <si>
    <t>DINS-POL-201222</t>
  </si>
  <si>
    <t>DINS-CLM-101223</t>
  </si>
  <si>
    <t>DINS-CUS-501223</t>
  </si>
  <si>
    <t>DINS-POL-201223</t>
  </si>
  <si>
    <t>DINS-CLM-101224</t>
  </si>
  <si>
    <t>DINS-CUS-501224</t>
  </si>
  <si>
    <t>DINS-POL-201224</t>
  </si>
  <si>
    <t>DINS-CLM-101225</t>
  </si>
  <si>
    <t>DINS-CUS-501225</t>
  </si>
  <si>
    <t>DINS-POL-201225</t>
  </si>
  <si>
    <t>DINS-CLM-101226</t>
  </si>
  <si>
    <t>DINS-CUS-501226</t>
  </si>
  <si>
    <t>DINS-POL-201226</t>
  </si>
  <si>
    <t>DINS-CLM-101227</t>
  </si>
  <si>
    <t>DINS-CUS-501227</t>
  </si>
  <si>
    <t>DINS-POL-201227</t>
  </si>
  <si>
    <t>DINS-CLM-101228</t>
  </si>
  <si>
    <t>DINS-CUS-501228</t>
  </si>
  <si>
    <t>DINS-POL-201228</t>
  </si>
  <si>
    <t>DINS-CLM-101229</t>
  </si>
  <si>
    <t>DINS-CUS-501229</t>
  </si>
  <si>
    <t>DINS-POL-201229</t>
  </si>
  <si>
    <t>DINS-CLM-101230</t>
  </si>
  <si>
    <t>DINS-CUS-501230</t>
  </si>
  <si>
    <t>DINS-POL-201230</t>
  </si>
  <si>
    <t>DINS-CLM-101231</t>
  </si>
  <si>
    <t>DINS-CUS-501231</t>
  </si>
  <si>
    <t>DINS-POL-201231</t>
  </si>
  <si>
    <t>DINS-CLM-101232</t>
  </si>
  <si>
    <t>DINS-CUS-501232</t>
  </si>
  <si>
    <t>DINS-POL-201232</t>
  </si>
  <si>
    <t>DINS-CLM-101233</t>
  </si>
  <si>
    <t>DINS-CUS-501233</t>
  </si>
  <si>
    <t>DINS-POL-201233</t>
  </si>
  <si>
    <t>DINS-CLM-101234</t>
  </si>
  <si>
    <t>DINS-CUS-501234</t>
  </si>
  <si>
    <t>DINS-POL-201234</t>
  </si>
  <si>
    <t>DINS-CLM-101235</t>
  </si>
  <si>
    <t>DINS-CUS-501235</t>
  </si>
  <si>
    <t>DINS-POL-201235</t>
  </si>
  <si>
    <t>DINS-CLM-101236</t>
  </si>
  <si>
    <t>DINS-CUS-501236</t>
  </si>
  <si>
    <t>DINS-POL-201236</t>
  </si>
  <si>
    <t>DINS-CLM-101237</t>
  </si>
  <si>
    <t>DINS-CUS-501237</t>
  </si>
  <si>
    <t>DINS-POL-201237</t>
  </si>
  <si>
    <t>DINS-CLM-101238</t>
  </si>
  <si>
    <t>DINS-CUS-501238</t>
  </si>
  <si>
    <t>DINS-POL-201238</t>
  </si>
  <si>
    <t>DINS-CLM-101239</t>
  </si>
  <si>
    <t>DINS-CUS-501239</t>
  </si>
  <si>
    <t>DINS-POL-201239</t>
  </si>
  <si>
    <t>DINS-CLM-101240</t>
  </si>
  <si>
    <t>DINS-CUS-501240</t>
  </si>
  <si>
    <t>DINS-POL-201240</t>
  </si>
  <si>
    <t>DINS-CLM-101241</t>
  </si>
  <si>
    <t>DINS-CUS-501241</t>
  </si>
  <si>
    <t>DINS-POL-201241</t>
  </si>
  <si>
    <t>DINS-CLM-101242</t>
  </si>
  <si>
    <t>DINS-CUS-501242</t>
  </si>
  <si>
    <t>DINS-POL-201242</t>
  </si>
  <si>
    <t>DINS-CLM-101243</t>
  </si>
  <si>
    <t>DINS-CUS-501243</t>
  </si>
  <si>
    <t>DINS-POL-201243</t>
  </si>
  <si>
    <t>DINS-CLM-101244</t>
  </si>
  <si>
    <t>DINS-CUS-501244</t>
  </si>
  <si>
    <t>DINS-POL-201244</t>
  </si>
  <si>
    <t>DINS-CLM-101245</t>
  </si>
  <si>
    <t>DINS-CUS-501245</t>
  </si>
  <si>
    <t>DINS-POL-201245</t>
  </si>
  <si>
    <t>DINS-CLM-101246</t>
  </si>
  <si>
    <t>DINS-CUS-501246</t>
  </si>
  <si>
    <t>DINS-POL-201246</t>
  </si>
  <si>
    <t>DINS-CLM-101247</t>
  </si>
  <si>
    <t>DINS-CUS-501247</t>
  </si>
  <si>
    <t>DINS-POL-201247</t>
  </si>
  <si>
    <t>DINS-CLM-101248</t>
  </si>
  <si>
    <t>DINS-CUS-501248</t>
  </si>
  <si>
    <t>DINS-POL-201248</t>
  </si>
  <si>
    <t>DINS-CLM-101249</t>
  </si>
  <si>
    <t>DINS-CUS-501249</t>
  </si>
  <si>
    <t>DINS-POL-201249</t>
  </si>
  <si>
    <t>DINS-CLM-101250</t>
  </si>
  <si>
    <t>DINS-CUS-501250</t>
  </si>
  <si>
    <t>DINS-POL-201250</t>
  </si>
  <si>
    <t>DINS-CLM-101251</t>
  </si>
  <si>
    <t>DINS-CUS-501251</t>
  </si>
  <si>
    <t>DINS-POL-201251</t>
  </si>
  <si>
    <t>DINS-CLM-101252</t>
  </si>
  <si>
    <t>DINS-CUS-501252</t>
  </si>
  <si>
    <t>DINS-POL-201252</t>
  </si>
  <si>
    <t>DINS-CLM-101253</t>
  </si>
  <si>
    <t>DINS-CUS-501253</t>
  </si>
  <si>
    <t>DINS-POL-201253</t>
  </si>
  <si>
    <t>DINS-CLM-101254</t>
  </si>
  <si>
    <t>DINS-CUS-501254</t>
  </si>
  <si>
    <t>DINS-POL-201254</t>
  </si>
  <si>
    <t>DINS-CLM-101255</t>
  </si>
  <si>
    <t>DINS-CUS-501255</t>
  </si>
  <si>
    <t>DINS-POL-201255</t>
  </si>
  <si>
    <t>DINS-CLM-101256</t>
  </si>
  <si>
    <t>DINS-CUS-501256</t>
  </si>
  <si>
    <t>DINS-POL-201256</t>
  </si>
  <si>
    <t>DINS-CLM-101257</t>
  </si>
  <si>
    <t>DINS-CUS-501257</t>
  </si>
  <si>
    <t>DINS-POL-201257</t>
  </si>
  <si>
    <t>DINS-CLM-101258</t>
  </si>
  <si>
    <t>DINS-CUS-501258</t>
  </si>
  <si>
    <t>DINS-POL-201258</t>
  </si>
  <si>
    <t>DINS-CLM-101259</t>
  </si>
  <si>
    <t>DINS-CUS-501259</t>
  </si>
  <si>
    <t>DINS-POL-201259</t>
  </si>
  <si>
    <t>DINS-CLM-101260</t>
  </si>
  <si>
    <t>DINS-CUS-501260</t>
  </si>
  <si>
    <t>DINS-POL-201260</t>
  </si>
  <si>
    <t>DINS-CLM-101261</t>
  </si>
  <si>
    <t>DINS-CUS-501261</t>
  </si>
  <si>
    <t>DINS-POL-201261</t>
  </si>
  <si>
    <t>DINS-CLM-101262</t>
  </si>
  <si>
    <t>DINS-CUS-501262</t>
  </si>
  <si>
    <t>DINS-POL-201262</t>
  </si>
  <si>
    <t>DINS-CLM-101263</t>
  </si>
  <si>
    <t>DINS-CUS-501263</t>
  </si>
  <si>
    <t>DINS-POL-201263</t>
  </si>
  <si>
    <t>DINS-CLM-101264</t>
  </si>
  <si>
    <t>DINS-CUS-501264</t>
  </si>
  <si>
    <t>DINS-POL-201264</t>
  </si>
  <si>
    <t>DINS-CLM-101265</t>
  </si>
  <si>
    <t>DINS-CUS-501265</t>
  </si>
  <si>
    <t>DINS-POL-201265</t>
  </si>
  <si>
    <t>DINS-CLM-101266</t>
  </si>
  <si>
    <t>DINS-CUS-501266</t>
  </si>
  <si>
    <t>DINS-POL-201266</t>
  </si>
  <si>
    <t>DINS-CLM-101267</t>
  </si>
  <si>
    <t>DINS-CUS-501267</t>
  </si>
  <si>
    <t>DINS-POL-201267</t>
  </si>
  <si>
    <t>DINS-CLM-101268</t>
  </si>
  <si>
    <t>DINS-CUS-501268</t>
  </si>
  <si>
    <t>DINS-POL-201268</t>
  </si>
  <si>
    <t>DINS-CLM-101269</t>
  </si>
  <si>
    <t>DINS-CUS-501269</t>
  </si>
  <si>
    <t>DINS-POL-201269</t>
  </si>
  <si>
    <t>DINS-CLM-101270</t>
  </si>
  <si>
    <t>DINS-CUS-501270</t>
  </si>
  <si>
    <t>DINS-POL-201270</t>
  </si>
  <si>
    <t>DINS-CLM-101271</t>
  </si>
  <si>
    <t>DINS-CUS-501271</t>
  </si>
  <si>
    <t>DINS-POL-201271</t>
  </si>
  <si>
    <t>DINS-CLM-101272</t>
  </si>
  <si>
    <t>DINS-CUS-501272</t>
  </si>
  <si>
    <t>DINS-POL-201272</t>
  </si>
  <si>
    <t>DINS-CLM-101273</t>
  </si>
  <si>
    <t>DINS-CUS-501273</t>
  </si>
  <si>
    <t>DINS-POL-201273</t>
  </si>
  <si>
    <t>DINS-CLM-101274</t>
  </si>
  <si>
    <t>DINS-CUS-501274</t>
  </si>
  <si>
    <t>DINS-POL-201274</t>
  </si>
  <si>
    <t>DINS-CLM-101275</t>
  </si>
  <si>
    <t>DINS-CUS-501275</t>
  </si>
  <si>
    <t>DINS-POL-201275</t>
  </si>
  <si>
    <t>DINS-CLM-101276</t>
  </si>
  <si>
    <t>DINS-CUS-501276</t>
  </si>
  <si>
    <t>DINS-POL-201276</t>
  </si>
  <si>
    <t>DINS-CLM-101277</t>
  </si>
  <si>
    <t>DINS-CUS-501277</t>
  </si>
  <si>
    <t>DINS-POL-201277</t>
  </si>
  <si>
    <t>DINS-CLM-101278</t>
  </si>
  <si>
    <t>DINS-CUS-501278</t>
  </si>
  <si>
    <t>DINS-POL-201278</t>
  </si>
  <si>
    <t>DINS-CLM-101279</t>
  </si>
  <si>
    <t>DINS-CUS-501279</t>
  </si>
  <si>
    <t>DINS-POL-201279</t>
  </si>
  <si>
    <t>DINS-CLM-101280</t>
  </si>
  <si>
    <t>DINS-CUS-501280</t>
  </si>
  <si>
    <t>DINS-POL-201280</t>
  </si>
  <si>
    <t>DINS-CLM-101281</t>
  </si>
  <si>
    <t>DINS-CUS-501281</t>
  </si>
  <si>
    <t>DINS-POL-201281</t>
  </si>
  <si>
    <t>DINS-CLM-101282</t>
  </si>
  <si>
    <t>DINS-CUS-501282</t>
  </si>
  <si>
    <t>DINS-POL-201282</t>
  </si>
  <si>
    <t>DINS-CLM-101283</t>
  </si>
  <si>
    <t>DINS-CUS-501283</t>
  </si>
  <si>
    <t>DINS-POL-201283</t>
  </si>
  <si>
    <t>DINS-CLM-101284</t>
  </si>
  <si>
    <t>DINS-CUS-501284</t>
  </si>
  <si>
    <t>DINS-POL-201284</t>
  </si>
  <si>
    <t>DINS-CLM-101285</t>
  </si>
  <si>
    <t>DINS-CUS-501285</t>
  </si>
  <si>
    <t>DINS-POL-201285</t>
  </si>
  <si>
    <t>DINS-CLM-101286</t>
  </si>
  <si>
    <t>DINS-CUS-501286</t>
  </si>
  <si>
    <t>DINS-POL-201286</t>
  </si>
  <si>
    <t>DINS-CLM-101287</t>
  </si>
  <si>
    <t>DINS-CUS-501287</t>
  </si>
  <si>
    <t>DINS-POL-201287</t>
  </si>
  <si>
    <t>DINS-CLM-101288</t>
  </si>
  <si>
    <t>DINS-CUS-501288</t>
  </si>
  <si>
    <t>DINS-POL-201288</t>
  </si>
  <si>
    <t>DINS-CLM-101289</t>
  </si>
  <si>
    <t>DINS-CUS-501289</t>
  </si>
  <si>
    <t>DINS-POL-201289</t>
  </si>
  <si>
    <t>DINS-CLM-101290</t>
  </si>
  <si>
    <t>DINS-CUS-501290</t>
  </si>
  <si>
    <t>DINS-POL-201290</t>
  </si>
  <si>
    <t>DINS-CLM-101291</t>
  </si>
  <si>
    <t>DINS-CUS-501291</t>
  </si>
  <si>
    <t>DINS-POL-201291</t>
  </si>
  <si>
    <t>DINS-CLM-101292</t>
  </si>
  <si>
    <t>DINS-CUS-501292</t>
  </si>
  <si>
    <t>DINS-POL-201292</t>
  </si>
  <si>
    <t>DINS-CLM-101293</t>
  </si>
  <si>
    <t>DINS-CUS-501293</t>
  </si>
  <si>
    <t>DINS-POL-201293</t>
  </si>
  <si>
    <t>DINS-CLM-101294</t>
  </si>
  <si>
    <t>DINS-CUS-501294</t>
  </si>
  <si>
    <t>DINS-POL-201294</t>
  </si>
  <si>
    <t>DINS-CLM-101295</t>
  </si>
  <si>
    <t>DINS-CUS-501295</t>
  </si>
  <si>
    <t>DINS-POL-201295</t>
  </si>
  <si>
    <t>DINS-CLM-101296</t>
  </si>
  <si>
    <t>DINS-CUS-501296</t>
  </si>
  <si>
    <t>DINS-POL-201296</t>
  </si>
  <si>
    <t>DINS-CLM-101297</t>
  </si>
  <si>
    <t>DINS-CUS-501297</t>
  </si>
  <si>
    <t>DINS-POL-201297</t>
  </si>
  <si>
    <t>DINS-CLM-101298</t>
  </si>
  <si>
    <t>DINS-CUS-501298</t>
  </si>
  <si>
    <t>DINS-POL-201298</t>
  </si>
  <si>
    <t>DINS-CLM-101299</t>
  </si>
  <si>
    <t>DINS-CUS-501299</t>
  </si>
  <si>
    <t>DINS-POL-201299</t>
  </si>
  <si>
    <t>DINS-CLM-101300</t>
  </si>
  <si>
    <t>DINS-CUS-501300</t>
  </si>
  <si>
    <t>DINS-POL-201300</t>
  </si>
  <si>
    <t>DINS-CLM-101301</t>
  </si>
  <si>
    <t>DINS-CUS-501301</t>
  </si>
  <si>
    <t>DINS-POL-201301</t>
  </si>
  <si>
    <t>DINS-CLM-101302</t>
  </si>
  <si>
    <t>DINS-CUS-501302</t>
  </si>
  <si>
    <t>DINS-POL-201302</t>
  </si>
  <si>
    <t>DINS-CLM-101303</t>
  </si>
  <si>
    <t>DINS-CUS-501303</t>
  </si>
  <si>
    <t>DINS-POL-201303</t>
  </si>
  <si>
    <t>DINS-CLM-101304</t>
  </si>
  <si>
    <t>DINS-CUS-501304</t>
  </si>
  <si>
    <t>DINS-POL-201304</t>
  </si>
  <si>
    <t>DINS-CLM-101305</t>
  </si>
  <si>
    <t>DINS-CUS-501305</t>
  </si>
  <si>
    <t>DINS-POL-201305</t>
  </si>
  <si>
    <t>DINS-CLM-101306</t>
  </si>
  <si>
    <t>DINS-CUS-501306</t>
  </si>
  <si>
    <t>DINS-POL-201306</t>
  </si>
  <si>
    <t>DINS-CLM-101307</t>
  </si>
  <si>
    <t>DINS-CUS-501307</t>
  </si>
  <si>
    <t>DINS-POL-201307</t>
  </si>
  <si>
    <t>DINS-CLM-101308</t>
  </si>
  <si>
    <t>DINS-CUS-501308</t>
  </si>
  <si>
    <t>DINS-POL-201308</t>
  </si>
  <si>
    <t>DINS-CLM-101309</t>
  </si>
  <si>
    <t>DINS-CUS-501309</t>
  </si>
  <si>
    <t>DINS-POL-201309</t>
  </si>
  <si>
    <t>DINS-CLM-101310</t>
  </si>
  <si>
    <t>DINS-CUS-501310</t>
  </si>
  <si>
    <t>DINS-POL-201310</t>
  </si>
  <si>
    <t>DINS-CLM-101311</t>
  </si>
  <si>
    <t>DINS-CUS-501311</t>
  </si>
  <si>
    <t>DINS-POL-201311</t>
  </si>
  <si>
    <t>DINS-CLM-101312</t>
  </si>
  <si>
    <t>DINS-CUS-501312</t>
  </si>
  <si>
    <t>DINS-POL-201312</t>
  </si>
  <si>
    <t>DINS-CLM-101313</t>
  </si>
  <si>
    <t>DINS-CUS-501313</t>
  </si>
  <si>
    <t>DINS-POL-201313</t>
  </si>
  <si>
    <t>DINS-CLM-101314</t>
  </si>
  <si>
    <t>DINS-CUS-501314</t>
  </si>
  <si>
    <t>DINS-POL-201314</t>
  </si>
  <si>
    <t>DINS-CLM-101315</t>
  </si>
  <si>
    <t>DINS-CUS-501315</t>
  </si>
  <si>
    <t>DINS-POL-201315</t>
  </si>
  <si>
    <t>DINS-CLM-101316</t>
  </si>
  <si>
    <t>DINS-CUS-501316</t>
  </si>
  <si>
    <t>DINS-POL-201316</t>
  </si>
  <si>
    <t>DINS-CLM-101317</t>
  </si>
  <si>
    <t>DINS-CUS-501317</t>
  </si>
  <si>
    <t>DINS-POL-201317</t>
  </si>
  <si>
    <t>DINS-CLM-101318</t>
  </si>
  <si>
    <t>DINS-CUS-501318</t>
  </si>
  <si>
    <t>DINS-POL-201318</t>
  </si>
  <si>
    <t>DINS-CLM-101319</t>
  </si>
  <si>
    <t>DINS-CUS-501319</t>
  </si>
  <si>
    <t>DINS-POL-201319</t>
  </si>
  <si>
    <t>DINS-CLM-101320</t>
  </si>
  <si>
    <t>DINS-CUS-501320</t>
  </si>
  <si>
    <t>DINS-POL-201320</t>
  </si>
  <si>
    <t>DINS-CLM-101321</t>
  </si>
  <si>
    <t>DINS-CUS-501321</t>
  </si>
  <si>
    <t>DINS-POL-201321</t>
  </si>
  <si>
    <t>DINS-CLM-101322</t>
  </si>
  <si>
    <t>DINS-CUS-501322</t>
  </si>
  <si>
    <t>DINS-POL-201322</t>
  </si>
  <si>
    <t>DINS-CLM-101323</t>
  </si>
  <si>
    <t>DINS-CUS-501323</t>
  </si>
  <si>
    <t>DINS-POL-201323</t>
  </si>
  <si>
    <t>DINS-CLM-101324</t>
  </si>
  <si>
    <t>DINS-CUS-501324</t>
  </si>
  <si>
    <t>DINS-POL-201324</t>
  </si>
  <si>
    <t>DINS-CLM-101325</t>
  </si>
  <si>
    <t>DINS-CUS-501325</t>
  </si>
  <si>
    <t>DINS-POL-201325</t>
  </si>
  <si>
    <t>DINS-CLM-101326</t>
  </si>
  <si>
    <t>DINS-CUS-501326</t>
  </si>
  <si>
    <t>DINS-POL-201326</t>
  </si>
  <si>
    <t>DINS-CLM-101327</t>
  </si>
  <si>
    <t>DINS-CUS-501327</t>
  </si>
  <si>
    <t>DINS-POL-201327</t>
  </si>
  <si>
    <t>DINS-CLM-101328</t>
  </si>
  <si>
    <t>DINS-CUS-501328</t>
  </si>
  <si>
    <t>DINS-POL-201328</t>
  </si>
  <si>
    <t>DINS-CLM-101329</t>
  </si>
  <si>
    <t>DINS-CUS-501329</t>
  </si>
  <si>
    <t>DINS-POL-201329</t>
  </si>
  <si>
    <t>DINS-CLM-101330</t>
  </si>
  <si>
    <t>DINS-CUS-501330</t>
  </si>
  <si>
    <t>DINS-POL-201330</t>
  </si>
  <si>
    <t>DINS-CLM-101331</t>
  </si>
  <si>
    <t>DINS-CUS-501331</t>
  </si>
  <si>
    <t>DINS-POL-201331</t>
  </si>
  <si>
    <t>DINS-CLM-101332</t>
  </si>
  <si>
    <t>DINS-CUS-501332</t>
  </si>
  <si>
    <t>DINS-POL-201332</t>
  </si>
  <si>
    <t>DINS-CLM-101333</t>
  </si>
  <si>
    <t>DINS-CUS-501333</t>
  </si>
  <si>
    <t>DINS-POL-201333</t>
  </si>
  <si>
    <t>DINS-CLM-101334</t>
  </si>
  <si>
    <t>DINS-CUS-501334</t>
  </si>
  <si>
    <t>DINS-POL-201334</t>
  </si>
  <si>
    <t>DINS-CLM-101335</t>
  </si>
  <si>
    <t>DINS-CUS-501335</t>
  </si>
  <si>
    <t>DINS-POL-201335</t>
  </si>
  <si>
    <t>DINS-CLM-101336</t>
  </si>
  <si>
    <t>DINS-CUS-501336</t>
  </si>
  <si>
    <t>DINS-POL-201336</t>
  </si>
  <si>
    <t>DINS-CLM-101337</t>
  </si>
  <si>
    <t>DINS-CUS-501337</t>
  </si>
  <si>
    <t>DINS-POL-201337</t>
  </si>
  <si>
    <t>DINS-CLM-101338</t>
  </si>
  <si>
    <t>DINS-CUS-501338</t>
  </si>
  <si>
    <t>DINS-POL-201338</t>
  </si>
  <si>
    <t>DINS-CLM-101339</t>
  </si>
  <si>
    <t>DINS-CUS-501339</t>
  </si>
  <si>
    <t>DINS-POL-201339</t>
  </si>
  <si>
    <t>DINS-CLM-101340</t>
  </si>
  <si>
    <t>DINS-CUS-501340</t>
  </si>
  <si>
    <t>DINS-POL-201340</t>
  </si>
  <si>
    <t>DINS-CLM-101341</t>
  </si>
  <si>
    <t>DINS-CUS-501341</t>
  </si>
  <si>
    <t>DINS-POL-201341</t>
  </si>
  <si>
    <t>DINS-CLM-101342</t>
  </si>
  <si>
    <t>DINS-CUS-501342</t>
  </si>
  <si>
    <t>DINS-POL-201342</t>
  </si>
  <si>
    <t>DINS-CLM-101343</t>
  </si>
  <si>
    <t>DINS-CUS-501343</t>
  </si>
  <si>
    <t>DINS-POL-201343</t>
  </si>
  <si>
    <t>DINS-CLM-101344</t>
  </si>
  <si>
    <t>DINS-CUS-501344</t>
  </si>
  <si>
    <t>DINS-POL-201344</t>
  </si>
  <si>
    <t>DINS-CLM-101345</t>
  </si>
  <si>
    <t>DINS-CUS-501345</t>
  </si>
  <si>
    <t>DINS-POL-201345</t>
  </si>
  <si>
    <t>DINS-CLM-101346</t>
  </si>
  <si>
    <t>DINS-CUS-501346</t>
  </si>
  <si>
    <t>DINS-POL-201346</t>
  </si>
  <si>
    <t>DINS-CLM-101347</t>
  </si>
  <si>
    <t>DINS-CUS-501347</t>
  </si>
  <si>
    <t>DINS-POL-201347</t>
  </si>
  <si>
    <t>DINS-CLM-101348</t>
  </si>
  <si>
    <t>DINS-CUS-501348</t>
  </si>
  <si>
    <t>DINS-POL-201348</t>
  </si>
  <si>
    <t>DINS-CLM-101349</t>
  </si>
  <si>
    <t>DINS-CUS-501349</t>
  </si>
  <si>
    <t>DINS-POL-201349</t>
  </si>
  <si>
    <t>DINS-CLM-101350</t>
  </si>
  <si>
    <t>DINS-CUS-501350</t>
  </si>
  <si>
    <t>DINS-POL-201350</t>
  </si>
  <si>
    <t>DINS-CLM-101351</t>
  </si>
  <si>
    <t>DINS-CUS-501351</t>
  </si>
  <si>
    <t>DINS-POL-201351</t>
  </si>
  <si>
    <t>DINS-CLM-101352</t>
  </si>
  <si>
    <t>DINS-CUS-501352</t>
  </si>
  <si>
    <t>DINS-POL-201352</t>
  </si>
  <si>
    <t>DINS-CLM-101353</t>
  </si>
  <si>
    <t>DINS-CUS-501353</t>
  </si>
  <si>
    <t>DINS-POL-201353</t>
  </si>
  <si>
    <t>DINS-CLM-101354</t>
  </si>
  <si>
    <t>DINS-CUS-501354</t>
  </si>
  <si>
    <t>DINS-POL-201354</t>
  </si>
  <si>
    <t>DINS-CLM-101355</t>
  </si>
  <si>
    <t>DINS-CUS-501355</t>
  </si>
  <si>
    <t>DINS-POL-201355</t>
  </si>
  <si>
    <t>DINS-CLM-101356</t>
  </si>
  <si>
    <t>DINS-CUS-501356</t>
  </si>
  <si>
    <t>DINS-POL-201356</t>
  </si>
  <si>
    <t>DINS-CLM-101357</t>
  </si>
  <si>
    <t>DINS-CUS-501357</t>
  </si>
  <si>
    <t>DINS-POL-201357</t>
  </si>
  <si>
    <t>DINS-CLM-101358</t>
  </si>
  <si>
    <t>DINS-CUS-501358</t>
  </si>
  <si>
    <t>DINS-POL-201358</t>
  </si>
  <si>
    <t>DINS-CLM-101359</t>
  </si>
  <si>
    <t>DINS-CUS-501359</t>
  </si>
  <si>
    <t>DINS-POL-201359</t>
  </si>
  <si>
    <t>DINS-CLM-101360</t>
  </si>
  <si>
    <t>DINS-CUS-501360</t>
  </si>
  <si>
    <t>DINS-POL-201360</t>
  </si>
  <si>
    <t>DINS-CLM-101361</t>
  </si>
  <si>
    <t>DINS-CUS-501361</t>
  </si>
  <si>
    <t>DINS-POL-201361</t>
  </si>
  <si>
    <t>DINS-CLM-101362</t>
  </si>
  <si>
    <t>DINS-CUS-501362</t>
  </si>
  <si>
    <t>DINS-POL-201362</t>
  </si>
  <si>
    <t>DINS-CLM-101363</t>
  </si>
  <si>
    <t>DINS-CUS-501363</t>
  </si>
  <si>
    <t>DINS-POL-201363</t>
  </si>
  <si>
    <t>DINS-CLM-101364</t>
  </si>
  <si>
    <t>DINS-CUS-501364</t>
  </si>
  <si>
    <t>DINS-POL-201364</t>
  </si>
  <si>
    <t>DINS-CLM-101365</t>
  </si>
  <si>
    <t>DINS-CUS-501365</t>
  </si>
  <si>
    <t>DINS-POL-201365</t>
  </si>
  <si>
    <t>DINS-CLM-101366</t>
  </si>
  <si>
    <t>DINS-CUS-501366</t>
  </si>
  <si>
    <t>DINS-POL-201366</t>
  </si>
  <si>
    <t>DINS-CLM-101367</t>
  </si>
  <si>
    <t>DINS-CUS-501367</t>
  </si>
  <si>
    <t>DINS-POL-201367</t>
  </si>
  <si>
    <t>DINS-CLM-101368</t>
  </si>
  <si>
    <t>DINS-CUS-501368</t>
  </si>
  <si>
    <t>DINS-POL-201368</t>
  </si>
  <si>
    <t>DINS-CLM-101369</t>
  </si>
  <si>
    <t>DINS-CUS-501369</t>
  </si>
  <si>
    <t>DINS-POL-201369</t>
  </si>
  <si>
    <t>DINS-CLM-101370</t>
  </si>
  <si>
    <t>DINS-CUS-501370</t>
  </si>
  <si>
    <t>DINS-POL-201370</t>
  </si>
  <si>
    <t>DINS-CLM-101371</t>
  </si>
  <si>
    <t>DINS-CUS-501371</t>
  </si>
  <si>
    <t>DINS-POL-201371</t>
  </si>
  <si>
    <t>DINS-CLM-101372</t>
  </si>
  <si>
    <t>DINS-CUS-501372</t>
  </si>
  <si>
    <t>DINS-POL-201372</t>
  </si>
  <si>
    <t>DINS-CLM-101373</t>
  </si>
  <si>
    <t>DINS-CUS-501373</t>
  </si>
  <si>
    <t>DINS-POL-201373</t>
  </si>
  <si>
    <t>DINS-CLM-101374</t>
  </si>
  <si>
    <t>DINS-CUS-501374</t>
  </si>
  <si>
    <t>DINS-POL-201374</t>
  </si>
  <si>
    <t>DINS-CLM-101375</t>
  </si>
  <si>
    <t>DINS-CUS-501375</t>
  </si>
  <si>
    <t>DINS-POL-201375</t>
  </si>
  <si>
    <t>DINS-CLM-101376</t>
  </si>
  <si>
    <t>DINS-CUS-501376</t>
  </si>
  <si>
    <t>DINS-POL-201376</t>
  </si>
  <si>
    <t>DINS-CLM-101377</t>
  </si>
  <si>
    <t>DINS-CUS-501377</t>
  </si>
  <si>
    <t>DINS-POL-201377</t>
  </si>
  <si>
    <t>DINS-CLM-101378</t>
  </si>
  <si>
    <t>DINS-CUS-501378</t>
  </si>
  <si>
    <t>DINS-POL-201378</t>
  </si>
  <si>
    <t>DINS-CLM-101379</t>
  </si>
  <si>
    <t>DINS-CUS-501379</t>
  </si>
  <si>
    <t>DINS-POL-201379</t>
  </si>
  <si>
    <t>DINS-CLM-101380</t>
  </si>
  <si>
    <t>DINS-CUS-501380</t>
  </si>
  <si>
    <t>DINS-POL-201380</t>
  </si>
  <si>
    <t>DINS-CLM-101381</t>
  </si>
  <si>
    <t>DINS-CUS-501381</t>
  </si>
  <si>
    <t>DINS-POL-201381</t>
  </si>
  <si>
    <t>DINS-CLM-101382</t>
  </si>
  <si>
    <t>DINS-CUS-501382</t>
  </si>
  <si>
    <t>DINS-POL-201382</t>
  </si>
  <si>
    <t>DINS-CLM-101383</t>
  </si>
  <si>
    <t>DINS-CUS-501383</t>
  </si>
  <si>
    <t>DINS-POL-201383</t>
  </si>
  <si>
    <t>DINS-CLM-101384</t>
  </si>
  <si>
    <t>DINS-CUS-501384</t>
  </si>
  <si>
    <t>DINS-POL-201384</t>
  </si>
  <si>
    <t>DINS-CLM-101385</t>
  </si>
  <si>
    <t>DINS-CUS-501385</t>
  </si>
  <si>
    <t>DINS-POL-201385</t>
  </si>
  <si>
    <t>DINS-CLM-101386</t>
  </si>
  <si>
    <t>DINS-CUS-501386</t>
  </si>
  <si>
    <t>DINS-POL-201386</t>
  </si>
  <si>
    <t>DINS-CLM-101387</t>
  </si>
  <si>
    <t>DINS-CUS-501387</t>
  </si>
  <si>
    <t>DINS-POL-201387</t>
  </si>
  <si>
    <t>DINS-CLM-101388</t>
  </si>
  <si>
    <t>DINS-CUS-501388</t>
  </si>
  <si>
    <t>DINS-POL-201388</t>
  </si>
  <si>
    <t>DINS-CLM-101389</t>
  </si>
  <si>
    <t>DINS-CUS-501389</t>
  </si>
  <si>
    <t>DINS-POL-201389</t>
  </si>
  <si>
    <t>DINS-CLM-101390</t>
  </si>
  <si>
    <t>DINS-CUS-501390</t>
  </si>
  <si>
    <t>DINS-POL-201390</t>
  </si>
  <si>
    <t>DINS-CLM-101391</t>
  </si>
  <si>
    <t>DINS-CUS-501391</t>
  </si>
  <si>
    <t>DINS-POL-201391</t>
  </si>
  <si>
    <t>DINS-CLM-101392</t>
  </si>
  <si>
    <t>DINS-CUS-501392</t>
  </si>
  <si>
    <t>DINS-POL-201392</t>
  </si>
  <si>
    <t>DINS-CLM-101393</t>
  </si>
  <si>
    <t>DINS-CUS-501393</t>
  </si>
  <si>
    <t>DINS-POL-201393</t>
  </si>
  <si>
    <t>DINS-CLM-101394</t>
  </si>
  <si>
    <t>DINS-CUS-501394</t>
  </si>
  <si>
    <t>DINS-POL-201394</t>
  </si>
  <si>
    <t>DINS-CLM-101395</t>
  </si>
  <si>
    <t>DINS-CUS-501395</t>
  </si>
  <si>
    <t>DINS-POL-201395</t>
  </si>
  <si>
    <t>DINS-CLM-101396</t>
  </si>
  <si>
    <t>DINS-CUS-501396</t>
  </si>
  <si>
    <t>DINS-POL-201396</t>
  </si>
  <si>
    <t>DINS-CLM-101397</t>
  </si>
  <si>
    <t>DINS-CUS-501397</t>
  </si>
  <si>
    <t>DINS-POL-201397</t>
  </si>
  <si>
    <t>DINS-CLM-101398</t>
  </si>
  <si>
    <t>DINS-CUS-501398</t>
  </si>
  <si>
    <t>DINS-POL-201398</t>
  </si>
  <si>
    <t>DINS-CLM-101399</t>
  </si>
  <si>
    <t>DINS-CUS-501399</t>
  </si>
  <si>
    <t>DINS-POL-201399</t>
  </si>
  <si>
    <t>DINS-CLM-101400</t>
  </si>
  <si>
    <t>DINS-CUS-501400</t>
  </si>
  <si>
    <t>DINS-POL-201400</t>
  </si>
  <si>
    <t>DINS-CLM-101401</t>
  </si>
  <si>
    <t>DINS-CUS-501401</t>
  </si>
  <si>
    <t>DINS-POL-201401</t>
  </si>
  <si>
    <t>DINS-CLM-101402</t>
  </si>
  <si>
    <t>DINS-CUS-501402</t>
  </si>
  <si>
    <t>DINS-POL-201402</t>
  </si>
  <si>
    <t>DINS-CLM-101403</t>
  </si>
  <si>
    <t>DINS-CUS-501403</t>
  </si>
  <si>
    <t>DINS-POL-201403</t>
  </si>
  <si>
    <t>DINS-CLM-101404</t>
  </si>
  <si>
    <t>DINS-CUS-501404</t>
  </si>
  <si>
    <t>DINS-POL-201404</t>
  </si>
  <si>
    <t>DINS-CLM-101405</t>
  </si>
  <si>
    <t>DINS-CUS-501405</t>
  </si>
  <si>
    <t>DINS-POL-201405</t>
  </si>
  <si>
    <t>DINS-CLM-101406</t>
  </si>
  <si>
    <t>DINS-CUS-501406</t>
  </si>
  <si>
    <t>DINS-POL-201406</t>
  </si>
  <si>
    <t>DINS-CLM-101407</t>
  </si>
  <si>
    <t>DINS-CUS-501407</t>
  </si>
  <si>
    <t>DINS-POL-201407</t>
  </si>
  <si>
    <t>DINS-CLM-101408</t>
  </si>
  <si>
    <t>DINS-CUS-501408</t>
  </si>
  <si>
    <t>DINS-POL-201408</t>
  </si>
  <si>
    <t>DINS-CLM-101409</t>
  </si>
  <si>
    <t>DINS-CUS-501409</t>
  </si>
  <si>
    <t>DINS-POL-201409</t>
  </si>
  <si>
    <t>DINS-CLM-101410</t>
  </si>
  <si>
    <t>DINS-CUS-501410</t>
  </si>
  <si>
    <t>DINS-POL-201410</t>
  </si>
  <si>
    <t>DINS-CLM-101411</t>
  </si>
  <si>
    <t>DINS-CUS-501411</t>
  </si>
  <si>
    <t>DINS-POL-201411</t>
  </si>
  <si>
    <t>DINS-CLM-101412</t>
  </si>
  <si>
    <t>DINS-CUS-501412</t>
  </si>
  <si>
    <t>DINS-POL-201412</t>
  </si>
  <si>
    <t>DINS-CLM-101413</t>
  </si>
  <si>
    <t>DINS-CUS-501413</t>
  </si>
  <si>
    <t>DINS-POL-201413</t>
  </si>
  <si>
    <t>DINS-CLM-101414</t>
  </si>
  <si>
    <t>DINS-CUS-501414</t>
  </si>
  <si>
    <t>DINS-POL-201414</t>
  </si>
  <si>
    <t>DINS-CLM-101415</t>
  </si>
  <si>
    <t>DINS-CUS-501415</t>
  </si>
  <si>
    <t>DINS-POL-201415</t>
  </si>
  <si>
    <t>DINS-CLM-101416</t>
  </si>
  <si>
    <t>DINS-CUS-501416</t>
  </si>
  <si>
    <t>DINS-POL-201416</t>
  </si>
  <si>
    <t>DINS-CLM-101417</t>
  </si>
  <si>
    <t>DINS-CUS-501417</t>
  </si>
  <si>
    <t>DINS-POL-201417</t>
  </si>
  <si>
    <t>DINS-CLM-101418</t>
  </si>
  <si>
    <t>DINS-CUS-501418</t>
  </si>
  <si>
    <t>DINS-POL-201418</t>
  </si>
  <si>
    <t>DINS-CLM-101419</t>
  </si>
  <si>
    <t>DINS-CUS-501419</t>
  </si>
  <si>
    <t>DINS-POL-201419</t>
  </si>
  <si>
    <t>DINS-CLM-101420</t>
  </si>
  <si>
    <t>DINS-CUS-501420</t>
  </si>
  <si>
    <t>DINS-POL-201420</t>
  </si>
  <si>
    <t>DINS-CLM-101421</t>
  </si>
  <si>
    <t>DINS-CUS-501421</t>
  </si>
  <si>
    <t>DINS-POL-201421</t>
  </si>
  <si>
    <t>DINS-CLM-101422</t>
  </si>
  <si>
    <t>DINS-CUS-501422</t>
  </si>
  <si>
    <t>DINS-POL-201422</t>
  </si>
  <si>
    <t>DINS-CLM-101423</t>
  </si>
  <si>
    <t>DINS-CUS-501423</t>
  </si>
  <si>
    <t>DINS-POL-201423</t>
  </si>
  <si>
    <t>DINS-CLM-101424</t>
  </si>
  <si>
    <t>DINS-CUS-501424</t>
  </si>
  <si>
    <t>DINS-POL-201424</t>
  </si>
  <si>
    <t>DINS-CLM-101425</t>
  </si>
  <si>
    <t>DINS-CUS-501425</t>
  </si>
  <si>
    <t>DINS-POL-201425</t>
  </si>
  <si>
    <t>DINS-CLM-101426</t>
  </si>
  <si>
    <t>DINS-CUS-501426</t>
  </si>
  <si>
    <t>DINS-POL-201426</t>
  </si>
  <si>
    <t>DINS-CLM-101427</t>
  </si>
  <si>
    <t>DINS-CUS-501427</t>
  </si>
  <si>
    <t>DINS-POL-201427</t>
  </si>
  <si>
    <t>DINS-CLM-101428</t>
  </si>
  <si>
    <t>DINS-CUS-501428</t>
  </si>
  <si>
    <t>DINS-POL-201428</t>
  </si>
  <si>
    <t>DINS-CLM-101429</t>
  </si>
  <si>
    <t>DINS-CUS-501429</t>
  </si>
  <si>
    <t>DINS-POL-201429</t>
  </si>
  <si>
    <t>DINS-CLM-101430</t>
  </si>
  <si>
    <t>DINS-CUS-501430</t>
  </si>
  <si>
    <t>DINS-POL-201430</t>
  </si>
  <si>
    <t>DINS-CLM-101431</t>
  </si>
  <si>
    <t>DINS-CUS-501431</t>
  </si>
  <si>
    <t>DINS-POL-201431</t>
  </si>
  <si>
    <t>DINS-CLM-101432</t>
  </si>
  <si>
    <t>DINS-CUS-501432</t>
  </si>
  <si>
    <t>DINS-POL-201432</t>
  </si>
  <si>
    <t>DINS-CLM-101433</t>
  </si>
  <si>
    <t>DINS-CUS-501433</t>
  </si>
  <si>
    <t>DINS-POL-201433</t>
  </si>
  <si>
    <t>DINS-CLM-101434</t>
  </si>
  <si>
    <t>DINS-CUS-501434</t>
  </si>
  <si>
    <t>DINS-POL-201434</t>
  </si>
  <si>
    <t>DINS-CLM-101435</t>
  </si>
  <si>
    <t>DINS-CUS-501435</t>
  </si>
  <si>
    <t>DINS-POL-201435</t>
  </si>
  <si>
    <t>DINS-CLM-101436</t>
  </si>
  <si>
    <t>DINS-CUS-501436</t>
  </si>
  <si>
    <t>DINS-POL-201436</t>
  </si>
  <si>
    <t>DINS-CLM-101437</t>
  </si>
  <si>
    <t>DINS-CUS-501437</t>
  </si>
  <si>
    <t>DINS-POL-201437</t>
  </si>
  <si>
    <t>DINS-CLM-101438</t>
  </si>
  <si>
    <t>DINS-CUS-501438</t>
  </si>
  <si>
    <t>DINS-POL-201438</t>
  </si>
  <si>
    <t>DINS-CLM-101439</t>
  </si>
  <si>
    <t>DINS-CUS-501439</t>
  </si>
  <si>
    <t>DINS-POL-201439</t>
  </si>
  <si>
    <t>DINS-CLM-101440</t>
  </si>
  <si>
    <t>DINS-CUS-501440</t>
  </si>
  <si>
    <t>DINS-POL-201440</t>
  </si>
  <si>
    <t>DINS-CLM-101441</t>
  </si>
  <si>
    <t>DINS-CUS-501441</t>
  </si>
  <si>
    <t>DINS-POL-201441</t>
  </si>
  <si>
    <t>DINS-CLM-101442</t>
  </si>
  <si>
    <t>DINS-CUS-501442</t>
  </si>
  <si>
    <t>DINS-POL-201442</t>
  </si>
  <si>
    <t>DINS-CLM-101443</t>
  </si>
  <si>
    <t>DINS-CUS-501443</t>
  </si>
  <si>
    <t>DINS-POL-201443</t>
  </si>
  <si>
    <t>DINS-CLM-101444</t>
  </si>
  <si>
    <t>DINS-CUS-501444</t>
  </si>
  <si>
    <t>DINS-POL-201444</t>
  </si>
  <si>
    <t>DINS-CLM-101445</t>
  </si>
  <si>
    <t>DINS-CUS-501445</t>
  </si>
  <si>
    <t>DINS-POL-201445</t>
  </si>
  <si>
    <t>DINS-CLM-101446</t>
  </si>
  <si>
    <t>DINS-CUS-501446</t>
  </si>
  <si>
    <t>DINS-POL-201446</t>
  </si>
  <si>
    <t>DINS-CLM-101447</t>
  </si>
  <si>
    <t>DINS-CUS-501447</t>
  </si>
  <si>
    <t>DINS-POL-201447</t>
  </si>
  <si>
    <t>DINS-CLM-101448</t>
  </si>
  <si>
    <t>DINS-CUS-501448</t>
  </si>
  <si>
    <t>DINS-POL-201448</t>
  </si>
  <si>
    <t>DINS-CLM-101449</t>
  </si>
  <si>
    <t>DINS-CUS-501449</t>
  </si>
  <si>
    <t>DINS-POL-201449</t>
  </si>
  <si>
    <t>DINS-CLM-101450</t>
  </si>
  <si>
    <t>DINS-CUS-501450</t>
  </si>
  <si>
    <t>DINS-POL-201450</t>
  </si>
  <si>
    <t>DINS-CLM-101451</t>
  </si>
  <si>
    <t>DINS-CUS-501451</t>
  </si>
  <si>
    <t>DINS-POL-201451</t>
  </si>
  <si>
    <t>DINS-CLM-101452</t>
  </si>
  <si>
    <t>DINS-CUS-501452</t>
  </si>
  <si>
    <t>DINS-POL-201452</t>
  </si>
  <si>
    <t>DINS-CLM-101453</t>
  </si>
  <si>
    <t>DINS-CUS-501453</t>
  </si>
  <si>
    <t>DINS-POL-201453</t>
  </si>
  <si>
    <t>DINS-CLM-101454</t>
  </si>
  <si>
    <t>DINS-CUS-501454</t>
  </si>
  <si>
    <t>DINS-POL-201454</t>
  </si>
  <si>
    <t>DINS-CLM-101455</t>
  </si>
  <si>
    <t>DINS-CUS-501455</t>
  </si>
  <si>
    <t>DINS-POL-201455</t>
  </si>
  <si>
    <t>DINS-CLM-101456</t>
  </si>
  <si>
    <t>DINS-CUS-501456</t>
  </si>
  <si>
    <t>DINS-POL-201456</t>
  </si>
  <si>
    <t>DINS-CLM-101457</t>
  </si>
  <si>
    <t>DINS-CUS-501457</t>
  </si>
  <si>
    <t>DINS-POL-201457</t>
  </si>
  <si>
    <t>DINS-CLM-101458</t>
  </si>
  <si>
    <t>DINS-CUS-501458</t>
  </si>
  <si>
    <t>DINS-POL-201458</t>
  </si>
  <si>
    <t>DINS-CLM-101459</t>
  </si>
  <si>
    <t>DINS-CUS-501459</t>
  </si>
  <si>
    <t>DINS-POL-201459</t>
  </si>
  <si>
    <t>DINS-CLM-101460</t>
  </si>
  <si>
    <t>DINS-CUS-501460</t>
  </si>
  <si>
    <t>DINS-POL-201460</t>
  </si>
  <si>
    <t>DINS-CLM-101461</t>
  </si>
  <si>
    <t>DINS-CUS-501461</t>
  </si>
  <si>
    <t>DINS-POL-201461</t>
  </si>
  <si>
    <t>DINS-CLM-101462</t>
  </si>
  <si>
    <t>DINS-CUS-501462</t>
  </si>
  <si>
    <t>DINS-POL-201462</t>
  </si>
  <si>
    <t>DINS-CLM-101463</t>
  </si>
  <si>
    <t>DINS-CUS-501463</t>
  </si>
  <si>
    <t>DINS-POL-201463</t>
  </si>
  <si>
    <t>DINS-CLM-101464</t>
  </si>
  <si>
    <t>DINS-CUS-501464</t>
  </si>
  <si>
    <t>DINS-POL-201464</t>
  </si>
  <si>
    <t>DINS-CLM-101465</t>
  </si>
  <si>
    <t>DINS-CUS-501465</t>
  </si>
  <si>
    <t>DINS-POL-201465</t>
  </si>
  <si>
    <t>DINS-CLM-101466</t>
  </si>
  <si>
    <t>DINS-CUS-501466</t>
  </si>
  <si>
    <t>DINS-POL-201466</t>
  </si>
  <si>
    <t>DINS-CLM-101467</t>
  </si>
  <si>
    <t>DINS-CUS-501467</t>
  </si>
  <si>
    <t>DINS-POL-201467</t>
  </si>
  <si>
    <t>DINS-CLM-101468</t>
  </si>
  <si>
    <t>DINS-CUS-501468</t>
  </si>
  <si>
    <t>DINS-POL-201468</t>
  </si>
  <si>
    <t>DINS-CLM-101469</t>
  </si>
  <si>
    <t>DINS-CUS-501469</t>
  </si>
  <si>
    <t>DINS-POL-201469</t>
  </si>
  <si>
    <t>DINS-CLM-101470</t>
  </si>
  <si>
    <t>DINS-CUS-501470</t>
  </si>
  <si>
    <t>DINS-POL-201470</t>
  </si>
  <si>
    <t>DINS-CLM-101471</t>
  </si>
  <si>
    <t>DINS-CUS-501471</t>
  </si>
  <si>
    <t>DINS-POL-201471</t>
  </si>
  <si>
    <t>DINS-CLM-101472</t>
  </si>
  <si>
    <t>DINS-CUS-501472</t>
  </si>
  <si>
    <t>DINS-POL-201472</t>
  </si>
  <si>
    <t>DINS-CLM-101473</t>
  </si>
  <si>
    <t>DINS-CUS-501473</t>
  </si>
  <si>
    <t>DINS-POL-201473</t>
  </si>
  <si>
    <t>DINS-CLM-101474</t>
  </si>
  <si>
    <t>DINS-CUS-501474</t>
  </si>
  <si>
    <t>DINS-POL-201474</t>
  </si>
  <si>
    <t>DINS-CLM-101475</t>
  </si>
  <si>
    <t>DINS-CUS-501475</t>
  </si>
  <si>
    <t>DINS-POL-201475</t>
  </si>
  <si>
    <t>DINS-CLM-101476</t>
  </si>
  <si>
    <t>DINS-CUS-501476</t>
  </si>
  <si>
    <t>DINS-POL-201476</t>
  </si>
  <si>
    <t>DINS-CLM-101477</t>
  </si>
  <si>
    <t>DINS-CUS-501477</t>
  </si>
  <si>
    <t>DINS-POL-201477</t>
  </si>
  <si>
    <t>DINS-CLM-101478</t>
  </si>
  <si>
    <t>DINS-CUS-501478</t>
  </si>
  <si>
    <t>DINS-POL-201478</t>
  </si>
  <si>
    <t>DINS-CLM-101479</t>
  </si>
  <si>
    <t>DINS-CUS-501479</t>
  </si>
  <si>
    <t>DINS-POL-201479</t>
  </si>
  <si>
    <t>DINS-CLM-101480</t>
  </si>
  <si>
    <t>DINS-CUS-501480</t>
  </si>
  <si>
    <t>DINS-POL-201480</t>
  </si>
  <si>
    <t>DINS-CLM-101481</t>
  </si>
  <si>
    <t>DINS-CUS-501481</t>
  </si>
  <si>
    <t>DINS-POL-201481</t>
  </si>
  <si>
    <t>DINS-CLM-101482</t>
  </si>
  <si>
    <t>DINS-CUS-501482</t>
  </si>
  <si>
    <t>DINS-POL-201482</t>
  </si>
  <si>
    <t>DINS-CLM-101483</t>
  </si>
  <si>
    <t>DINS-CUS-501483</t>
  </si>
  <si>
    <t>DINS-POL-201483</t>
  </si>
  <si>
    <t>DINS-CLM-101484</t>
  </si>
  <si>
    <t>DINS-CUS-501484</t>
  </si>
  <si>
    <t>DINS-POL-201484</t>
  </si>
  <si>
    <t>DINS-CLM-101485</t>
  </si>
  <si>
    <t>DINS-CUS-501485</t>
  </si>
  <si>
    <t>DINS-POL-201485</t>
  </si>
  <si>
    <t>DINS-CLM-101486</t>
  </si>
  <si>
    <t>DINS-CUS-501486</t>
  </si>
  <si>
    <t>DINS-POL-201486</t>
  </si>
  <si>
    <t>DINS-CLM-101487</t>
  </si>
  <si>
    <t>DINS-CUS-501487</t>
  </si>
  <si>
    <t>DINS-POL-201487</t>
  </si>
  <si>
    <t>DINS-CLM-101488</t>
  </si>
  <si>
    <t>DINS-CUS-501488</t>
  </si>
  <si>
    <t>DINS-POL-201488</t>
  </si>
  <si>
    <t>DINS-CLM-101489</t>
  </si>
  <si>
    <t>DINS-CUS-501489</t>
  </si>
  <si>
    <t>DINS-POL-201489</t>
  </si>
  <si>
    <t>DINS-CLM-101490</t>
  </si>
  <si>
    <t>DINS-CUS-501490</t>
  </si>
  <si>
    <t>DINS-POL-201490</t>
  </si>
  <si>
    <t>DINS-CLM-101491</t>
  </si>
  <si>
    <t>DINS-CUS-501491</t>
  </si>
  <si>
    <t>DINS-POL-201491</t>
  </si>
  <si>
    <t>DINS-CLM-101492</t>
  </si>
  <si>
    <t>DINS-CUS-501492</t>
  </si>
  <si>
    <t>DINS-POL-201492</t>
  </si>
  <si>
    <t>DINS-CLM-101493</t>
  </si>
  <si>
    <t>DINS-CUS-501493</t>
  </si>
  <si>
    <t>DINS-POL-201493</t>
  </si>
  <si>
    <t>DINS-CLM-101494</t>
  </si>
  <si>
    <t>DINS-CUS-501494</t>
  </si>
  <si>
    <t>DINS-POL-201494</t>
  </si>
  <si>
    <t>DINS-CLM-101495</t>
  </si>
  <si>
    <t>DINS-CUS-501495</t>
  </si>
  <si>
    <t>DINS-POL-201495</t>
  </si>
  <si>
    <t>DINS-CLM-101496</t>
  </si>
  <si>
    <t>DINS-CUS-501496</t>
  </si>
  <si>
    <t>DINS-POL-201496</t>
  </si>
  <si>
    <t>DINS-CLM-101497</t>
  </si>
  <si>
    <t>DINS-CUS-501497</t>
  </si>
  <si>
    <t>DINS-POL-201497</t>
  </si>
  <si>
    <t>DINS-CLM-101498</t>
  </si>
  <si>
    <t>DINS-CUS-501498</t>
  </si>
  <si>
    <t>DINS-POL-201498</t>
  </si>
  <si>
    <t>DINS-CLM-101499</t>
  </si>
  <si>
    <t>DINS-CUS-501499</t>
  </si>
  <si>
    <t>DINS-POL-201499</t>
  </si>
  <si>
    <t>DINS-CLM-101500</t>
  </si>
  <si>
    <t>DINS-CUS-501500</t>
  </si>
  <si>
    <t>DINS-POL-201500</t>
  </si>
  <si>
    <t>DINS-CLM-101501</t>
  </si>
  <si>
    <t>DINS-CUS-501501</t>
  </si>
  <si>
    <t>DINS-POL-201501</t>
  </si>
  <si>
    <t>DINS-CLM-101502</t>
  </si>
  <si>
    <t>DINS-CUS-501502</t>
  </si>
  <si>
    <t>DINS-POL-201502</t>
  </si>
  <si>
    <t>DINS-CLM-101503</t>
  </si>
  <si>
    <t>DINS-CUS-501503</t>
  </si>
  <si>
    <t>DINS-POL-201503</t>
  </si>
  <si>
    <t>DINS-CLM-101504</t>
  </si>
  <si>
    <t>DINS-CUS-501504</t>
  </si>
  <si>
    <t>DINS-POL-201504</t>
  </si>
  <si>
    <t>DINS-CLM-101505</t>
  </si>
  <si>
    <t>DINS-CUS-501505</t>
  </si>
  <si>
    <t>DINS-POL-201505</t>
  </si>
  <si>
    <t>DINS-CLM-101506</t>
  </si>
  <si>
    <t>DINS-CUS-501506</t>
  </si>
  <si>
    <t>DINS-POL-201506</t>
  </si>
  <si>
    <t>DINS-CLM-101507</t>
  </si>
  <si>
    <t>DINS-CUS-501507</t>
  </si>
  <si>
    <t>DINS-POL-201507</t>
  </si>
  <si>
    <t>DINS-CLM-101508</t>
  </si>
  <si>
    <t>DINS-CUS-501508</t>
  </si>
  <si>
    <t>DINS-POL-201508</t>
  </si>
  <si>
    <t>DINS-CLM-101509</t>
  </si>
  <si>
    <t>DINS-CUS-501509</t>
  </si>
  <si>
    <t>DINS-POL-201509</t>
  </si>
  <si>
    <t>DINS-CLM-101510</t>
  </si>
  <si>
    <t>DINS-CUS-501510</t>
  </si>
  <si>
    <t>DINS-POL-201510</t>
  </si>
  <si>
    <t>DINS-CLM-101511</t>
  </si>
  <si>
    <t>DINS-CUS-501511</t>
  </si>
  <si>
    <t>DINS-POL-201511</t>
  </si>
  <si>
    <t>DINS-CLM-101512</t>
  </si>
  <si>
    <t>DINS-CUS-501512</t>
  </si>
  <si>
    <t>DINS-POL-201512</t>
  </si>
  <si>
    <t>DINS-CLM-101513</t>
  </si>
  <si>
    <t>DINS-CUS-501513</t>
  </si>
  <si>
    <t>DINS-POL-201513</t>
  </si>
  <si>
    <t>DINS-CLM-101514</t>
  </si>
  <si>
    <t>DINS-CUS-501514</t>
  </si>
  <si>
    <t>DINS-POL-201514</t>
  </si>
  <si>
    <t>DINS-CLM-101515</t>
  </si>
  <si>
    <t>DINS-CUS-501515</t>
  </si>
  <si>
    <t>DINS-POL-201515</t>
  </si>
  <si>
    <t>DINS-CLM-101516</t>
  </si>
  <si>
    <t>DINS-CUS-501516</t>
  </si>
  <si>
    <t>DINS-POL-201516</t>
  </si>
  <si>
    <t>DINS-CLM-101517</t>
  </si>
  <si>
    <t>DINS-CUS-501517</t>
  </si>
  <si>
    <t>DINS-POL-201517</t>
  </si>
  <si>
    <t>DINS-CLM-101518</t>
  </si>
  <si>
    <t>DINS-CUS-501518</t>
  </si>
  <si>
    <t>DINS-POL-201518</t>
  </si>
  <si>
    <t>DINS-CLM-101519</t>
  </si>
  <si>
    <t>DINS-CUS-501519</t>
  </si>
  <si>
    <t>DINS-POL-201519</t>
  </si>
  <si>
    <t>DINS-CLM-101520</t>
  </si>
  <si>
    <t>DINS-CUS-501520</t>
  </si>
  <si>
    <t>DINS-POL-201520</t>
  </si>
  <si>
    <t>DINS-CLM-101521</t>
  </si>
  <si>
    <t>DINS-CUS-501521</t>
  </si>
  <si>
    <t>DINS-POL-201521</t>
  </si>
  <si>
    <t>DINS-CLM-101522</t>
  </si>
  <si>
    <t>DINS-CUS-501522</t>
  </si>
  <si>
    <t>DINS-POL-201522</t>
  </si>
  <si>
    <t>DINS-CLM-101523</t>
  </si>
  <si>
    <t>DINS-CUS-501523</t>
  </si>
  <si>
    <t>DINS-POL-201523</t>
  </si>
  <si>
    <t>DINS-CLM-101524</t>
  </si>
  <si>
    <t>DINS-CUS-501524</t>
  </si>
  <si>
    <t>DINS-POL-201524</t>
  </si>
  <si>
    <t>DINS-CLM-101525</t>
  </si>
  <si>
    <t>DINS-CUS-501525</t>
  </si>
  <si>
    <t>DINS-POL-201525</t>
  </si>
  <si>
    <t>DINS-CLM-101526</t>
  </si>
  <si>
    <t>DINS-CUS-501526</t>
  </si>
  <si>
    <t>DINS-POL-201526</t>
  </si>
  <si>
    <t>DINS-CLM-101527</t>
  </si>
  <si>
    <t>DINS-CUS-501527</t>
  </si>
  <si>
    <t>DINS-POL-201527</t>
  </si>
  <si>
    <t>DINS-CLM-101528</t>
  </si>
  <si>
    <t>DINS-CUS-501528</t>
  </si>
  <si>
    <t>DINS-POL-201528</t>
  </si>
  <si>
    <t>DINS-CLM-101529</t>
  </si>
  <si>
    <t>DINS-CUS-501529</t>
  </si>
  <si>
    <t>DINS-POL-201529</t>
  </si>
  <si>
    <t>DINS-CLM-101530</t>
  </si>
  <si>
    <t>DINS-CUS-501530</t>
  </si>
  <si>
    <t>DINS-POL-201530</t>
  </si>
  <si>
    <t>DINS-CLM-101531</t>
  </si>
  <si>
    <t>DINS-CUS-501531</t>
  </si>
  <si>
    <t>DINS-POL-201531</t>
  </si>
  <si>
    <t>DINS-CLM-101532</t>
  </si>
  <si>
    <t>DINS-CUS-501532</t>
  </si>
  <si>
    <t>DINS-POL-201532</t>
  </si>
  <si>
    <t>DINS-CLM-101533</t>
  </si>
  <si>
    <t>DINS-CUS-501533</t>
  </si>
  <si>
    <t>DINS-POL-201533</t>
  </si>
  <si>
    <t>DINS-CLM-101534</t>
  </si>
  <si>
    <t>DINS-CUS-501534</t>
  </si>
  <si>
    <t>DINS-POL-201534</t>
  </si>
  <si>
    <t>DINS-CLM-101535</t>
  </si>
  <si>
    <t>DINS-CUS-501535</t>
  </si>
  <si>
    <t>DINS-POL-201535</t>
  </si>
  <si>
    <t>DINS-CLM-101536</t>
  </si>
  <si>
    <t>DINS-CUS-501536</t>
  </si>
  <si>
    <t>DINS-POL-201536</t>
  </si>
  <si>
    <t>DINS-CLM-101537</t>
  </si>
  <si>
    <t>DINS-CUS-501537</t>
  </si>
  <si>
    <t>DINS-POL-201537</t>
  </si>
  <si>
    <t>DINS-CLM-101538</t>
  </si>
  <si>
    <t>DINS-CUS-501538</t>
  </si>
  <si>
    <t>DINS-POL-201538</t>
  </si>
  <si>
    <t>DINS-CLM-101539</t>
  </si>
  <si>
    <t>DINS-CUS-501539</t>
  </si>
  <si>
    <t>DINS-POL-201539</t>
  </si>
  <si>
    <t>DINS-CLM-101540</t>
  </si>
  <si>
    <t>DINS-CUS-501540</t>
  </si>
  <si>
    <t>DINS-POL-201540</t>
  </si>
  <si>
    <t>DINS-CLM-101541</t>
  </si>
  <si>
    <t>DINS-CUS-501541</t>
  </si>
  <si>
    <t>DINS-POL-201541</t>
  </si>
  <si>
    <t>DINS-CLM-101542</t>
  </si>
  <si>
    <t>DINS-CUS-501542</t>
  </si>
  <si>
    <t>DINS-POL-201542</t>
  </si>
  <si>
    <t>DINS-CLM-101543</t>
  </si>
  <si>
    <t>DINS-CUS-501543</t>
  </si>
  <si>
    <t>DINS-POL-201543</t>
  </si>
  <si>
    <t>DINS-CLM-101544</t>
  </si>
  <si>
    <t>DINS-CUS-501544</t>
  </si>
  <si>
    <t>DINS-POL-201544</t>
  </si>
  <si>
    <t>DINS-CLM-101545</t>
  </si>
  <si>
    <t>DINS-CUS-501545</t>
  </si>
  <si>
    <t>DINS-POL-201545</t>
  </si>
  <si>
    <t>DINS-CLM-101546</t>
  </si>
  <si>
    <t>DINS-CUS-501546</t>
  </si>
  <si>
    <t>DINS-POL-201546</t>
  </si>
  <si>
    <t>DINS-CLM-101547</t>
  </si>
  <si>
    <t>DINS-CUS-501547</t>
  </si>
  <si>
    <t>DINS-POL-201547</t>
  </si>
  <si>
    <t>DINS-CLM-101548</t>
  </si>
  <si>
    <t>DINS-CUS-501548</t>
  </si>
  <si>
    <t>DINS-POL-201548</t>
  </si>
  <si>
    <t>DINS-CLM-101549</t>
  </si>
  <si>
    <t>DINS-CUS-501549</t>
  </si>
  <si>
    <t>DINS-POL-201549</t>
  </si>
  <si>
    <t>DINS-CLM-101550</t>
  </si>
  <si>
    <t>DINS-CUS-501550</t>
  </si>
  <si>
    <t>DINS-POL-201550</t>
  </si>
  <si>
    <t>DINS-CLM-101551</t>
  </si>
  <si>
    <t>DINS-CUS-501551</t>
  </si>
  <si>
    <t>DINS-POL-201551</t>
  </si>
  <si>
    <t>DINS-CLM-101552</t>
  </si>
  <si>
    <t>DINS-CUS-501552</t>
  </si>
  <si>
    <t>DINS-POL-201552</t>
  </si>
  <si>
    <t>DINS-CLM-101553</t>
  </si>
  <si>
    <t>DINS-CUS-501553</t>
  </si>
  <si>
    <t>DINS-POL-201553</t>
  </si>
  <si>
    <t>DINS-CLM-101554</t>
  </si>
  <si>
    <t>DINS-CUS-501554</t>
  </si>
  <si>
    <t>DINS-POL-201554</t>
  </si>
  <si>
    <t>DINS-CLM-101555</t>
  </si>
  <si>
    <t>DINS-CUS-501555</t>
  </si>
  <si>
    <t>DINS-POL-201555</t>
  </si>
  <si>
    <t>DINS-CLM-101556</t>
  </si>
  <si>
    <t>DINS-CUS-501556</t>
  </si>
  <si>
    <t>DINS-POL-201556</t>
  </si>
  <si>
    <t>DINS-CLM-101557</t>
  </si>
  <si>
    <t>DINS-CUS-501557</t>
  </si>
  <si>
    <t>DINS-POL-201557</t>
  </si>
  <si>
    <t>DINS-CLM-101558</t>
  </si>
  <si>
    <t>DINS-CUS-501558</t>
  </si>
  <si>
    <t>DINS-POL-201558</t>
  </si>
  <si>
    <t>DINS-CLM-101559</t>
  </si>
  <si>
    <t>DINS-CUS-501559</t>
  </si>
  <si>
    <t>DINS-POL-201559</t>
  </si>
  <si>
    <t>DINS-CLM-101560</t>
  </si>
  <si>
    <t>DINS-CUS-501560</t>
  </si>
  <si>
    <t>DINS-POL-201560</t>
  </si>
  <si>
    <t>DINS-CLM-101561</t>
  </si>
  <si>
    <t>DINS-CUS-501561</t>
  </si>
  <si>
    <t>DINS-POL-201561</t>
  </si>
  <si>
    <t>DINS-CLM-101562</t>
  </si>
  <si>
    <t>DINS-CUS-501562</t>
  </si>
  <si>
    <t>DINS-POL-201562</t>
  </si>
  <si>
    <t>DINS-CLM-101563</t>
  </si>
  <si>
    <t>DINS-CUS-501563</t>
  </si>
  <si>
    <t>DINS-POL-201563</t>
  </si>
  <si>
    <t>DINS-CLM-101564</t>
  </si>
  <si>
    <t>DINS-CUS-501564</t>
  </si>
  <si>
    <t>DINS-POL-201564</t>
  </si>
  <si>
    <t>DINS-CLM-101565</t>
  </si>
  <si>
    <t>DINS-CUS-501565</t>
  </si>
  <si>
    <t>DINS-POL-201565</t>
  </si>
  <si>
    <t>DINS-CLM-101566</t>
  </si>
  <si>
    <t>DINS-CUS-501566</t>
  </si>
  <si>
    <t>DINS-POL-201566</t>
  </si>
  <si>
    <t>DINS-CLM-101567</t>
  </si>
  <si>
    <t>DINS-CUS-501567</t>
  </si>
  <si>
    <t>DINS-POL-201567</t>
  </si>
  <si>
    <t>DINS-CLM-101568</t>
  </si>
  <si>
    <t>DINS-CUS-501568</t>
  </si>
  <si>
    <t>DINS-POL-201568</t>
  </si>
  <si>
    <t>DINS-CLM-101569</t>
  </si>
  <si>
    <t>DINS-CUS-501569</t>
  </si>
  <si>
    <t>DINS-POL-201569</t>
  </si>
  <si>
    <t>DINS-CLM-101570</t>
  </si>
  <si>
    <t>DINS-CUS-501570</t>
  </si>
  <si>
    <t>DINS-POL-201570</t>
  </si>
  <si>
    <t>DINS-CLM-101571</t>
  </si>
  <si>
    <t>DINS-CUS-501571</t>
  </si>
  <si>
    <t>DINS-POL-201571</t>
  </si>
  <si>
    <t>DINS-CLM-101572</t>
  </si>
  <si>
    <t>DINS-CUS-501572</t>
  </si>
  <si>
    <t>DINS-POL-201572</t>
  </si>
  <si>
    <t>DINS-CLM-101573</t>
  </si>
  <si>
    <t>DINS-CUS-501573</t>
  </si>
  <si>
    <t>DINS-POL-201573</t>
  </si>
  <si>
    <t>DINS-CLM-101574</t>
  </si>
  <si>
    <t>DINS-CUS-501574</t>
  </si>
  <si>
    <t>DINS-POL-201574</t>
  </si>
  <si>
    <t>DINS-CLM-101575</t>
  </si>
  <si>
    <t>DINS-CUS-501575</t>
  </si>
  <si>
    <t>DINS-POL-201575</t>
  </si>
  <si>
    <t>DINS-CLM-101576</t>
  </si>
  <si>
    <t>DINS-CUS-501576</t>
  </si>
  <si>
    <t>DINS-POL-201576</t>
  </si>
  <si>
    <t>DINS-CLM-101577</t>
  </si>
  <si>
    <t>DINS-CUS-501577</t>
  </si>
  <si>
    <t>DINS-POL-201577</t>
  </si>
  <si>
    <t>DINS-CLM-101578</t>
  </si>
  <si>
    <t>DINS-CUS-501578</t>
  </si>
  <si>
    <t>DINS-POL-201578</t>
  </si>
  <si>
    <t>DINS-CLM-101579</t>
  </si>
  <si>
    <t>DINS-CUS-501579</t>
  </si>
  <si>
    <t>DINS-POL-201579</t>
  </si>
  <si>
    <t>DINS-CLM-101580</t>
  </si>
  <si>
    <t>DINS-CUS-501580</t>
  </si>
  <si>
    <t>DINS-POL-201580</t>
  </si>
  <si>
    <t>DINS-CLM-101581</t>
  </si>
  <si>
    <t>DINS-CUS-501581</t>
  </si>
  <si>
    <t>DINS-POL-201581</t>
  </si>
  <si>
    <t>DINS-CLM-101582</t>
  </si>
  <si>
    <t>DINS-CUS-501582</t>
  </si>
  <si>
    <t>DINS-POL-201582</t>
  </si>
  <si>
    <t>DINS-CLM-101583</t>
  </si>
  <si>
    <t>DINS-CUS-501583</t>
  </si>
  <si>
    <t>DINS-POL-201583</t>
  </si>
  <si>
    <t>DINS-CLM-101584</t>
  </si>
  <si>
    <t>DINS-CUS-501584</t>
  </si>
  <si>
    <t>DINS-POL-201584</t>
  </si>
  <si>
    <t>DINS-CLM-101585</t>
  </si>
  <si>
    <t>DINS-CUS-501585</t>
  </si>
  <si>
    <t>DINS-POL-201585</t>
  </si>
  <si>
    <t>DINS-CLM-101586</t>
  </si>
  <si>
    <t>DINS-CUS-501586</t>
  </si>
  <si>
    <t>DINS-POL-201586</t>
  </si>
  <si>
    <t>DINS-CLM-101587</t>
  </si>
  <si>
    <t>DINS-CUS-501587</t>
  </si>
  <si>
    <t>DINS-POL-201587</t>
  </si>
  <si>
    <t>DINS-CLM-101588</t>
  </si>
  <si>
    <t>DINS-CUS-501588</t>
  </si>
  <si>
    <t>DINS-POL-201588</t>
  </si>
  <si>
    <t>DINS-CLM-101589</t>
  </si>
  <si>
    <t>DINS-CUS-501589</t>
  </si>
  <si>
    <t>DINS-POL-201589</t>
  </si>
  <si>
    <t>DINS-CLM-101590</t>
  </si>
  <si>
    <t>DINS-CUS-501590</t>
  </si>
  <si>
    <t>DINS-POL-201590</t>
  </si>
  <si>
    <t>DINS-CLM-101591</t>
  </si>
  <si>
    <t>DINS-CUS-501591</t>
  </si>
  <si>
    <t>DINS-POL-201591</t>
  </si>
  <si>
    <t>DINS-CLM-101592</t>
  </si>
  <si>
    <t>DINS-CUS-501592</t>
  </si>
  <si>
    <t>DINS-POL-201592</t>
  </si>
  <si>
    <t>DINS-CLM-101593</t>
  </si>
  <si>
    <t>DINS-CUS-501593</t>
  </si>
  <si>
    <t>DINS-POL-201593</t>
  </si>
  <si>
    <t>DINS-CLM-101594</t>
  </si>
  <si>
    <t>DINS-CUS-501594</t>
  </si>
  <si>
    <t>DINS-POL-201594</t>
  </si>
  <si>
    <t>DINS-CLM-101595</t>
  </si>
  <si>
    <t>DINS-CUS-501595</t>
  </si>
  <si>
    <t>DINS-POL-201595</t>
  </si>
  <si>
    <t>DINS-CLM-101596</t>
  </si>
  <si>
    <t>DINS-CUS-501596</t>
  </si>
  <si>
    <t>DINS-POL-201596</t>
  </si>
  <si>
    <t>DINS-CLM-101597</t>
  </si>
  <si>
    <t>DINS-CUS-501597</t>
  </si>
  <si>
    <t>DINS-POL-201597</t>
  </si>
  <si>
    <t>DINS-CLM-101598</t>
  </si>
  <si>
    <t>DINS-CUS-501598</t>
  </si>
  <si>
    <t>DINS-POL-201598</t>
  </si>
  <si>
    <t>DINS-CLM-101599</t>
  </si>
  <si>
    <t>DINS-CUS-501599</t>
  </si>
  <si>
    <t>DINS-POL-201599</t>
  </si>
  <si>
    <t>DINS-CLM-101600</t>
  </si>
  <si>
    <t>DINS-CUS-501600</t>
  </si>
  <si>
    <t>DINS-POL-201600</t>
  </si>
  <si>
    <t>DINS-CLM-101601</t>
  </si>
  <si>
    <t>DINS-CUS-501601</t>
  </si>
  <si>
    <t>DINS-POL-201601</t>
  </si>
  <si>
    <t>DINS-CLM-101602</t>
  </si>
  <si>
    <t>DINS-CUS-501602</t>
  </si>
  <si>
    <t>DINS-POL-201602</t>
  </si>
  <si>
    <t>DINS-CLM-101603</t>
  </si>
  <si>
    <t>DINS-CUS-501603</t>
  </si>
  <si>
    <t>DINS-POL-201603</t>
  </si>
  <si>
    <t>DINS-CLM-101604</t>
  </si>
  <si>
    <t>DINS-CUS-501604</t>
  </si>
  <si>
    <t>DINS-POL-201604</t>
  </si>
  <si>
    <t>DINS-CLM-101605</t>
  </si>
  <si>
    <t>DINS-CUS-501605</t>
  </si>
  <si>
    <t>DINS-POL-201605</t>
  </si>
  <si>
    <t>DINS-CLM-101606</t>
  </si>
  <si>
    <t>DINS-CUS-501606</t>
  </si>
  <si>
    <t>DINS-POL-201606</t>
  </si>
  <si>
    <t>DINS-CLM-101607</t>
  </si>
  <si>
    <t>DINS-CUS-501607</t>
  </si>
  <si>
    <t>DINS-POL-201607</t>
  </si>
  <si>
    <t>DINS-CLM-101608</t>
  </si>
  <si>
    <t>DINS-CUS-501608</t>
  </si>
  <si>
    <t>DINS-POL-201608</t>
  </si>
  <si>
    <t>DINS-CLM-101609</t>
  </si>
  <si>
    <t>DINS-CUS-501609</t>
  </si>
  <si>
    <t>DINS-POL-201609</t>
  </si>
  <si>
    <t>DINS-CLM-101610</t>
  </si>
  <si>
    <t>DINS-CUS-501610</t>
  </si>
  <si>
    <t>DINS-POL-201610</t>
  </si>
  <si>
    <t>DINS-CLM-101611</t>
  </si>
  <si>
    <t>DINS-CUS-501611</t>
  </si>
  <si>
    <t>DINS-POL-201611</t>
  </si>
  <si>
    <t>DINS-CLM-101612</t>
  </si>
  <si>
    <t>DINS-CUS-501612</t>
  </si>
  <si>
    <t>DINS-POL-201612</t>
  </si>
  <si>
    <t>DINS-CLM-101613</t>
  </si>
  <si>
    <t>DINS-CUS-501613</t>
  </si>
  <si>
    <t>DINS-POL-201613</t>
  </si>
  <si>
    <t>DINS-CLM-101614</t>
  </si>
  <si>
    <t>DINS-CUS-501614</t>
  </si>
  <si>
    <t>DINS-POL-201614</t>
  </si>
  <si>
    <t>DINS-CLM-101615</t>
  </si>
  <si>
    <t>DINS-CUS-501615</t>
  </si>
  <si>
    <t>DINS-POL-201615</t>
  </si>
  <si>
    <t>DINS-CLM-101616</t>
  </si>
  <si>
    <t>DINS-CUS-501616</t>
  </si>
  <si>
    <t>DINS-POL-201616</t>
  </si>
  <si>
    <t>DINS-CLM-101617</t>
  </si>
  <si>
    <t>DINS-CUS-501617</t>
  </si>
  <si>
    <t>DINS-POL-201617</t>
  </si>
  <si>
    <t>DINS-CLM-101618</t>
  </si>
  <si>
    <t>DINS-CUS-501618</t>
  </si>
  <si>
    <t>DINS-POL-201618</t>
  </si>
  <si>
    <t>DINS-CLM-101619</t>
  </si>
  <si>
    <t>DINS-CUS-501619</t>
  </si>
  <si>
    <t>DINS-POL-201619</t>
  </si>
  <si>
    <t>DINS-CLM-101620</t>
  </si>
  <si>
    <t>DINS-CUS-501620</t>
  </si>
  <si>
    <t>DINS-POL-201620</t>
  </si>
  <si>
    <t>DINS-CLM-101621</t>
  </si>
  <si>
    <t>DINS-CUS-501621</t>
  </si>
  <si>
    <t>DINS-POL-201621</t>
  </si>
  <si>
    <t>DINS-CLM-101622</t>
  </si>
  <si>
    <t>DINS-CUS-501622</t>
  </si>
  <si>
    <t>DINS-POL-201622</t>
  </si>
  <si>
    <t>DINS-CLM-101623</t>
  </si>
  <si>
    <t>DINS-CUS-501623</t>
  </si>
  <si>
    <t>DINS-POL-201623</t>
  </si>
  <si>
    <t>DINS-CLM-101624</t>
  </si>
  <si>
    <t>DINS-CUS-501624</t>
  </si>
  <si>
    <t>DINS-POL-201624</t>
  </si>
  <si>
    <t>DINS-CLM-101625</t>
  </si>
  <si>
    <t>DINS-CUS-501625</t>
  </si>
  <si>
    <t>DINS-POL-201625</t>
  </si>
  <si>
    <t>DINS-CLM-101626</t>
  </si>
  <si>
    <t>DINS-CUS-501626</t>
  </si>
  <si>
    <t>DINS-POL-201626</t>
  </si>
  <si>
    <t>DINS-CLM-101627</t>
  </si>
  <si>
    <t>DINS-CUS-501627</t>
  </si>
  <si>
    <t>DINS-POL-201627</t>
  </si>
  <si>
    <t>DINS-CLM-101628</t>
  </si>
  <si>
    <t>DINS-CUS-501628</t>
  </si>
  <si>
    <t>DINS-POL-201628</t>
  </si>
  <si>
    <t>DINS-CLM-101629</t>
  </si>
  <si>
    <t>DINS-CUS-501629</t>
  </si>
  <si>
    <t>DINS-POL-201629</t>
  </si>
  <si>
    <t>DINS-CLM-101630</t>
  </si>
  <si>
    <t>DINS-CUS-501630</t>
  </si>
  <si>
    <t>DINS-POL-201630</t>
  </si>
  <si>
    <t>DINS-CLM-101631</t>
  </si>
  <si>
    <t>DINS-CUS-501631</t>
  </si>
  <si>
    <t>DINS-POL-201631</t>
  </si>
  <si>
    <t>DINS-CLM-101632</t>
  </si>
  <si>
    <t>DINS-CUS-501632</t>
  </si>
  <si>
    <t>DINS-POL-201632</t>
  </si>
  <si>
    <t>DINS-CLM-101633</t>
  </si>
  <si>
    <t>DINS-CUS-501633</t>
  </si>
  <si>
    <t>DINS-POL-201633</t>
  </si>
  <si>
    <t>DINS-CLM-101634</t>
  </si>
  <si>
    <t>DINS-CUS-501634</t>
  </si>
  <si>
    <t>DINS-POL-201634</t>
  </si>
  <si>
    <t>DINS-CLM-101635</t>
  </si>
  <si>
    <t>DINS-CUS-501635</t>
  </si>
  <si>
    <t>DINS-POL-201635</t>
  </si>
  <si>
    <t>DINS-CLM-101636</t>
  </si>
  <si>
    <t>DINS-CUS-501636</t>
  </si>
  <si>
    <t>DINS-POL-201636</t>
  </si>
  <si>
    <t>DINS-CLM-101637</t>
  </si>
  <si>
    <t>DINS-CUS-501637</t>
  </si>
  <si>
    <t>DINS-POL-201637</t>
  </si>
  <si>
    <t>DINS-CLM-101638</t>
  </si>
  <si>
    <t>DINS-CUS-501638</t>
  </si>
  <si>
    <t>DINS-POL-201638</t>
  </si>
  <si>
    <t>DINS-CLM-101639</t>
  </si>
  <si>
    <t>DINS-CUS-501639</t>
  </si>
  <si>
    <t>DINS-POL-201639</t>
  </si>
  <si>
    <t>DINS-CLM-101640</t>
  </si>
  <si>
    <t>DINS-CUS-501640</t>
  </si>
  <si>
    <t>DINS-POL-201640</t>
  </si>
  <si>
    <t>DINS-CLM-101641</t>
  </si>
  <si>
    <t>DINS-CUS-501641</t>
  </si>
  <si>
    <t>DINS-POL-201641</t>
  </si>
  <si>
    <t>DINS-CLM-101642</t>
  </si>
  <si>
    <t>DINS-CUS-501642</t>
  </si>
  <si>
    <t>DINS-POL-201642</t>
  </si>
  <si>
    <t>DINS-CLM-101643</t>
  </si>
  <si>
    <t>DINS-CUS-501643</t>
  </si>
  <si>
    <t>DINS-POL-201643</t>
  </si>
  <si>
    <t>DINS-CLM-101644</t>
  </si>
  <si>
    <t>DINS-CUS-501644</t>
  </si>
  <si>
    <t>DINS-POL-201644</t>
  </si>
  <si>
    <t>DINS-CLM-101645</t>
  </si>
  <si>
    <t>DINS-CUS-501645</t>
  </si>
  <si>
    <t>DINS-POL-201645</t>
  </si>
  <si>
    <t>DINS-CLM-101646</t>
  </si>
  <si>
    <t>DINS-CUS-501646</t>
  </si>
  <si>
    <t>DINS-POL-201646</t>
  </si>
  <si>
    <t>DINS-CLM-101647</t>
  </si>
  <si>
    <t>DINS-CUS-501647</t>
  </si>
  <si>
    <t>DINS-POL-201647</t>
  </si>
  <si>
    <t>DINS-CLM-101648</t>
  </si>
  <si>
    <t>DINS-CUS-501648</t>
  </si>
  <si>
    <t>DINS-POL-201648</t>
  </si>
  <si>
    <t>DINS-CLM-101649</t>
  </si>
  <si>
    <t>DINS-CUS-501649</t>
  </si>
  <si>
    <t>DINS-POL-201649</t>
  </si>
  <si>
    <t>DINS-CLM-101650</t>
  </si>
  <si>
    <t>DINS-CUS-501650</t>
  </si>
  <si>
    <t>DINS-POL-201650</t>
  </si>
  <si>
    <t>DINS-CLM-101651</t>
  </si>
  <si>
    <t>DINS-CUS-501651</t>
  </si>
  <si>
    <t>DINS-POL-201651</t>
  </si>
  <si>
    <t>DINS-CLM-101652</t>
  </si>
  <si>
    <t>DINS-CUS-501652</t>
  </si>
  <si>
    <t>DINS-POL-201652</t>
  </si>
  <si>
    <t>DINS-CLM-101653</t>
  </si>
  <si>
    <t>DINS-CUS-501653</t>
  </si>
  <si>
    <t>DINS-POL-201653</t>
  </si>
  <si>
    <t>DINS-CLM-101654</t>
  </si>
  <si>
    <t>DINS-CUS-501654</t>
  </si>
  <si>
    <t>DINS-POL-201654</t>
  </si>
  <si>
    <t>DINS-CLM-101655</t>
  </si>
  <si>
    <t>DINS-CUS-501655</t>
  </si>
  <si>
    <t>DINS-POL-201655</t>
  </si>
  <si>
    <t>DINS-CLM-101656</t>
  </si>
  <si>
    <t>DINS-CUS-501656</t>
  </si>
  <si>
    <t>DINS-POL-201656</t>
  </si>
  <si>
    <t>DINS-CLM-101657</t>
  </si>
  <si>
    <t>DINS-CUS-501657</t>
  </si>
  <si>
    <t>DINS-POL-201657</t>
  </si>
  <si>
    <t>DINS-CLM-101658</t>
  </si>
  <si>
    <t>DINS-CUS-501658</t>
  </si>
  <si>
    <t>DINS-POL-201658</t>
  </si>
  <si>
    <t>DINS-CLM-101659</t>
  </si>
  <si>
    <t>DINS-CUS-501659</t>
  </si>
  <si>
    <t>DINS-POL-201659</t>
  </si>
  <si>
    <t>DINS-CLM-101660</t>
  </si>
  <si>
    <t>DINS-CUS-501660</t>
  </si>
  <si>
    <t>DINS-POL-201660</t>
  </si>
  <si>
    <t>DINS-CLM-101661</t>
  </si>
  <si>
    <t>DINS-CUS-501661</t>
  </si>
  <si>
    <t>DINS-POL-201661</t>
  </si>
  <si>
    <t>DINS-CLM-101662</t>
  </si>
  <si>
    <t>DINS-CUS-501662</t>
  </si>
  <si>
    <t>DINS-POL-201662</t>
  </si>
  <si>
    <t>DINS-CLM-101663</t>
  </si>
  <si>
    <t>DINS-CUS-501663</t>
  </si>
  <si>
    <t>DINS-POL-201663</t>
  </si>
  <si>
    <t>DINS-CLM-101664</t>
  </si>
  <si>
    <t>DINS-CUS-501664</t>
  </si>
  <si>
    <t>DINS-POL-201664</t>
  </si>
  <si>
    <t>DINS-CLM-101665</t>
  </si>
  <si>
    <t>DINS-CUS-501665</t>
  </si>
  <si>
    <t>DINS-POL-201665</t>
  </si>
  <si>
    <t>DINS-CLM-101666</t>
  </si>
  <si>
    <t>DINS-CUS-501666</t>
  </si>
  <si>
    <t>DINS-POL-201666</t>
  </si>
  <si>
    <t>DINS-CLM-101667</t>
  </si>
  <si>
    <t>DINS-CUS-501667</t>
  </si>
  <si>
    <t>DINS-POL-201667</t>
  </si>
  <si>
    <t>DINS-CLM-101668</t>
  </si>
  <si>
    <t>DINS-CUS-501668</t>
  </si>
  <si>
    <t>DINS-POL-201668</t>
  </si>
  <si>
    <t>DINS-CLM-101669</t>
  </si>
  <si>
    <t>DINS-CUS-501669</t>
  </si>
  <si>
    <t>DINS-POL-201669</t>
  </si>
  <si>
    <t>DINS-CLM-101670</t>
  </si>
  <si>
    <t>DINS-CUS-501670</t>
  </si>
  <si>
    <t>DINS-POL-201670</t>
  </si>
  <si>
    <t>DINS-CLM-101671</t>
  </si>
  <si>
    <t>DINS-CUS-501671</t>
  </si>
  <si>
    <t>DINS-POL-201671</t>
  </si>
  <si>
    <t>DINS-CLM-101672</t>
  </si>
  <si>
    <t>DINS-CUS-501672</t>
  </si>
  <si>
    <t>DINS-POL-201672</t>
  </si>
  <si>
    <t>DINS-CLM-101673</t>
  </si>
  <si>
    <t>DINS-CUS-501673</t>
  </si>
  <si>
    <t>DINS-POL-201673</t>
  </si>
  <si>
    <t>DINS-CLM-101674</t>
  </si>
  <si>
    <t>DINS-CUS-501674</t>
  </si>
  <si>
    <t>DINS-POL-201674</t>
  </si>
  <si>
    <t>DINS-CLM-101675</t>
  </si>
  <si>
    <t>DINS-CUS-501675</t>
  </si>
  <si>
    <t>DINS-POL-201675</t>
  </si>
  <si>
    <t>DINS-CLM-101676</t>
  </si>
  <si>
    <t>DINS-CUS-501676</t>
  </si>
  <si>
    <t>DINS-POL-201676</t>
  </si>
  <si>
    <t>DINS-CLM-101677</t>
  </si>
  <si>
    <t>DINS-CUS-501677</t>
  </si>
  <si>
    <t>DINS-POL-201677</t>
  </si>
  <si>
    <t>DINS-CLM-101678</t>
  </si>
  <si>
    <t>DINS-CUS-501678</t>
  </si>
  <si>
    <t>DINS-POL-201678</t>
  </si>
  <si>
    <t>DINS-CLM-101679</t>
  </si>
  <si>
    <t>DINS-CUS-501679</t>
  </si>
  <si>
    <t>DINS-POL-201679</t>
  </si>
  <si>
    <t>DINS-CLM-101680</t>
  </si>
  <si>
    <t>DINS-CUS-501680</t>
  </si>
  <si>
    <t>DINS-POL-201680</t>
  </si>
  <si>
    <t>DINS-CLM-101681</t>
  </si>
  <si>
    <t>DINS-CUS-501681</t>
  </si>
  <si>
    <t>DINS-POL-201681</t>
  </si>
  <si>
    <t>DINS-CLM-101682</t>
  </si>
  <si>
    <t>DINS-CUS-501682</t>
  </si>
  <si>
    <t>DINS-POL-201682</t>
  </si>
  <si>
    <t>DINS-CLM-101683</t>
  </si>
  <si>
    <t>DINS-CUS-501683</t>
  </si>
  <si>
    <t>DINS-POL-201683</t>
  </si>
  <si>
    <t>DINS-CLM-101684</t>
  </si>
  <si>
    <t>DINS-CUS-501684</t>
  </si>
  <si>
    <t>DINS-POL-201684</t>
  </si>
  <si>
    <t>DINS-CLM-101685</t>
  </si>
  <si>
    <t>DINS-CUS-501685</t>
  </si>
  <si>
    <t>DINS-POL-201685</t>
  </si>
  <si>
    <t>DINS-CLM-101686</t>
  </si>
  <si>
    <t>DINS-CUS-501686</t>
  </si>
  <si>
    <t>DINS-POL-201686</t>
  </si>
  <si>
    <t>DINS-CLM-101687</t>
  </si>
  <si>
    <t>DINS-CUS-501687</t>
  </si>
  <si>
    <t>DINS-POL-201687</t>
  </si>
  <si>
    <t>DINS-CLM-101688</t>
  </si>
  <si>
    <t>DINS-CUS-501688</t>
  </si>
  <si>
    <t>DINS-POL-201688</t>
  </si>
  <si>
    <t>DINS-CLM-101689</t>
  </si>
  <si>
    <t>DINS-CUS-501689</t>
  </si>
  <si>
    <t>DINS-POL-201689</t>
  </si>
  <si>
    <t>DINS-CLM-101690</t>
  </si>
  <si>
    <t>DINS-CUS-501690</t>
  </si>
  <si>
    <t>DINS-POL-201690</t>
  </si>
  <si>
    <t>DINS-CLM-101691</t>
  </si>
  <si>
    <t>DINS-CUS-501691</t>
  </si>
  <si>
    <t>DINS-POL-201691</t>
  </si>
  <si>
    <t>DINS-CLM-101692</t>
  </si>
  <si>
    <t>DINS-CUS-501692</t>
  </si>
  <si>
    <t>DINS-POL-201692</t>
  </si>
  <si>
    <t>DINS-CLM-101693</t>
  </si>
  <si>
    <t>DINS-CUS-501693</t>
  </si>
  <si>
    <t>DINS-POL-201693</t>
  </si>
  <si>
    <t>DINS-CLM-101694</t>
  </si>
  <si>
    <t>DINS-CUS-501694</t>
  </si>
  <si>
    <t>DINS-POL-201694</t>
  </si>
  <si>
    <t>DINS-CLM-101695</t>
  </si>
  <si>
    <t>DINS-CUS-501695</t>
  </si>
  <si>
    <t>DINS-POL-201695</t>
  </si>
  <si>
    <t>DINS-CLM-101696</t>
  </si>
  <si>
    <t>DINS-CUS-501696</t>
  </si>
  <si>
    <t>DINS-POL-201696</t>
  </si>
  <si>
    <t>DINS-CLM-101697</t>
  </si>
  <si>
    <t>DINS-CUS-501697</t>
  </si>
  <si>
    <t>DINS-POL-201697</t>
  </si>
  <si>
    <t>DINS-CLM-101698</t>
  </si>
  <si>
    <t>DINS-CUS-501698</t>
  </si>
  <si>
    <t>DINS-POL-201698</t>
  </si>
  <si>
    <t>DINS-CLM-101699</t>
  </si>
  <si>
    <t>DINS-CUS-501699</t>
  </si>
  <si>
    <t>DINS-POL-201699</t>
  </si>
  <si>
    <t>DINS-CLM-101700</t>
  </si>
  <si>
    <t>DINS-CUS-501700</t>
  </si>
  <si>
    <t>DINS-POL-201700</t>
  </si>
  <si>
    <t>DINS-CLM-101701</t>
  </si>
  <si>
    <t>DINS-CUS-501701</t>
  </si>
  <si>
    <t>DINS-POL-201701</t>
  </si>
  <si>
    <t>DINS-CLM-101702</t>
  </si>
  <si>
    <t>DINS-CUS-501702</t>
  </si>
  <si>
    <t>DINS-POL-201702</t>
  </si>
  <si>
    <t>DINS-CLM-101703</t>
  </si>
  <si>
    <t>DINS-CUS-501703</t>
  </si>
  <si>
    <t>DINS-POL-201703</t>
  </si>
  <si>
    <t>DINS-CLM-101704</t>
  </si>
  <si>
    <t>DINS-CUS-501704</t>
  </si>
  <si>
    <t>DINS-POL-201704</t>
  </si>
  <si>
    <t>DINS-CLM-101705</t>
  </si>
  <si>
    <t>DINS-CUS-501705</t>
  </si>
  <si>
    <t>DINS-POL-201705</t>
  </si>
  <si>
    <t>DINS-CLM-101706</t>
  </si>
  <si>
    <t>DINS-CUS-501706</t>
  </si>
  <si>
    <t>DINS-POL-201706</t>
  </si>
  <si>
    <t>DINS-CLM-101707</t>
  </si>
  <si>
    <t>DINS-CUS-501707</t>
  </si>
  <si>
    <t>DINS-POL-201707</t>
  </si>
  <si>
    <t>DINS-CLM-101708</t>
  </si>
  <si>
    <t>DINS-CUS-501708</t>
  </si>
  <si>
    <t>DINS-POL-201708</t>
  </si>
  <si>
    <t>DINS-CLM-101709</t>
  </si>
  <si>
    <t>DINS-CUS-501709</t>
  </si>
  <si>
    <t>DINS-POL-201709</t>
  </si>
  <si>
    <t>DINS-CLM-101710</t>
  </si>
  <si>
    <t>DINS-CUS-501710</t>
  </si>
  <si>
    <t>DINS-POL-201710</t>
  </si>
  <si>
    <t>DINS-CLM-101711</t>
  </si>
  <si>
    <t>DINS-CUS-501711</t>
  </si>
  <si>
    <t>DINS-POL-201711</t>
  </si>
  <si>
    <t>DINS-CLM-101712</t>
  </si>
  <si>
    <t>DINS-CUS-501712</t>
  </si>
  <si>
    <t>DINS-POL-201712</t>
  </si>
  <si>
    <t>DINS-CLM-101713</t>
  </si>
  <si>
    <t>DINS-CUS-501713</t>
  </si>
  <si>
    <t>DINS-POL-201713</t>
  </si>
  <si>
    <t>DINS-CLM-101714</t>
  </si>
  <si>
    <t>DINS-CUS-501714</t>
  </si>
  <si>
    <t>DINS-POL-201714</t>
  </si>
  <si>
    <t>DINS-CLM-101715</t>
  </si>
  <si>
    <t>DINS-CUS-501715</t>
  </si>
  <si>
    <t>DINS-POL-201715</t>
  </si>
  <si>
    <t>DINS-CLM-101716</t>
  </si>
  <si>
    <t>DINS-CUS-501716</t>
  </si>
  <si>
    <t>DINS-POL-201716</t>
  </si>
  <si>
    <t>DINS-CLM-101717</t>
  </si>
  <si>
    <t>DINS-CUS-501717</t>
  </si>
  <si>
    <t>DINS-POL-201717</t>
  </si>
  <si>
    <t>DINS-CLM-101718</t>
  </si>
  <si>
    <t>DINS-CUS-501718</t>
  </si>
  <si>
    <t>DINS-POL-201718</t>
  </si>
  <si>
    <t>DINS-CLM-101719</t>
  </si>
  <si>
    <t>DINS-CUS-501719</t>
  </si>
  <si>
    <t>DINS-POL-201719</t>
  </si>
  <si>
    <t>DINS-CLM-101720</t>
  </si>
  <si>
    <t>DINS-CUS-501720</t>
  </si>
  <si>
    <t>DINS-POL-201720</t>
  </si>
  <si>
    <t>DINS-CLM-101721</t>
  </si>
  <si>
    <t>DINS-CUS-501721</t>
  </si>
  <si>
    <t>DINS-POL-201721</t>
  </si>
  <si>
    <t>DINS-CLM-101722</t>
  </si>
  <si>
    <t>DINS-CUS-501722</t>
  </si>
  <si>
    <t>DINS-POL-201722</t>
  </si>
  <si>
    <t>DINS-CLM-101723</t>
  </si>
  <si>
    <t>DINS-CUS-501723</t>
  </si>
  <si>
    <t>DINS-POL-201723</t>
  </si>
  <si>
    <t>DINS-CLM-101724</t>
  </si>
  <si>
    <t>DINS-CUS-501724</t>
  </si>
  <si>
    <t>DINS-POL-201724</t>
  </si>
  <si>
    <t>DINS-CLM-101725</t>
  </si>
  <si>
    <t>DINS-CUS-501725</t>
  </si>
  <si>
    <t>DINS-POL-201725</t>
  </si>
  <si>
    <t>DINS-CLM-101726</t>
  </si>
  <si>
    <t>DINS-CUS-501726</t>
  </si>
  <si>
    <t>DINS-POL-201726</t>
  </si>
  <si>
    <t>DINS-CLM-101727</t>
  </si>
  <si>
    <t>DINS-CUS-501727</t>
  </si>
  <si>
    <t>DINS-POL-201727</t>
  </si>
  <si>
    <t>DINS-CLM-101728</t>
  </si>
  <si>
    <t>DINS-CUS-501728</t>
  </si>
  <si>
    <t>DINS-POL-201728</t>
  </si>
  <si>
    <t>DINS-CLM-101729</t>
  </si>
  <si>
    <t>DINS-CUS-501729</t>
  </si>
  <si>
    <t>DINS-POL-201729</t>
  </si>
  <si>
    <t>DINS-CLM-101730</t>
  </si>
  <si>
    <t>DINS-CUS-501730</t>
  </si>
  <si>
    <t>DINS-POL-201730</t>
  </si>
  <si>
    <t>DINS-CLM-101731</t>
  </si>
  <si>
    <t>DINS-CUS-501731</t>
  </si>
  <si>
    <t>DINS-POL-201731</t>
  </si>
  <si>
    <t>DINS-CLM-101732</t>
  </si>
  <si>
    <t>DINS-CUS-501732</t>
  </si>
  <si>
    <t>DINS-POL-201732</t>
  </si>
  <si>
    <t>DINS-CLM-101733</t>
  </si>
  <si>
    <t>DINS-CUS-501733</t>
  </si>
  <si>
    <t>DINS-POL-201733</t>
  </si>
  <si>
    <t>DINS-CLM-101734</t>
  </si>
  <si>
    <t>DINS-CUS-501734</t>
  </si>
  <si>
    <t>DINS-POL-201734</t>
  </si>
  <si>
    <t>DINS-CLM-101735</t>
  </si>
  <si>
    <t>DINS-CUS-501735</t>
  </si>
  <si>
    <t>DINS-POL-201735</t>
  </si>
  <si>
    <t>DINS-CLM-101736</t>
  </si>
  <si>
    <t>DINS-CUS-501736</t>
  </si>
  <si>
    <t>DINS-POL-201736</t>
  </si>
  <si>
    <t>DINS-CLM-101737</t>
  </si>
  <si>
    <t>DINS-CUS-501737</t>
  </si>
  <si>
    <t>DINS-POL-201737</t>
  </si>
  <si>
    <t>DINS-CLM-101738</t>
  </si>
  <si>
    <t>DINS-CUS-501738</t>
  </si>
  <si>
    <t>DINS-POL-201738</t>
  </si>
  <si>
    <t>DINS-CLM-101739</t>
  </si>
  <si>
    <t>DINS-CUS-501739</t>
  </si>
  <si>
    <t>DINS-POL-201739</t>
  </si>
  <si>
    <t>DINS-CLM-101740</t>
  </si>
  <si>
    <t>DINS-CUS-501740</t>
  </si>
  <si>
    <t>DINS-POL-201740</t>
  </si>
  <si>
    <t>DINS-CLM-101741</t>
  </si>
  <si>
    <t>DINS-CUS-501741</t>
  </si>
  <si>
    <t>DINS-POL-201741</t>
  </si>
  <si>
    <t>DINS-CLM-101742</t>
  </si>
  <si>
    <t>DINS-CUS-501742</t>
  </si>
  <si>
    <t>DINS-POL-201742</t>
  </si>
  <si>
    <t>DINS-CLM-101743</t>
  </si>
  <si>
    <t>DINS-CUS-501743</t>
  </si>
  <si>
    <t>DINS-POL-201743</t>
  </si>
  <si>
    <t>DINS-CLM-101744</t>
  </si>
  <si>
    <t>DINS-CUS-501744</t>
  </si>
  <si>
    <t>DINS-POL-201744</t>
  </si>
  <si>
    <t>DINS-CLM-101745</t>
  </si>
  <si>
    <t>DINS-CUS-501745</t>
  </si>
  <si>
    <t>DINS-POL-201745</t>
  </si>
  <si>
    <t>DINS-CLM-101746</t>
  </si>
  <si>
    <t>DINS-CUS-501746</t>
  </si>
  <si>
    <t>DINS-POL-201746</t>
  </si>
  <si>
    <t>DINS-CLM-101747</t>
  </si>
  <si>
    <t>DINS-CUS-501747</t>
  </si>
  <si>
    <t>DINS-POL-201747</t>
  </si>
  <si>
    <t>DINS-CLM-101748</t>
  </si>
  <si>
    <t>DINS-CUS-501748</t>
  </si>
  <si>
    <t>DINS-POL-201748</t>
  </si>
  <si>
    <t>DINS-CLM-101749</t>
  </si>
  <si>
    <t>DINS-CUS-501749</t>
  </si>
  <si>
    <t>DINS-POL-201749</t>
  </si>
  <si>
    <t>DINS-CLM-101750</t>
  </si>
  <si>
    <t>DINS-CUS-501750</t>
  </si>
  <si>
    <t>DINS-POL-201750</t>
  </si>
  <si>
    <t>DINS-CLM-101751</t>
  </si>
  <si>
    <t>DINS-CUS-501751</t>
  </si>
  <si>
    <t>DINS-POL-201751</t>
  </si>
  <si>
    <t>DINS-CLM-101752</t>
  </si>
  <si>
    <t>DINS-CUS-501752</t>
  </si>
  <si>
    <t>DINS-POL-201752</t>
  </si>
  <si>
    <t>DINS-CLM-101753</t>
  </si>
  <si>
    <t>DINS-CUS-501753</t>
  </si>
  <si>
    <t>DINS-POL-201753</t>
  </si>
  <si>
    <t>DINS-CLM-101754</t>
  </si>
  <si>
    <t>DINS-CUS-501754</t>
  </si>
  <si>
    <t>DINS-POL-201754</t>
  </si>
  <si>
    <t>DINS-CLM-101755</t>
  </si>
  <si>
    <t>DINS-CUS-501755</t>
  </si>
  <si>
    <t>DINS-POL-201755</t>
  </si>
  <si>
    <t>DINS-CLM-101756</t>
  </si>
  <si>
    <t>DINS-CUS-501756</t>
  </si>
  <si>
    <t>DINS-POL-201756</t>
  </si>
  <si>
    <t>DINS-CLM-101757</t>
  </si>
  <si>
    <t>DINS-CUS-501757</t>
  </si>
  <si>
    <t>DINS-POL-201757</t>
  </si>
  <si>
    <t>DINS-CLM-101758</t>
  </si>
  <si>
    <t>DINS-CUS-501758</t>
  </si>
  <si>
    <t>DINS-POL-201758</t>
  </si>
  <si>
    <t>DINS-CLM-101759</t>
  </si>
  <si>
    <t>DINS-CUS-501759</t>
  </si>
  <si>
    <t>DINS-POL-201759</t>
  </si>
  <si>
    <t>DINS-CLM-101760</t>
  </si>
  <si>
    <t>DINS-CUS-501760</t>
  </si>
  <si>
    <t>DINS-POL-201760</t>
  </si>
  <si>
    <t>DINS-CLM-101761</t>
  </si>
  <si>
    <t>DINS-CUS-501761</t>
  </si>
  <si>
    <t>DINS-POL-201761</t>
  </si>
  <si>
    <t>DINS-CLM-101762</t>
  </si>
  <si>
    <t>DINS-CUS-501762</t>
  </si>
  <si>
    <t>DINS-POL-201762</t>
  </si>
  <si>
    <t>DINS-CLM-101763</t>
  </si>
  <si>
    <t>DINS-CUS-501763</t>
  </si>
  <si>
    <t>DINS-POL-201763</t>
  </si>
  <si>
    <t>DINS-CLM-101764</t>
  </si>
  <si>
    <t>DINS-CUS-501764</t>
  </si>
  <si>
    <t>DINS-POL-201764</t>
  </si>
  <si>
    <t>DINS-CLM-101765</t>
  </si>
  <si>
    <t>DINS-CUS-501765</t>
  </si>
  <si>
    <t>DINS-POL-201765</t>
  </si>
  <si>
    <t>DINS-CLM-101766</t>
  </si>
  <si>
    <t>DINS-CUS-501766</t>
  </si>
  <si>
    <t>DINS-POL-201766</t>
  </si>
  <si>
    <t>DINS-CLM-101767</t>
  </si>
  <si>
    <t>DINS-CUS-501767</t>
  </si>
  <si>
    <t>DINS-POL-201767</t>
  </si>
  <si>
    <t>DINS-CLM-101768</t>
  </si>
  <si>
    <t>DINS-CUS-501768</t>
  </si>
  <si>
    <t>DINS-POL-201768</t>
  </si>
  <si>
    <t>DINS-CLM-101769</t>
  </si>
  <si>
    <t>DINS-CUS-501769</t>
  </si>
  <si>
    <t>DINS-POL-201769</t>
  </si>
  <si>
    <t>DINS-CLM-101770</t>
  </si>
  <si>
    <t>DINS-CUS-501770</t>
  </si>
  <si>
    <t>DINS-POL-201770</t>
  </si>
  <si>
    <t>DINS-CLM-101771</t>
  </si>
  <si>
    <t>DINS-CUS-501771</t>
  </si>
  <si>
    <t>DINS-POL-201771</t>
  </si>
  <si>
    <t>DINS-CLM-101772</t>
  </si>
  <si>
    <t>DINS-CUS-501772</t>
  </si>
  <si>
    <t>DINS-POL-201772</t>
  </si>
  <si>
    <t>DINS-CLM-101773</t>
  </si>
  <si>
    <t>DINS-CUS-501773</t>
  </si>
  <si>
    <t>DINS-POL-201773</t>
  </si>
  <si>
    <t>DINS-CLM-101774</t>
  </si>
  <si>
    <t>DINS-CUS-501774</t>
  </si>
  <si>
    <t>DINS-POL-201774</t>
  </si>
  <si>
    <t>DINS-CLM-101775</t>
  </si>
  <si>
    <t>DINS-CUS-501775</t>
  </si>
  <si>
    <t>DINS-POL-201775</t>
  </si>
  <si>
    <t>DINS-CLM-101776</t>
  </si>
  <si>
    <t>DINS-CUS-501776</t>
  </si>
  <si>
    <t>DINS-POL-201776</t>
  </si>
  <si>
    <t>DINS-CLM-101777</t>
  </si>
  <si>
    <t>DINS-CUS-501777</t>
  </si>
  <si>
    <t>DINS-POL-201777</t>
  </si>
  <si>
    <t>DINS-CLM-101778</t>
  </si>
  <si>
    <t>DINS-CUS-501778</t>
  </si>
  <si>
    <t>DINS-POL-201778</t>
  </si>
  <si>
    <t>DINS-CLM-101779</t>
  </si>
  <si>
    <t>DINS-CUS-501779</t>
  </si>
  <si>
    <t>DINS-POL-201779</t>
  </si>
  <si>
    <t>DINS-CLM-101780</t>
  </si>
  <si>
    <t>DINS-CUS-501780</t>
  </si>
  <si>
    <t>DINS-POL-201780</t>
  </si>
  <si>
    <t>DINS-CLM-101781</t>
  </si>
  <si>
    <t>DINS-CUS-501781</t>
  </si>
  <si>
    <t>DINS-POL-201781</t>
  </si>
  <si>
    <t>DINS-CLM-101782</t>
  </si>
  <si>
    <t>DINS-CUS-501782</t>
  </si>
  <si>
    <t>DINS-POL-201782</t>
  </si>
  <si>
    <t>DINS-CLM-101783</t>
  </si>
  <si>
    <t>DINS-CUS-501783</t>
  </si>
  <si>
    <t>DINS-POL-201783</t>
  </si>
  <si>
    <t>DINS-CLM-101784</t>
  </si>
  <si>
    <t>DINS-CUS-501784</t>
  </si>
  <si>
    <t>DINS-POL-201784</t>
  </si>
  <si>
    <t>DINS-CLM-101785</t>
  </si>
  <si>
    <t>DINS-CUS-501785</t>
  </si>
  <si>
    <t>DINS-POL-201785</t>
  </si>
  <si>
    <t>DINS-CLM-101786</t>
  </si>
  <si>
    <t>DINS-CUS-501786</t>
  </si>
  <si>
    <t>DINS-POL-201786</t>
  </si>
  <si>
    <t>DINS-CLM-101787</t>
  </si>
  <si>
    <t>DINS-CUS-501787</t>
  </si>
  <si>
    <t>DINS-POL-201787</t>
  </si>
  <si>
    <t>DINS-CLM-101788</t>
  </si>
  <si>
    <t>DINS-CUS-501788</t>
  </si>
  <si>
    <t>DINS-POL-201788</t>
  </si>
  <si>
    <t>DINS-CLM-101789</t>
  </si>
  <si>
    <t>DINS-CUS-501789</t>
  </si>
  <si>
    <t>DINS-POL-201789</t>
  </si>
  <si>
    <t>DINS-CLM-101790</t>
  </si>
  <si>
    <t>DINS-CUS-501790</t>
  </si>
  <si>
    <t>DINS-POL-201790</t>
  </si>
  <si>
    <t>DINS-CLM-101791</t>
  </si>
  <si>
    <t>DINS-CUS-501791</t>
  </si>
  <si>
    <t>DINS-POL-201791</t>
  </si>
  <si>
    <t>DINS-CLM-101792</t>
  </si>
  <si>
    <t>DINS-CUS-501792</t>
  </si>
  <si>
    <t>DINS-POL-201792</t>
  </si>
  <si>
    <t>DINS-CLM-101793</t>
  </si>
  <si>
    <t>DINS-CUS-501793</t>
  </si>
  <si>
    <t>DINS-POL-201793</t>
  </si>
  <si>
    <t>DINS-CLM-101794</t>
  </si>
  <si>
    <t>DINS-CUS-501794</t>
  </si>
  <si>
    <t>DINS-POL-201794</t>
  </si>
  <si>
    <t>DINS-CLM-101795</t>
  </si>
  <si>
    <t>DINS-CUS-501795</t>
  </si>
  <si>
    <t>DINS-POL-201795</t>
  </si>
  <si>
    <t>DINS-CLM-101796</t>
  </si>
  <si>
    <t>DINS-CUS-501796</t>
  </si>
  <si>
    <t>DINS-POL-201796</t>
  </si>
  <si>
    <t>DINS-CLM-101797</t>
  </si>
  <si>
    <t>DINS-CUS-501797</t>
  </si>
  <si>
    <t>DINS-POL-201797</t>
  </si>
  <si>
    <t>DINS-CLM-101798</t>
  </si>
  <si>
    <t>DINS-CUS-501798</t>
  </si>
  <si>
    <t>DINS-POL-201798</t>
  </si>
  <si>
    <t>DINS-CLM-101799</t>
  </si>
  <si>
    <t>DINS-CUS-501799</t>
  </si>
  <si>
    <t>DINS-POL-201799</t>
  </si>
  <si>
    <t>DINS-CLM-101800</t>
  </si>
  <si>
    <t>DINS-CUS-501800</t>
  </si>
  <si>
    <t>DINS-POL-201800</t>
  </si>
  <si>
    <t>DINS-CLM-101801</t>
  </si>
  <si>
    <t>DINS-CUS-501801</t>
  </si>
  <si>
    <t>DINS-POL-201801</t>
  </si>
  <si>
    <t>DINS-CLM-101802</t>
  </si>
  <si>
    <t>DINS-CUS-501802</t>
  </si>
  <si>
    <t>DINS-POL-201802</t>
  </si>
  <si>
    <t>DINS-CLM-101803</t>
  </si>
  <si>
    <t>DINS-CUS-501803</t>
  </si>
  <si>
    <t>DINS-POL-201803</t>
  </si>
  <si>
    <t>DINS-CLM-101804</t>
  </si>
  <si>
    <t>DINS-CUS-501804</t>
  </si>
  <si>
    <t>DINS-POL-201804</t>
  </si>
  <si>
    <t>DINS-CLM-101805</t>
  </si>
  <si>
    <t>DINS-CUS-501805</t>
  </si>
  <si>
    <t>DINS-POL-201805</t>
  </si>
  <si>
    <t>DINS-CLM-101806</t>
  </si>
  <si>
    <t>DINS-CUS-501806</t>
  </si>
  <si>
    <t>DINS-POL-201806</t>
  </si>
  <si>
    <t>DINS-CLM-101807</t>
  </si>
  <si>
    <t>DINS-CUS-501807</t>
  </si>
  <si>
    <t>DINS-POL-201807</t>
  </si>
  <si>
    <t>DINS-CLM-101808</t>
  </si>
  <si>
    <t>DINS-CUS-501808</t>
  </si>
  <si>
    <t>DINS-POL-201808</t>
  </si>
  <si>
    <t>DINS-CLM-101809</t>
  </si>
  <si>
    <t>DINS-CUS-501809</t>
  </si>
  <si>
    <t>DINS-POL-201809</t>
  </si>
  <si>
    <t>DINS-CLM-101810</t>
  </si>
  <si>
    <t>DINS-CUS-501810</t>
  </si>
  <si>
    <t>DINS-POL-201810</t>
  </si>
  <si>
    <t>DINS-CLM-101811</t>
  </si>
  <si>
    <t>DINS-CUS-501811</t>
  </si>
  <si>
    <t>DINS-POL-201811</t>
  </si>
  <si>
    <t>DINS-CLM-101812</t>
  </si>
  <si>
    <t>DINS-CUS-501812</t>
  </si>
  <si>
    <t>DINS-POL-201812</t>
  </si>
  <si>
    <t>DINS-CLM-101813</t>
  </si>
  <si>
    <t>DINS-CUS-501813</t>
  </si>
  <si>
    <t>DINS-POL-201813</t>
  </si>
  <si>
    <t>DINS-CLM-101814</t>
  </si>
  <si>
    <t>DINS-CUS-501814</t>
  </si>
  <si>
    <t>DINS-POL-201814</t>
  </si>
  <si>
    <t>DINS-CLM-101815</t>
  </si>
  <si>
    <t>DINS-CUS-501815</t>
  </si>
  <si>
    <t>DINS-POL-201815</t>
  </si>
  <si>
    <t>DINS-CLM-101816</t>
  </si>
  <si>
    <t>DINS-CUS-501816</t>
  </si>
  <si>
    <t>DINS-POL-201816</t>
  </si>
  <si>
    <t>DINS-CLM-101817</t>
  </si>
  <si>
    <t>DINS-CUS-501817</t>
  </si>
  <si>
    <t>DINS-POL-201817</t>
  </si>
  <si>
    <t>DINS-CLM-101818</t>
  </si>
  <si>
    <t>DINS-CUS-501818</t>
  </si>
  <si>
    <t>DINS-POL-201818</t>
  </si>
  <si>
    <t>DINS-CLM-101819</t>
  </si>
  <si>
    <t>DINS-CUS-501819</t>
  </si>
  <si>
    <t>DINS-POL-201819</t>
  </si>
  <si>
    <t>DINS-CLM-101820</t>
  </si>
  <si>
    <t>DINS-CUS-501820</t>
  </si>
  <si>
    <t>DINS-POL-201820</t>
  </si>
  <si>
    <t>DINS-CLM-101821</t>
  </si>
  <si>
    <t>DINS-CUS-501821</t>
  </si>
  <si>
    <t>DINS-POL-201821</t>
  </si>
  <si>
    <t>DINS-CLM-101822</t>
  </si>
  <si>
    <t>DINS-CUS-501822</t>
  </si>
  <si>
    <t>DINS-POL-201822</t>
  </si>
  <si>
    <t>DINS-CLM-101823</t>
  </si>
  <si>
    <t>DINS-CUS-501823</t>
  </si>
  <si>
    <t>DINS-POL-201823</t>
  </si>
  <si>
    <t>DINS-CLM-101824</t>
  </si>
  <si>
    <t>DINS-CUS-501824</t>
  </si>
  <si>
    <t>DINS-POL-201824</t>
  </si>
  <si>
    <t>DINS-CLM-101825</t>
  </si>
  <si>
    <t>DINS-CUS-501825</t>
  </si>
  <si>
    <t>DINS-POL-201825</t>
  </si>
  <si>
    <t>DINS-CLM-101826</t>
  </si>
  <si>
    <t>DINS-CUS-501826</t>
  </si>
  <si>
    <t>DINS-POL-201826</t>
  </si>
  <si>
    <t>DINS-CLM-101827</t>
  </si>
  <si>
    <t>DINS-CUS-501827</t>
  </si>
  <si>
    <t>DINS-POL-201827</t>
  </si>
  <si>
    <t>DINS-CLM-101828</t>
  </si>
  <si>
    <t>DINS-CUS-501828</t>
  </si>
  <si>
    <t>DINS-POL-201828</t>
  </si>
  <si>
    <t>DINS-CLM-101829</t>
  </si>
  <si>
    <t>DINS-CUS-501829</t>
  </si>
  <si>
    <t>DINS-POL-201829</t>
  </si>
  <si>
    <t>DINS-CLM-101830</t>
  </si>
  <si>
    <t>DINS-CUS-501830</t>
  </si>
  <si>
    <t>DINS-POL-201830</t>
  </si>
  <si>
    <t>DINS-CLM-101831</t>
  </si>
  <si>
    <t>DINS-CUS-501831</t>
  </si>
  <si>
    <t>DINS-POL-201831</t>
  </si>
  <si>
    <t>DINS-CLM-101832</t>
  </si>
  <si>
    <t>DINS-CUS-501832</t>
  </si>
  <si>
    <t>DINS-POL-201832</t>
  </si>
  <si>
    <t>DINS-CLM-101833</t>
  </si>
  <si>
    <t>DINS-CUS-501833</t>
  </si>
  <si>
    <t>DINS-POL-201833</t>
  </si>
  <si>
    <t>DINS-CLM-101834</t>
  </si>
  <si>
    <t>DINS-CUS-501834</t>
  </si>
  <si>
    <t>DINS-POL-201834</t>
  </si>
  <si>
    <t>DINS-CLM-101835</t>
  </si>
  <si>
    <t>DINS-CUS-501835</t>
  </si>
  <si>
    <t>DINS-POL-201835</t>
  </si>
  <si>
    <t>DINS-CLM-101836</t>
  </si>
  <si>
    <t>DINS-CUS-501836</t>
  </si>
  <si>
    <t>DINS-POL-201836</t>
  </si>
  <si>
    <t>DINS-CLM-101837</t>
  </si>
  <si>
    <t>DINS-CUS-501837</t>
  </si>
  <si>
    <t>DINS-POL-201837</t>
  </si>
  <si>
    <t>DINS-CLM-101838</t>
  </si>
  <si>
    <t>DINS-CUS-501838</t>
  </si>
  <si>
    <t>DINS-POL-201838</t>
  </si>
  <si>
    <t>DINS-CLM-101839</t>
  </si>
  <si>
    <t>DINS-CUS-501839</t>
  </si>
  <si>
    <t>DINS-POL-201839</t>
  </si>
  <si>
    <t>DINS-CLM-101840</t>
  </si>
  <si>
    <t>DINS-CUS-501840</t>
  </si>
  <si>
    <t>DINS-POL-201840</t>
  </si>
  <si>
    <t>DINS-CLM-101841</t>
  </si>
  <si>
    <t>DINS-CUS-501841</t>
  </si>
  <si>
    <t>DINS-POL-201841</t>
  </si>
  <si>
    <t>DINS-CLM-101842</t>
  </si>
  <si>
    <t>DINS-CUS-501842</t>
  </si>
  <si>
    <t>DINS-POL-201842</t>
  </si>
  <si>
    <t>DINS-CLM-101843</t>
  </si>
  <si>
    <t>DINS-CUS-501843</t>
  </si>
  <si>
    <t>DINS-POL-201843</t>
  </si>
  <si>
    <t>DINS-CLM-101844</t>
  </si>
  <si>
    <t>DINS-CUS-501844</t>
  </si>
  <si>
    <t>DINS-POL-201844</t>
  </si>
  <si>
    <t>DINS-CLM-101845</t>
  </si>
  <si>
    <t>DINS-CUS-501845</t>
  </si>
  <si>
    <t>DINS-POL-201845</t>
  </si>
  <si>
    <t>DINS-CLM-101846</t>
  </si>
  <si>
    <t>DINS-CUS-501846</t>
  </si>
  <si>
    <t>DINS-POL-201846</t>
  </si>
  <si>
    <t>DINS-CLM-101847</t>
  </si>
  <si>
    <t>DINS-CUS-501847</t>
  </si>
  <si>
    <t>DINS-POL-201847</t>
  </si>
  <si>
    <t>DINS-CLM-101848</t>
  </si>
  <si>
    <t>DINS-CUS-501848</t>
  </si>
  <si>
    <t>DINS-POL-201848</t>
  </si>
  <si>
    <t>DINS-CLM-101849</t>
  </si>
  <si>
    <t>DINS-CUS-501849</t>
  </si>
  <si>
    <t>DINS-POL-201849</t>
  </si>
  <si>
    <t>DINS-CLM-101850</t>
  </si>
  <si>
    <t>DINS-CUS-501850</t>
  </si>
  <si>
    <t>DINS-POL-201850</t>
  </si>
  <si>
    <t>DINS-CLM-101851</t>
  </si>
  <si>
    <t>DINS-CUS-501851</t>
  </si>
  <si>
    <t>DINS-POL-201851</t>
  </si>
  <si>
    <t>DINS-CLM-101852</t>
  </si>
  <si>
    <t>DINS-CUS-501852</t>
  </si>
  <si>
    <t>DINS-POL-201852</t>
  </si>
  <si>
    <t>DINS-CLM-101853</t>
  </si>
  <si>
    <t>DINS-CUS-501853</t>
  </si>
  <si>
    <t>DINS-POL-201853</t>
  </si>
  <si>
    <t>DINS-CLM-101854</t>
  </si>
  <si>
    <t>DINS-CUS-501854</t>
  </si>
  <si>
    <t>DINS-POL-201854</t>
  </si>
  <si>
    <t>DINS-CLM-101855</t>
  </si>
  <si>
    <t>DINS-CUS-501855</t>
  </si>
  <si>
    <t>DINS-POL-201855</t>
  </si>
  <si>
    <t>DINS-CLM-101856</t>
  </si>
  <si>
    <t>DINS-CUS-501856</t>
  </si>
  <si>
    <t>DINS-POL-201856</t>
  </si>
  <si>
    <t>DINS-CLM-101857</t>
  </si>
  <si>
    <t>DINS-CUS-501857</t>
  </si>
  <si>
    <t>DINS-POL-201857</t>
  </si>
  <si>
    <t>DINS-CLM-101858</t>
  </si>
  <si>
    <t>DINS-CUS-501858</t>
  </si>
  <si>
    <t>DINS-POL-201858</t>
  </si>
  <si>
    <t>DINS-CLM-101859</t>
  </si>
  <si>
    <t>DINS-CUS-501859</t>
  </si>
  <si>
    <t>DINS-POL-201859</t>
  </si>
  <si>
    <t>DINS-CLM-101860</t>
  </si>
  <si>
    <t>DINS-CUS-501860</t>
  </si>
  <si>
    <t>DINS-POL-201860</t>
  </si>
  <si>
    <t>DINS-CLM-101861</t>
  </si>
  <si>
    <t>DINS-CUS-501861</t>
  </si>
  <si>
    <t>DINS-POL-201861</t>
  </si>
  <si>
    <t>DINS-CLM-101862</t>
  </si>
  <si>
    <t>DINS-CUS-501862</t>
  </si>
  <si>
    <t>DINS-POL-201862</t>
  </si>
  <si>
    <t>DINS-CLM-101863</t>
  </si>
  <si>
    <t>DINS-CUS-501863</t>
  </si>
  <si>
    <t>DINS-POL-201863</t>
  </si>
  <si>
    <t>DINS-CLM-101864</t>
  </si>
  <si>
    <t>DINS-CUS-501864</t>
  </si>
  <si>
    <t>DINS-POL-201864</t>
  </si>
  <si>
    <t>DINS-CLM-101865</t>
  </si>
  <si>
    <t>DINS-CUS-501865</t>
  </si>
  <si>
    <t>DINS-POL-201865</t>
  </si>
  <si>
    <t>DINS-CLM-101866</t>
  </si>
  <si>
    <t>DINS-CUS-501866</t>
  </si>
  <si>
    <t>DINS-POL-201866</t>
  </si>
  <si>
    <t>DINS-CLM-101867</t>
  </si>
  <si>
    <t>DINS-CUS-501867</t>
  </si>
  <si>
    <t>DINS-POL-201867</t>
  </si>
  <si>
    <t>DINS-CLM-101868</t>
  </si>
  <si>
    <t>DINS-CUS-501868</t>
  </si>
  <si>
    <t>DINS-POL-201868</t>
  </si>
  <si>
    <t>DINS-CLM-101869</t>
  </si>
  <si>
    <t>DINS-CUS-501869</t>
  </si>
  <si>
    <t>DINS-POL-201869</t>
  </si>
  <si>
    <t>DINS-CLM-101870</t>
  </si>
  <si>
    <t>DINS-CUS-501870</t>
  </si>
  <si>
    <t>DINS-POL-201870</t>
  </si>
  <si>
    <t>DINS-CLM-101871</t>
  </si>
  <si>
    <t>DINS-CUS-501871</t>
  </si>
  <si>
    <t>DINS-POL-201871</t>
  </si>
  <si>
    <t>DINS-CLM-101872</t>
  </si>
  <si>
    <t>DINS-CUS-501872</t>
  </si>
  <si>
    <t>DINS-POL-201872</t>
  </si>
  <si>
    <t>DINS-CLM-101873</t>
  </si>
  <si>
    <t>DINS-CUS-501873</t>
  </si>
  <si>
    <t>DINS-POL-201873</t>
  </si>
  <si>
    <t>DINS-CLM-101874</t>
  </si>
  <si>
    <t>DINS-CUS-501874</t>
  </si>
  <si>
    <t>DINS-POL-201874</t>
  </si>
  <si>
    <t>DINS-CLM-101875</t>
  </si>
  <si>
    <t>DINS-CUS-501875</t>
  </si>
  <si>
    <t>DINS-POL-201875</t>
  </si>
  <si>
    <t>DINS-CLM-101876</t>
  </si>
  <si>
    <t>DINS-CUS-501876</t>
  </si>
  <si>
    <t>DINS-POL-201876</t>
  </si>
  <si>
    <t>DINS-CLM-101877</t>
  </si>
  <si>
    <t>DINS-CUS-501877</t>
  </si>
  <si>
    <t>DINS-POL-201877</t>
  </si>
  <si>
    <t>DINS-CLM-101878</t>
  </si>
  <si>
    <t>DINS-CUS-501878</t>
  </si>
  <si>
    <t>DINS-POL-201878</t>
  </si>
  <si>
    <t>DINS-CLM-101879</t>
  </si>
  <si>
    <t>DINS-CUS-501879</t>
  </si>
  <si>
    <t>DINS-POL-201879</t>
  </si>
  <si>
    <t>DINS-CLM-101880</t>
  </si>
  <si>
    <t>DINS-CUS-501880</t>
  </si>
  <si>
    <t>DINS-POL-201880</t>
  </si>
  <si>
    <t>DINS-CLM-101881</t>
  </si>
  <si>
    <t>DINS-CUS-501881</t>
  </si>
  <si>
    <t>DINS-POL-201881</t>
  </si>
  <si>
    <t>DINS-CLM-101882</t>
  </si>
  <si>
    <t>DINS-CUS-501882</t>
  </si>
  <si>
    <t>DINS-POL-201882</t>
  </si>
  <si>
    <t>DINS-CLM-101883</t>
  </si>
  <si>
    <t>DINS-CUS-501883</t>
  </si>
  <si>
    <t>DINS-POL-201883</t>
  </si>
  <si>
    <t>DINS-CLM-101884</t>
  </si>
  <si>
    <t>DINS-CUS-501884</t>
  </si>
  <si>
    <t>DINS-POL-201884</t>
  </si>
  <si>
    <t>DINS-CLM-101885</t>
  </si>
  <si>
    <t>DINS-CUS-501885</t>
  </si>
  <si>
    <t>DINS-POL-201885</t>
  </si>
  <si>
    <t>DINS-CLM-101886</t>
  </si>
  <si>
    <t>DINS-CUS-501886</t>
  </si>
  <si>
    <t>DINS-POL-201886</t>
  </si>
  <si>
    <t>DINS-CLM-101887</t>
  </si>
  <si>
    <t>DINS-CUS-501887</t>
  </si>
  <si>
    <t>DINS-POL-201887</t>
  </si>
  <si>
    <t>DINS-CLM-101888</t>
  </si>
  <si>
    <t>DINS-CUS-501888</t>
  </si>
  <si>
    <t>DINS-POL-201888</t>
  </si>
  <si>
    <t>DINS-CLM-101889</t>
  </si>
  <si>
    <t>DINS-CUS-501889</t>
  </si>
  <si>
    <t>DINS-POL-201889</t>
  </si>
  <si>
    <t>DINS-CLM-101890</t>
  </si>
  <si>
    <t>DINS-CUS-501890</t>
  </si>
  <si>
    <t>DINS-POL-201890</t>
  </si>
  <si>
    <t>DINS-CLM-101891</t>
  </si>
  <si>
    <t>DINS-CUS-501891</t>
  </si>
  <si>
    <t>DINS-POL-201891</t>
  </si>
  <si>
    <t>DINS-CLM-101892</t>
  </si>
  <si>
    <t>DINS-CUS-501892</t>
  </si>
  <si>
    <t>DINS-POL-201892</t>
  </si>
  <si>
    <t>DINS-CLM-101893</t>
  </si>
  <si>
    <t>DINS-CUS-501893</t>
  </si>
  <si>
    <t>DINS-POL-201893</t>
  </si>
  <si>
    <t>DINS-CLM-101894</t>
  </si>
  <si>
    <t>DINS-CUS-501894</t>
  </si>
  <si>
    <t>DINS-POL-201894</t>
  </si>
  <si>
    <t>DINS-CLM-101895</t>
  </si>
  <si>
    <t>DINS-CUS-501895</t>
  </si>
  <si>
    <t>DINS-POL-201895</t>
  </si>
  <si>
    <t>DINS-CLM-101896</t>
  </si>
  <si>
    <t>DINS-CUS-501896</t>
  </si>
  <si>
    <t>DINS-POL-201896</t>
  </si>
  <si>
    <t>DINS-CLM-101897</t>
  </si>
  <si>
    <t>DINS-CUS-501897</t>
  </si>
  <si>
    <t>DINS-POL-201897</t>
  </si>
  <si>
    <t>DINS-CLM-101898</t>
  </si>
  <si>
    <t>DINS-CUS-501898</t>
  </si>
  <si>
    <t>DINS-POL-201898</t>
  </si>
  <si>
    <t>DINS-CLM-101899</t>
  </si>
  <si>
    <t>DINS-CUS-501899</t>
  </si>
  <si>
    <t>DINS-POL-201899</t>
  </si>
  <si>
    <t>DINS-CLM-101900</t>
  </si>
  <si>
    <t>DINS-CUS-501900</t>
  </si>
  <si>
    <t>DINS-POL-201900</t>
  </si>
  <si>
    <t>DINS-CLM-101901</t>
  </si>
  <si>
    <t>DINS-CUS-501901</t>
  </si>
  <si>
    <t>DINS-POL-201901</t>
  </si>
  <si>
    <t>DINS-CLM-101902</t>
  </si>
  <si>
    <t>DINS-CUS-501902</t>
  </si>
  <si>
    <t>DINS-POL-201902</t>
  </si>
  <si>
    <t>DINS-CLM-101903</t>
  </si>
  <si>
    <t>DINS-CUS-501903</t>
  </si>
  <si>
    <t>DINS-POL-201903</t>
  </si>
  <si>
    <t>DINS-CLM-101904</t>
  </si>
  <si>
    <t>DINS-CUS-501904</t>
  </si>
  <si>
    <t>DINS-POL-201904</t>
  </si>
  <si>
    <t>DINS-CLM-101905</t>
  </si>
  <si>
    <t>DINS-CUS-501905</t>
  </si>
  <si>
    <t>DINS-POL-201905</t>
  </si>
  <si>
    <t>DINS-CLM-101906</t>
  </si>
  <si>
    <t>DINS-CUS-501906</t>
  </si>
  <si>
    <t>DINS-POL-201906</t>
  </si>
  <si>
    <t>DINS-CLM-101907</t>
  </si>
  <si>
    <t>DINS-CUS-501907</t>
  </si>
  <si>
    <t>DINS-POL-201907</t>
  </si>
  <si>
    <t>DINS-CLM-101908</t>
  </si>
  <si>
    <t>DINS-CUS-501908</t>
  </si>
  <si>
    <t>DINS-POL-201908</t>
  </si>
  <si>
    <t>DINS-CLM-101909</t>
  </si>
  <si>
    <t>DINS-CUS-501909</t>
  </si>
  <si>
    <t>DINS-POL-201909</t>
  </si>
  <si>
    <t>DINS-CLM-101910</t>
  </si>
  <si>
    <t>DINS-CUS-501910</t>
  </si>
  <si>
    <t>DINS-POL-201910</t>
  </si>
  <si>
    <t>DINS-CLM-101911</t>
  </si>
  <si>
    <t>DINS-CUS-501911</t>
  </si>
  <si>
    <t>DINS-POL-201911</t>
  </si>
  <si>
    <t>DINS-CLM-101912</t>
  </si>
  <si>
    <t>DINS-CUS-501912</t>
  </si>
  <si>
    <t>DINS-POL-201912</t>
  </si>
  <si>
    <t>DINS-CLM-101913</t>
  </si>
  <si>
    <t>DINS-CUS-501913</t>
  </si>
  <si>
    <t>DINS-POL-201913</t>
  </si>
  <si>
    <t>DINS-CLM-101914</t>
  </si>
  <si>
    <t>DINS-CUS-501914</t>
  </si>
  <si>
    <t>DINS-POL-201914</t>
  </si>
  <si>
    <t>DINS-CLM-101915</t>
  </si>
  <si>
    <t>DINS-CUS-501915</t>
  </si>
  <si>
    <t>DINS-POL-201915</t>
  </si>
  <si>
    <t>DINS-CLM-101916</t>
  </si>
  <si>
    <t>DINS-CUS-501916</t>
  </si>
  <si>
    <t>DINS-POL-201916</t>
  </si>
  <si>
    <t>DINS-CLM-101917</t>
  </si>
  <si>
    <t>DINS-CUS-501917</t>
  </si>
  <si>
    <t>DINS-POL-201917</t>
  </si>
  <si>
    <t>DINS-CLM-101918</t>
  </si>
  <si>
    <t>DINS-CUS-501918</t>
  </si>
  <si>
    <t>DINS-POL-201918</t>
  </si>
  <si>
    <t>DINS-CLM-101919</t>
  </si>
  <si>
    <t>DINS-CUS-501919</t>
  </si>
  <si>
    <t>DINS-POL-201919</t>
  </si>
  <si>
    <t>DINS-CLM-101920</t>
  </si>
  <si>
    <t>DINS-CUS-501920</t>
  </si>
  <si>
    <t>DINS-POL-201920</t>
  </si>
  <si>
    <t>DINS-CLM-101921</t>
  </si>
  <si>
    <t>DINS-CUS-501921</t>
  </si>
  <si>
    <t>DINS-POL-201921</t>
  </si>
  <si>
    <t>DINS-CLM-101922</t>
  </si>
  <si>
    <t>DINS-CUS-501922</t>
  </si>
  <si>
    <t>DINS-POL-201922</t>
  </si>
  <si>
    <t>DINS-CLM-101923</t>
  </si>
  <si>
    <t>DINS-CUS-501923</t>
  </si>
  <si>
    <t>DINS-POL-201923</t>
  </si>
  <si>
    <t>DINS-CLM-101924</t>
  </si>
  <si>
    <t>DINS-CUS-501924</t>
  </si>
  <si>
    <t>DINS-POL-201924</t>
  </si>
  <si>
    <t>DINS-CLM-101925</t>
  </si>
  <si>
    <t>DINS-CUS-501925</t>
  </si>
  <si>
    <t>DINS-POL-201925</t>
  </si>
  <si>
    <t>DINS-CLM-101926</t>
  </si>
  <si>
    <t>DINS-CUS-501926</t>
  </si>
  <si>
    <t>DINS-POL-201926</t>
  </si>
  <si>
    <t>DINS-CLM-101927</t>
  </si>
  <si>
    <t>DINS-CUS-501927</t>
  </si>
  <si>
    <t>DINS-POL-201927</t>
  </si>
  <si>
    <t>DINS-CLM-101928</t>
  </si>
  <si>
    <t>DINS-CUS-501928</t>
  </si>
  <si>
    <t>DINS-POL-201928</t>
  </si>
  <si>
    <t>DINS-CLM-101929</t>
  </si>
  <si>
    <t>DINS-CUS-501929</t>
  </si>
  <si>
    <t>DINS-POL-201929</t>
  </si>
  <si>
    <t>DINS-CLM-101930</t>
  </si>
  <si>
    <t>DINS-CUS-501930</t>
  </si>
  <si>
    <t>DINS-POL-201930</t>
  </si>
  <si>
    <t>DINS-CLM-101931</t>
  </si>
  <si>
    <t>DINS-CUS-501931</t>
  </si>
  <si>
    <t>DINS-POL-201931</t>
  </si>
  <si>
    <t>DINS-CLM-101932</t>
  </si>
  <si>
    <t>DINS-CUS-501932</t>
  </si>
  <si>
    <t>DINS-POL-201932</t>
  </si>
  <si>
    <t>DINS-CLM-101933</t>
  </si>
  <si>
    <t>DINS-CUS-501933</t>
  </si>
  <si>
    <t>DINS-POL-201933</t>
  </si>
  <si>
    <t>DINS-CLM-101934</t>
  </si>
  <si>
    <t>DINS-CUS-501934</t>
  </si>
  <si>
    <t>DINS-POL-201934</t>
  </si>
  <si>
    <t>DINS-CLM-101935</t>
  </si>
  <si>
    <t>DINS-CUS-501935</t>
  </si>
  <si>
    <t>DINS-POL-201935</t>
  </si>
  <si>
    <t>DINS-CLM-101936</t>
  </si>
  <si>
    <t>DINS-CUS-501936</t>
  </si>
  <si>
    <t>DINS-POL-201936</t>
  </si>
  <si>
    <t>DINS-CLM-101937</t>
  </si>
  <si>
    <t>DINS-CUS-501937</t>
  </si>
  <si>
    <t>DINS-POL-201937</t>
  </si>
  <si>
    <t>DINS-CLM-101938</t>
  </si>
  <si>
    <t>DINS-CUS-501938</t>
  </si>
  <si>
    <t>DINS-POL-201938</t>
  </si>
  <si>
    <t>DINS-CLM-101939</t>
  </si>
  <si>
    <t>DINS-CUS-501939</t>
  </si>
  <si>
    <t>DINS-POL-201939</t>
  </si>
  <si>
    <t>DINS-CLM-101940</t>
  </si>
  <si>
    <t>DINS-CUS-501940</t>
  </si>
  <si>
    <t>DINS-POL-201940</t>
  </si>
  <si>
    <t>DINS-CLM-101941</t>
  </si>
  <si>
    <t>DINS-CUS-501941</t>
  </si>
  <si>
    <t>DINS-POL-201941</t>
  </si>
  <si>
    <t>DINS-CLM-101942</t>
  </si>
  <si>
    <t>DINS-CUS-501942</t>
  </si>
  <si>
    <t>DINS-POL-201942</t>
  </si>
  <si>
    <t>DINS-CLM-101943</t>
  </si>
  <si>
    <t>DINS-CUS-501943</t>
  </si>
  <si>
    <t>DINS-POL-201943</t>
  </si>
  <si>
    <t>DINS-CLM-101944</t>
  </si>
  <si>
    <t>DINS-CUS-501944</t>
  </si>
  <si>
    <t>DINS-POL-201944</t>
  </si>
  <si>
    <t>DINS-CLM-101945</t>
  </si>
  <si>
    <t>DINS-CUS-501945</t>
  </si>
  <si>
    <t>DINS-POL-201945</t>
  </si>
  <si>
    <t>DINS-CLM-101946</t>
  </si>
  <si>
    <t>DINS-CUS-501946</t>
  </si>
  <si>
    <t>DINS-POL-201946</t>
  </si>
  <si>
    <t>DINS-CLM-101947</t>
  </si>
  <si>
    <t>DINS-CUS-501947</t>
  </si>
  <si>
    <t>DINS-POL-201947</t>
  </si>
  <si>
    <t>DINS-CLM-101948</t>
  </si>
  <si>
    <t>DINS-CUS-501948</t>
  </si>
  <si>
    <t>DINS-POL-201948</t>
  </si>
  <si>
    <t>DINS-CLM-101949</t>
  </si>
  <si>
    <t>DINS-CUS-501949</t>
  </si>
  <si>
    <t>DINS-POL-201949</t>
  </si>
  <si>
    <t>DINS-CLM-101950</t>
  </si>
  <si>
    <t>DINS-CUS-501950</t>
  </si>
  <si>
    <t>DINS-POL-201950</t>
  </si>
  <si>
    <t>DINS-CLM-101951</t>
  </si>
  <si>
    <t>DINS-CUS-501951</t>
  </si>
  <si>
    <t>DINS-POL-201951</t>
  </si>
  <si>
    <t>DINS-CLM-101952</t>
  </si>
  <si>
    <t>DINS-CUS-501952</t>
  </si>
  <si>
    <t>DINS-POL-201952</t>
  </si>
  <si>
    <t>DINS-CLM-101953</t>
  </si>
  <si>
    <t>DINS-CUS-501953</t>
  </si>
  <si>
    <t>DINS-POL-201953</t>
  </si>
  <si>
    <t>DINS-CLM-101954</t>
  </si>
  <si>
    <t>DINS-CUS-501954</t>
  </si>
  <si>
    <t>DINS-POL-201954</t>
  </si>
  <si>
    <t>DINS-CLM-101955</t>
  </si>
  <si>
    <t>DINS-CUS-501955</t>
  </si>
  <si>
    <t>DINS-POL-201955</t>
  </si>
  <si>
    <t>DINS-CLM-101956</t>
  </si>
  <si>
    <t>DINS-CUS-501956</t>
  </si>
  <si>
    <t>DINS-POL-201956</t>
  </si>
  <si>
    <t>DINS-CLM-101957</t>
  </si>
  <si>
    <t>DINS-CUS-501957</t>
  </si>
  <si>
    <t>DINS-POL-201957</t>
  </si>
  <si>
    <t>DINS-CLM-101958</t>
  </si>
  <si>
    <t>DINS-CUS-501958</t>
  </si>
  <si>
    <t>DINS-POL-201958</t>
  </si>
  <si>
    <t>DINS-CLM-101959</t>
  </si>
  <si>
    <t>DINS-CUS-501959</t>
  </si>
  <si>
    <t>DINS-POL-201959</t>
  </si>
  <si>
    <t>DINS-CLM-101960</t>
  </si>
  <si>
    <t>DINS-CUS-501960</t>
  </si>
  <si>
    <t>DINS-POL-201960</t>
  </si>
  <si>
    <t>DINS-CLM-101961</t>
  </si>
  <si>
    <t>DINS-CUS-501961</t>
  </si>
  <si>
    <t>DINS-POL-201961</t>
  </si>
  <si>
    <t>DINS-CLM-101962</t>
  </si>
  <si>
    <t>DINS-CUS-501962</t>
  </si>
  <si>
    <t>DINS-POL-201962</t>
  </si>
  <si>
    <t>DINS-CLM-101963</t>
  </si>
  <si>
    <t>DINS-CUS-501963</t>
  </si>
  <si>
    <t>DINS-POL-201963</t>
  </si>
  <si>
    <t>DINS-CLM-101964</t>
  </si>
  <si>
    <t>DINS-CUS-501964</t>
  </si>
  <si>
    <t>DINS-POL-201964</t>
  </si>
  <si>
    <t>DINS-CLM-101965</t>
  </si>
  <si>
    <t>DINS-CUS-501965</t>
  </si>
  <si>
    <t>DINS-POL-201965</t>
  </si>
  <si>
    <t>DINS-CLM-101966</t>
  </si>
  <si>
    <t>DINS-CUS-501966</t>
  </si>
  <si>
    <t>DINS-POL-201966</t>
  </si>
  <si>
    <t>DINS-CLM-101967</t>
  </si>
  <si>
    <t>DINS-CUS-501967</t>
  </si>
  <si>
    <t>DINS-POL-201967</t>
  </si>
  <si>
    <t>DINS-CLM-101968</t>
  </si>
  <si>
    <t>DINS-CUS-501968</t>
  </si>
  <si>
    <t>DINS-POL-201968</t>
  </si>
  <si>
    <t>DINS-CLM-101969</t>
  </si>
  <si>
    <t>DINS-CUS-501969</t>
  </si>
  <si>
    <t>DINS-POL-201969</t>
  </si>
  <si>
    <t>DINS-CLM-101970</t>
  </si>
  <si>
    <t>DINS-CUS-501970</t>
  </si>
  <si>
    <t>DINS-POL-201970</t>
  </si>
  <si>
    <t>DINS-CLM-101971</t>
  </si>
  <si>
    <t>DINS-CUS-501971</t>
  </si>
  <si>
    <t>DINS-POL-201971</t>
  </si>
  <si>
    <t>DINS-CLM-101972</t>
  </si>
  <si>
    <t>DINS-CUS-501972</t>
  </si>
  <si>
    <t>DINS-POL-201972</t>
  </si>
  <si>
    <t>DINS-CLM-101973</t>
  </si>
  <si>
    <t>DINS-CUS-501973</t>
  </si>
  <si>
    <t>DINS-POL-201973</t>
  </si>
  <si>
    <t>DINS-CLM-101974</t>
  </si>
  <si>
    <t>DINS-CUS-501974</t>
  </si>
  <si>
    <t>DINS-POL-201974</t>
  </si>
  <si>
    <t>DINS-CLM-101975</t>
  </si>
  <si>
    <t>DINS-CUS-501975</t>
  </si>
  <si>
    <t>DINS-POL-201975</t>
  </si>
  <si>
    <t>DINS-CLM-101976</t>
  </si>
  <si>
    <t>DINS-CUS-501976</t>
  </si>
  <si>
    <t>DINS-POL-201976</t>
  </si>
  <si>
    <t>DINS-CLM-101977</t>
  </si>
  <si>
    <t>DINS-CUS-501977</t>
  </si>
  <si>
    <t>DINS-POL-201977</t>
  </si>
  <si>
    <t>DINS-CLM-101978</t>
  </si>
  <si>
    <t>DINS-CUS-501978</t>
  </si>
  <si>
    <t>DINS-POL-201978</t>
  </si>
  <si>
    <t>DINS-CLM-101979</t>
  </si>
  <si>
    <t>DINS-CUS-501979</t>
  </si>
  <si>
    <t>DINS-POL-201979</t>
  </si>
  <si>
    <t>DINS-CLM-101980</t>
  </si>
  <si>
    <t>DINS-CUS-501980</t>
  </si>
  <si>
    <t>DINS-POL-201980</t>
  </si>
  <si>
    <t>DINS-CLM-101981</t>
  </si>
  <si>
    <t>DINS-CUS-501981</t>
  </si>
  <si>
    <t>DINS-POL-201981</t>
  </si>
  <si>
    <t>DINS-CLM-101982</t>
  </si>
  <si>
    <t>DINS-CUS-501982</t>
  </si>
  <si>
    <t>DINS-POL-201982</t>
  </si>
  <si>
    <t>DINS-CLM-101983</t>
  </si>
  <si>
    <t>DINS-CUS-501983</t>
  </si>
  <si>
    <t>DINS-POL-201983</t>
  </si>
  <si>
    <t>DINS-CLM-101984</t>
  </si>
  <si>
    <t>DINS-CUS-501984</t>
  </si>
  <si>
    <t>DINS-POL-201984</t>
  </si>
  <si>
    <t>DINS-CLM-101985</t>
  </si>
  <si>
    <t>DINS-CUS-501985</t>
  </si>
  <si>
    <t>DINS-POL-201985</t>
  </si>
  <si>
    <t>DINS-CLM-101986</t>
  </si>
  <si>
    <t>DINS-CUS-501986</t>
  </si>
  <si>
    <t>DINS-POL-201986</t>
  </si>
  <si>
    <t>DINS-CLM-101987</t>
  </si>
  <si>
    <t>DINS-CUS-501987</t>
  </si>
  <si>
    <t>DINS-POL-201987</t>
  </si>
  <si>
    <t>DINS-CLM-101988</t>
  </si>
  <si>
    <t>DINS-CUS-501988</t>
  </si>
  <si>
    <t>DINS-POL-201988</t>
  </si>
  <si>
    <t>DINS-CLM-101989</t>
  </si>
  <si>
    <t>DINS-CUS-501989</t>
  </si>
  <si>
    <t>DINS-POL-201989</t>
  </si>
  <si>
    <t>DINS-CLM-101990</t>
  </si>
  <si>
    <t>DINS-CUS-501990</t>
  </si>
  <si>
    <t>DINS-POL-201990</t>
  </si>
  <si>
    <t>DINS-CLM-101991</t>
  </si>
  <si>
    <t>DINS-CUS-501991</t>
  </si>
  <si>
    <t>DINS-POL-201991</t>
  </si>
  <si>
    <t>DINS-CLM-101992</t>
  </si>
  <si>
    <t>DINS-CUS-501992</t>
  </si>
  <si>
    <t>DINS-POL-201992</t>
  </si>
  <si>
    <t>DINS-CLM-101993</t>
  </si>
  <si>
    <t>DINS-CUS-501993</t>
  </si>
  <si>
    <t>DINS-POL-201993</t>
  </si>
  <si>
    <t>DINS-CLM-101994</t>
  </si>
  <si>
    <t>DINS-CUS-501994</t>
  </si>
  <si>
    <t>DINS-POL-201994</t>
  </si>
  <si>
    <t>DINS-CLM-101995</t>
  </si>
  <si>
    <t>DINS-CUS-501995</t>
  </si>
  <si>
    <t>DINS-POL-201995</t>
  </si>
  <si>
    <t>DINS-CLM-101996</t>
  </si>
  <si>
    <t>DINS-CUS-501996</t>
  </si>
  <si>
    <t>DINS-POL-201996</t>
  </si>
  <si>
    <t>DINS-CLM-101997</t>
  </si>
  <si>
    <t>DINS-CUS-501997</t>
  </si>
  <si>
    <t>DINS-POL-201997</t>
  </si>
  <si>
    <t>DINS-CLM-101998</t>
  </si>
  <si>
    <t>DINS-CUS-501998</t>
  </si>
  <si>
    <t>DINS-POL-201998</t>
  </si>
  <si>
    <t>DINS-CLM-101999</t>
  </si>
  <si>
    <t>DINS-CUS-501999</t>
  </si>
  <si>
    <t>DINS-POL-201999</t>
  </si>
  <si>
    <t>Row Labels</t>
  </si>
  <si>
    <t>Grand Total</t>
  </si>
  <si>
    <t>Sum of Claim_Amount_AED</t>
  </si>
  <si>
    <t>Count of Claim_ID</t>
  </si>
  <si>
    <t>Average of Claim_Amount_AED2</t>
  </si>
  <si>
    <t>Which policy type generates the highest total claim amount?</t>
  </si>
  <si>
    <t>Claim Approval Rate by Branch</t>
  </si>
  <si>
    <t>Column Labels</t>
  </si>
  <si>
    <t>Approval Rate %</t>
  </si>
  <si>
    <t>Most Frequent &amp; Costly Claim Reason</t>
  </si>
  <si>
    <t>Avg Settlement Time by Policy Type &amp; Channel</t>
  </si>
  <si>
    <t>Average of Settlement_Days</t>
  </si>
  <si>
    <t>Do Investigated Claims Take Longer to Settle?</t>
  </si>
  <si>
    <t xml:space="preserve">Fraud Rate </t>
  </si>
  <si>
    <t>Loss Ratio by Policy Type</t>
  </si>
  <si>
    <t>CUSTOMER BEHAVIOUR &amp; RETENTION</t>
  </si>
  <si>
    <t>PREMIUM VS CLAIMS</t>
  </si>
  <si>
    <t>FRAUD &amp; RISK</t>
  </si>
  <si>
    <t>SETTLEMENT EFFICIENCY</t>
  </si>
  <si>
    <t>CLAIMS ANALYSIS</t>
  </si>
  <si>
    <t>Do Rejected Claims Lead to Lower Renewal?</t>
  </si>
  <si>
    <t>Renewal Rate by Segment</t>
  </si>
  <si>
    <t>Business 
Insurance</t>
  </si>
  <si>
    <t>Health 
Insurance</t>
  </si>
  <si>
    <t>Home 
Insurance</t>
  </si>
  <si>
    <t>Life 
Insurance</t>
  </si>
  <si>
    <t>Motor 
Insurance</t>
  </si>
  <si>
    <t>Travel 
Insurance</t>
  </si>
  <si>
    <t>Ras Al 
Khaimah</t>
  </si>
  <si>
    <t>Fraudulent Claims Approval Status</t>
  </si>
  <si>
    <t>Claims by Channel</t>
  </si>
  <si>
    <t>Count of Claim_Channel</t>
  </si>
  <si>
    <t>Loss Amount</t>
  </si>
  <si>
    <t>Claim Amount</t>
  </si>
  <si>
    <t>Premium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</si>
</sst>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d\-mmm\-yyyy"/>
    <numFmt numFmtId="165" formatCode="0.0"/>
    <numFmt numFmtId="166" formatCode="_(* #,##0_);_(* \(#,##0\);_(* &quot;-&quot;??_);_(@_)"/>
    <numFmt numFmtId="167" formatCode="#,##0.0,,&quot;M&quot;"/>
  </numFmts>
  <fonts count="7" x14ac:knownFonts="1">
    <font>
      <sz val="11"/>
      <color theme="1"/>
      <name val="Calibri"/>
      <family val="2"/>
      <charset val="1"/>
    </font>
    <font>
      <sz val="10"/>
      <name val="Arial"/>
      <family val="2"/>
    </font>
    <font>
      <b/>
      <sz val="9"/>
      <color rgb="FFFFFFFF"/>
      <name val="Arial"/>
      <family val="2"/>
    </font>
    <font>
      <sz val="9"/>
      <name val="Arial"/>
      <family val="2"/>
    </font>
    <font>
      <sz val="11"/>
      <name val="Calibri"/>
      <family val="2"/>
      <charset val="1"/>
    </font>
    <font>
      <sz val="11"/>
      <color theme="1"/>
      <name val="Calibri"/>
      <family val="2"/>
      <charset val="1"/>
    </font>
    <font>
      <b/>
      <sz val="11"/>
      <color theme="1"/>
      <name val="Calibri"/>
      <family val="2"/>
      <charset val="1"/>
    </font>
  </fonts>
  <fills count="7">
    <fill>
      <patternFill patternType="none"/>
    </fill>
    <fill>
      <patternFill patternType="gray125"/>
    </fill>
    <fill>
      <patternFill patternType="solid">
        <fgColor rgb="FF1565C0"/>
        <bgColor rgb="FF3366FF"/>
      </patternFill>
    </fill>
    <fill>
      <patternFill patternType="solid">
        <fgColor rgb="FF065F46"/>
        <bgColor rgb="FF0D3B6E"/>
      </patternFill>
    </fill>
    <fill>
      <patternFill patternType="solid">
        <fgColor rgb="FFFFFFFF"/>
        <bgColor rgb="FFF3F4F6"/>
      </patternFill>
    </fill>
    <fill>
      <patternFill patternType="solid">
        <fgColor rgb="FFEFF6FF"/>
        <bgColor rgb="FFF3F4F6"/>
      </patternFill>
    </fill>
    <fill>
      <patternFill patternType="solid">
        <fgColor theme="4" tint="0.79998168889431442"/>
        <bgColor theme="4" tint="0.79998168889431442"/>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Border="0" applyAlignment="0" applyProtection="0"/>
    <xf numFmtId="43" fontId="5" fillId="0" borderId="0" applyFont="0" applyFill="0" applyBorder="0" applyAlignment="0" applyProtection="0"/>
  </cellStyleXfs>
  <cellXfs count="31">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horizontal="center"/>
    </xf>
    <xf numFmtId="0" fontId="3"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wrapText="1"/>
    </xf>
    <xf numFmtId="3" fontId="3"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wrapText="1"/>
    </xf>
    <xf numFmtId="0" fontId="4" fillId="0" borderId="0" xfId="0" applyFont="1" applyAlignment="1">
      <alignment horizontal="center"/>
    </xf>
    <xf numFmtId="0" fontId="3" fillId="5" borderId="1" xfId="0" applyFont="1" applyFill="1" applyBorder="1" applyAlignment="1">
      <alignment horizontal="center" vertical="center"/>
    </xf>
    <xf numFmtId="164" fontId="3" fillId="5" borderId="1" xfId="0" applyNumberFormat="1" applyFont="1" applyFill="1" applyBorder="1" applyAlignment="1">
      <alignment horizontal="center" vertical="center" wrapText="1"/>
    </xf>
    <xf numFmtId="3" fontId="3" fillId="5" borderId="1" xfId="0" applyNumberFormat="1" applyFont="1" applyFill="1" applyBorder="1" applyAlignment="1">
      <alignment horizontal="center" vertical="center"/>
    </xf>
    <xf numFmtId="2" fontId="3" fillId="5" borderId="1" xfId="0" applyNumberFormat="1" applyFont="1" applyFill="1" applyBorder="1" applyAlignment="1">
      <alignment horizontal="center" vertical="center"/>
    </xf>
    <xf numFmtId="3" fontId="3" fillId="5"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9" fontId="1" fillId="0" borderId="0" xfId="1"/>
    <xf numFmtId="2" fontId="0" fillId="0" borderId="0" xfId="0" applyNumberFormat="1"/>
    <xf numFmtId="165" fontId="0" fillId="0" borderId="0" xfId="0" applyNumberFormat="1"/>
    <xf numFmtId="0" fontId="3" fillId="5"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6" fillId="6" borderId="2" xfId="0" applyFont="1" applyFill="1" applyBorder="1"/>
    <xf numFmtId="166" fontId="0" fillId="0" borderId="0" xfId="2" applyNumberFormat="1" applyFont="1"/>
    <xf numFmtId="10" fontId="0" fillId="0" borderId="0" xfId="0" applyNumberFormat="1"/>
    <xf numFmtId="167" fontId="0" fillId="0" borderId="0" xfId="2" applyNumberFormat="1" applyFont="1"/>
    <xf numFmtId="167" fontId="0" fillId="0" borderId="0" xfId="0" applyNumberFormat="1"/>
    <xf numFmtId="0" fontId="6" fillId="6" borderId="3" xfId="0" applyFont="1" applyFill="1" applyBorder="1" applyAlignment="1">
      <alignment horizontal="left"/>
    </xf>
    <xf numFmtId="9" fontId="0" fillId="0" borderId="0" xfId="0" applyNumberFormat="1"/>
    <xf numFmtId="0" fontId="2" fillId="2" borderId="1" xfId="0" applyFont="1" applyFill="1" applyBorder="1" applyAlignment="1">
      <alignment horizontal="center" vertical="center"/>
    </xf>
  </cellXfs>
  <cellStyles count="3">
    <cellStyle name="Comma" xfId="2" builtinId="3"/>
    <cellStyle name="Normal" xfId="0" builtinId="0"/>
    <cellStyle name="Percent" xfId="1" builtinId="5"/>
  </cellStyles>
  <dxfs count="5">
    <dxf>
      <numFmt numFmtId="165" formatCode="0.0"/>
    </dxf>
    <dxf>
      <numFmt numFmtId="165" formatCode="0.0"/>
    </dxf>
    <dxf>
      <numFmt numFmtId="165" formatCode="0.0"/>
    </dxf>
    <dxf>
      <numFmt numFmtId="165" formatCode="0.0"/>
    </dxf>
    <dxf>
      <numFmt numFmtId="165" formatCode="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5F46"/>
      <rgbColor rgb="FFC0C0C0"/>
      <rgbColor rgb="FF808080"/>
      <rgbColor rgb="FF9999FF"/>
      <rgbColor rgb="FF993366"/>
      <rgbColor rgb="FFF3F4F6"/>
      <rgbColor rgb="FFEFF6FF"/>
      <rgbColor rgb="FF660066"/>
      <rgbColor rgb="FFFF8080"/>
      <rgbColor rgb="FF1565C0"/>
      <rgbColor rgb="FFCBD5E1"/>
      <rgbColor rgb="FF000080"/>
      <rgbColor rgb="FFFF00FF"/>
      <rgbColor rgb="FFFFFF00"/>
      <rgbColor rgb="FF00FFFF"/>
      <rgbColor rgb="FF800080"/>
      <rgbColor rgb="FF800000"/>
      <rgbColor rgb="FF008080"/>
      <rgbColor rgb="FF0000FF"/>
      <rgbColor rgb="FF00CCFF"/>
      <rgbColor rgb="FFCCFFFF"/>
      <rgbColor rgb="FFD1FAE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D3B6E"/>
      <rgbColor rgb="FF339966"/>
      <rgbColor rgb="FF003300"/>
      <rgbColor rgb="FF333300"/>
      <rgbColor rgb="FF993300"/>
      <rgbColor rgb="FF993366"/>
      <rgbColor rgb="FF333399"/>
      <rgbColor rgb="FF1E293B"/>
      <rgbColor rgb="00003366"/>
      <rgbColor rgb="00339966"/>
      <rgbColor rgb="00003300"/>
      <rgbColor rgb="00333300"/>
      <rgbColor rgb="00993300"/>
      <rgbColor rgb="00993366"/>
      <rgbColor rgb="00333399"/>
      <rgbColor rgb="00333333"/>
    </indexedColors>
    <mruColors>
      <color rgb="FF0D3B6E"/>
      <color rgb="FF0F6E56"/>
      <color rgb="FF2C4D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[Insurance_Data.xlsx]PIVOT!PivotTable1</c:name>
    <c:fmtId val="29"/>
  </c:pivotSource>
  <c:chart>
    <c:autoTitleDeleted val="1"/>
    <c:pivotFmts>
      <c:pivotFmt>
        <c:idx val="0"/>
        <c:spPr>
          <a:solidFill>
            <a:srgbClr val="0F6E56"/>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F6E56"/>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3944743547278646E-2"/>
              <c:y val="5.132757907613052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8898351641741793E-2"/>
              <c:y val="5.132757907613049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1003678256422512"/>
              <c:y val="6.2733707759715027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9109545956283906E-2"/>
              <c:y val="4.562451473433824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168270807786173"/>
              <c:y val="4.5624514734338241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0514776784986277"/>
              <c:y val="5.1327579076130413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Motor 
Insurance</c:v>
                </c:pt>
                <c:pt idx="1">
                  <c:v>Life 
Insurance</c:v>
                </c:pt>
                <c:pt idx="2">
                  <c:v>Health 
Insurance</c:v>
                </c:pt>
                <c:pt idx="3">
                  <c:v>Business 
Insurance</c:v>
                </c:pt>
                <c:pt idx="4">
                  <c:v>Travel 
Insurance</c:v>
                </c:pt>
                <c:pt idx="5">
                  <c:v>Home 
Insurance</c:v>
                </c:pt>
              </c:strCache>
            </c:strRef>
          </c:cat>
          <c:val>
            <c:numRef>
              <c:f>PIVOT!$B$4:$B$10</c:f>
              <c:numCache>
                <c:formatCode>#,##0</c:formatCode>
                <c:ptCount val="6"/>
                <c:pt idx="0">
                  <c:v>2534754</c:v>
                </c:pt>
                <c:pt idx="1">
                  <c:v>1013256</c:v>
                </c:pt>
                <c:pt idx="2">
                  <c:v>1263870</c:v>
                </c:pt>
                <c:pt idx="3">
                  <c:v>1959060</c:v>
                </c:pt>
                <c:pt idx="4">
                  <c:v>371935</c:v>
                </c:pt>
                <c:pt idx="5">
                  <c:v>1195486</c:v>
                </c:pt>
              </c:numCache>
            </c:numRef>
          </c:val>
          <c:extLst>
            <c:ext xmlns:c16="http://schemas.microsoft.com/office/drawing/2014/chart" uri="{C3380CC4-5D6E-409C-BE32-E72D297353CC}">
              <c16:uniqueId val="{00000000-8001-4121-A885-AEF32B5CB4E1}"/>
            </c:ext>
          </c:extLst>
        </c:ser>
        <c:dLbls>
          <c:dLblPos val="inEnd"/>
          <c:showLegendKey val="0"/>
          <c:showVal val="1"/>
          <c:showCatName val="0"/>
          <c:showSerName val="0"/>
          <c:showPercent val="0"/>
          <c:showBubbleSize val="0"/>
        </c:dLbls>
        <c:gapWidth val="102"/>
        <c:overlap val="-14"/>
        <c:axId val="298045839"/>
        <c:axId val="298047759"/>
      </c:barChart>
      <c:catAx>
        <c:axId val="29804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298047759"/>
        <c:crosses val="autoZero"/>
        <c:auto val="1"/>
        <c:lblAlgn val="ctr"/>
        <c:lblOffset val="100"/>
        <c:noMultiLvlLbl val="0"/>
      </c:catAx>
      <c:valAx>
        <c:axId val="29804775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9804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[Insurance_Data.xlsx]PIVOT!PivotTable2</c:name>
    <c:fmtId val="14"/>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08394424834826"/>
          <c:y val="0.21025299721479287"/>
          <c:w val="0.76636793886361654"/>
          <c:h val="0.69117313121521085"/>
        </c:manualLayout>
      </c:layout>
      <c:barChart>
        <c:barDir val="bar"/>
        <c:grouping val="stacked"/>
        <c:varyColors val="0"/>
        <c:ser>
          <c:idx val="0"/>
          <c:order val="0"/>
          <c:tx>
            <c:strRef>
              <c:f>PIVOT!$E$3:$E$4</c:f>
              <c:strCache>
                <c:ptCount val="1"/>
                <c:pt idx="0">
                  <c:v>Rejected</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PIVOT!$D$5:$D$11</c:f>
              <c:strCache>
                <c:ptCount val="6"/>
                <c:pt idx="0">
                  <c:v>Abu Dhabi</c:v>
                </c:pt>
                <c:pt idx="1">
                  <c:v>Ajman</c:v>
                </c:pt>
                <c:pt idx="2">
                  <c:v>Al Ain</c:v>
                </c:pt>
                <c:pt idx="3">
                  <c:v>Dubai</c:v>
                </c:pt>
                <c:pt idx="4">
                  <c:v>Sharjah</c:v>
                </c:pt>
                <c:pt idx="5">
                  <c:v>Ras Al 
Khaimah</c:v>
                </c:pt>
              </c:strCache>
            </c:strRef>
          </c:cat>
          <c:val>
            <c:numRef>
              <c:f>PIVOT!$E$5:$E$11</c:f>
              <c:numCache>
                <c:formatCode>General</c:formatCode>
                <c:ptCount val="6"/>
                <c:pt idx="0">
                  <c:v>45</c:v>
                </c:pt>
                <c:pt idx="1">
                  <c:v>41</c:v>
                </c:pt>
                <c:pt idx="2">
                  <c:v>58</c:v>
                </c:pt>
                <c:pt idx="3">
                  <c:v>44</c:v>
                </c:pt>
                <c:pt idx="4">
                  <c:v>44</c:v>
                </c:pt>
                <c:pt idx="5">
                  <c:v>40</c:v>
                </c:pt>
              </c:numCache>
            </c:numRef>
          </c:val>
          <c:extLst>
            <c:ext xmlns:c16="http://schemas.microsoft.com/office/drawing/2014/chart" uri="{C3380CC4-5D6E-409C-BE32-E72D297353CC}">
              <c16:uniqueId val="{00000000-87D1-430D-A20F-9310358ADE8A}"/>
            </c:ext>
          </c:extLst>
        </c:ser>
        <c:dLbls>
          <c:dLblPos val="ctr"/>
          <c:showLegendKey val="0"/>
          <c:showVal val="1"/>
          <c:showCatName val="0"/>
          <c:showSerName val="0"/>
          <c:showPercent val="0"/>
          <c:showBubbleSize val="0"/>
        </c:dLbls>
        <c:gapWidth val="86"/>
        <c:overlap val="100"/>
        <c:axId val="12688927"/>
        <c:axId val="12689887"/>
      </c:barChart>
      <c:catAx>
        <c:axId val="12688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9887"/>
        <c:crosses val="autoZero"/>
        <c:auto val="1"/>
        <c:lblAlgn val="ctr"/>
        <c:lblOffset val="100"/>
        <c:noMultiLvlLbl val="0"/>
      </c:catAx>
      <c:valAx>
        <c:axId val="126898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688927"/>
        <c:crosses val="autoZero"/>
        <c:crossBetween val="between"/>
      </c:valAx>
      <c:spPr>
        <a:noFill/>
        <a:ln>
          <a:noFill/>
        </a:ln>
        <a:effectLst/>
      </c:spPr>
    </c:plotArea>
    <c:legend>
      <c:legendPos val="r"/>
      <c:layout>
        <c:manualLayout>
          <c:xMode val="edge"/>
          <c:yMode val="edge"/>
          <c:x val="7.0309809061307044E-2"/>
          <c:y val="7.7047350172289794E-2"/>
          <c:w val="0.83386484960730523"/>
          <c:h val="0.1605816813799037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[Insurance_Data.xlsx]PIVOT!PivotTable3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50000"/>
            </a:schemeClr>
          </a:solidFill>
          <a:ln>
            <a:noFill/>
          </a:ln>
          <a:effectLst/>
        </c:spPr>
      </c:pivotFmt>
      <c:pivotFmt>
        <c:idx val="6"/>
        <c:spPr>
          <a:solidFill>
            <a:schemeClr val="accent5">
              <a:lumMod val="75000"/>
            </a:schemeClr>
          </a:solidFill>
          <a:ln>
            <a:noFill/>
          </a:ln>
          <a:effectLst/>
        </c:spPr>
      </c:pivotFmt>
      <c:pivotFmt>
        <c:idx val="7"/>
        <c:spPr>
          <a:solidFill>
            <a:schemeClr val="accent5">
              <a:lumMod val="60000"/>
              <a:lumOff val="40000"/>
            </a:schemeClr>
          </a:solidFill>
          <a:ln>
            <a:noFill/>
          </a:ln>
          <a:effectLst/>
        </c:spPr>
      </c:pivotFmt>
      <c:pivotFmt>
        <c:idx val="8"/>
        <c:spPr>
          <a:solidFill>
            <a:srgbClr val="2C4D76"/>
          </a:solidFill>
          <a:ln>
            <a:noFill/>
          </a:ln>
          <a:effectLst/>
        </c:spPr>
      </c:pivotFmt>
      <c:pivotFmt>
        <c:idx val="9"/>
        <c:spPr>
          <a:solidFill>
            <a:srgbClr val="0070C0"/>
          </a:solidFill>
          <a:ln>
            <a:noFill/>
          </a:ln>
          <a:effectLst/>
        </c:spPr>
      </c:pivotFmt>
    </c:pivotFmts>
    <c:plotArea>
      <c:layout>
        <c:manualLayout>
          <c:layoutTarget val="inner"/>
          <c:xMode val="edge"/>
          <c:yMode val="edge"/>
          <c:x val="6.7748881289241156E-2"/>
          <c:y val="3.3081581973807825E-2"/>
          <c:w val="0.77212526328140041"/>
          <c:h val="0.66944314913162184"/>
        </c:manualLayout>
      </c:layout>
      <c:barChart>
        <c:barDir val="col"/>
        <c:grouping val="clustered"/>
        <c:varyColors val="0"/>
        <c:ser>
          <c:idx val="0"/>
          <c:order val="0"/>
          <c:tx>
            <c:strRef>
              <c:f>PIVOT!$L$4</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742D-496F-B69F-4C6112EB6F97}"/>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3-742D-496F-B69F-4C6112EB6F97}"/>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742D-496F-B69F-4C6112EB6F9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742D-496F-B69F-4C6112EB6F97}"/>
              </c:ext>
            </c:extLst>
          </c:dPt>
          <c:dPt>
            <c:idx val="4"/>
            <c:invertIfNegative val="0"/>
            <c:bubble3D val="0"/>
            <c:spPr>
              <a:solidFill>
                <a:srgbClr val="2C4D76"/>
              </a:solidFill>
              <a:ln>
                <a:noFill/>
              </a:ln>
              <a:effectLst/>
            </c:spPr>
            <c:extLst>
              <c:ext xmlns:c16="http://schemas.microsoft.com/office/drawing/2014/chart" uri="{C3380CC4-5D6E-409C-BE32-E72D297353CC}">
                <c16:uniqueId val="{00000006-742D-496F-B69F-4C6112EB6F97}"/>
              </c:ext>
            </c:extLst>
          </c:dPt>
          <c:dPt>
            <c:idx val="6"/>
            <c:invertIfNegative val="0"/>
            <c:bubble3D val="0"/>
            <c:spPr>
              <a:solidFill>
                <a:srgbClr val="00B0F0"/>
              </a:solidFill>
              <a:ln>
                <a:noFill/>
              </a:ln>
              <a:effectLst/>
            </c:spPr>
            <c:extLst>
              <c:ext xmlns:c16="http://schemas.microsoft.com/office/drawing/2014/chart" uri="{C3380CC4-5D6E-409C-BE32-E72D297353CC}">
                <c16:uniqueId val="{00000001-37C3-4AA6-B812-8DCDB497429E}"/>
              </c:ext>
            </c:extLst>
          </c:dPt>
          <c:dPt>
            <c:idx val="7"/>
            <c:invertIfNegative val="0"/>
            <c:bubble3D val="0"/>
            <c:spPr>
              <a:solidFill>
                <a:srgbClr val="0070C0"/>
              </a:solidFill>
              <a:ln>
                <a:noFill/>
              </a:ln>
              <a:effectLst/>
            </c:spPr>
            <c:extLst>
              <c:ext xmlns:c16="http://schemas.microsoft.com/office/drawing/2014/chart" uri="{C3380CC4-5D6E-409C-BE32-E72D297353CC}">
                <c16:uniqueId val="{00000007-742D-496F-B69F-4C6112EB6F97}"/>
              </c:ext>
            </c:extLst>
          </c:dPt>
          <c:cat>
            <c:strRef>
              <c:f>PIVOT!$K$5:$K$13</c:f>
              <c:strCache>
                <c:ptCount val="8"/>
                <c:pt idx="0">
                  <c:v>Accident</c:v>
                </c:pt>
                <c:pt idx="1">
                  <c:v>Fire Damage</c:v>
                </c:pt>
                <c:pt idx="2">
                  <c:v>Hospitalization</c:v>
                </c:pt>
                <c:pt idx="3">
                  <c:v>Medical Treatment</c:v>
                </c:pt>
                <c:pt idx="4">
                  <c:v>Property Damage</c:v>
                </c:pt>
                <c:pt idx="5">
                  <c:v>Theft</c:v>
                </c:pt>
                <c:pt idx="6">
                  <c:v>Travel Cancellation</c:v>
                </c:pt>
                <c:pt idx="7">
                  <c:v>Vehicle Damage</c:v>
                </c:pt>
              </c:strCache>
            </c:strRef>
          </c:cat>
          <c:val>
            <c:numRef>
              <c:f>PIVOT!$L$5:$L$13</c:f>
              <c:numCache>
                <c:formatCode>General</c:formatCode>
                <c:ptCount val="8"/>
                <c:pt idx="0">
                  <c:v>34</c:v>
                </c:pt>
                <c:pt idx="1">
                  <c:v>27</c:v>
                </c:pt>
                <c:pt idx="2">
                  <c:v>35</c:v>
                </c:pt>
                <c:pt idx="3">
                  <c:v>35</c:v>
                </c:pt>
                <c:pt idx="4">
                  <c:v>27</c:v>
                </c:pt>
                <c:pt idx="5">
                  <c:v>32</c:v>
                </c:pt>
                <c:pt idx="6">
                  <c:v>49</c:v>
                </c:pt>
                <c:pt idx="7">
                  <c:v>33</c:v>
                </c:pt>
              </c:numCache>
            </c:numRef>
          </c:val>
          <c:extLst>
            <c:ext xmlns:c16="http://schemas.microsoft.com/office/drawing/2014/chart" uri="{C3380CC4-5D6E-409C-BE32-E72D297353CC}">
              <c16:uniqueId val="{00000000-37C3-4AA6-B812-8DCDB497429E}"/>
            </c:ext>
          </c:extLst>
        </c:ser>
        <c:dLbls>
          <c:showLegendKey val="0"/>
          <c:showVal val="0"/>
          <c:showCatName val="0"/>
          <c:showSerName val="0"/>
          <c:showPercent val="0"/>
          <c:showBubbleSize val="0"/>
        </c:dLbls>
        <c:gapWidth val="113"/>
        <c:overlap val="-100"/>
        <c:axId val="307964415"/>
        <c:axId val="307964895"/>
      </c:barChart>
      <c:catAx>
        <c:axId val="30796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800" b="1" i="0" u="none" strike="noStrike" kern="1200" baseline="0">
                <a:solidFill>
                  <a:schemeClr val="tx1">
                    <a:lumMod val="65000"/>
                    <a:lumOff val="35000"/>
                  </a:schemeClr>
                </a:solidFill>
                <a:latin typeface="+mn-lt"/>
                <a:ea typeface="+mn-ea"/>
                <a:cs typeface="+mn-cs"/>
              </a:defRPr>
            </a:pPr>
            <a:endParaRPr lang="en-US"/>
          </a:p>
        </c:txPr>
        <c:crossAx val="307964895"/>
        <c:crosses val="autoZero"/>
        <c:auto val="1"/>
        <c:lblAlgn val="ctr"/>
        <c:lblOffset val="10"/>
        <c:noMultiLvlLbl val="0"/>
      </c:catAx>
      <c:valAx>
        <c:axId val="30796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796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[Insurance_Data.xlsx]FILTER!PivotTable21</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539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476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635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0.19444444444444445"/>
          <c:w val="0.86865463692038491"/>
          <c:h val="0.55470691163604546"/>
        </c:manualLayout>
      </c:layout>
      <c:lineChart>
        <c:grouping val="standard"/>
        <c:varyColors val="0"/>
        <c:ser>
          <c:idx val="0"/>
          <c:order val="0"/>
          <c:tx>
            <c:strRef>
              <c:f>FILTER!$B$5:$B$6</c:f>
              <c:strCache>
                <c:ptCount val="1"/>
                <c:pt idx="0">
                  <c:v>Agent</c:v>
                </c:pt>
              </c:strCache>
            </c:strRef>
          </c:tx>
          <c:spPr>
            <a:ln w="53975" cap="rnd">
              <a:solidFill>
                <a:schemeClr val="accent1"/>
              </a:solidFill>
              <a:round/>
            </a:ln>
            <a:effectLst/>
          </c:spPr>
          <c:marker>
            <c:symbol val="none"/>
          </c:marker>
          <c:cat>
            <c:strRef>
              <c:f>FILTER!$A$7:$A$13</c:f>
              <c:strCache>
                <c:ptCount val="6"/>
                <c:pt idx="0">
                  <c:v>Motor 
Insurance</c:v>
                </c:pt>
                <c:pt idx="1">
                  <c:v>Life 
Insurance</c:v>
                </c:pt>
                <c:pt idx="2">
                  <c:v>Health 
Insurance</c:v>
                </c:pt>
                <c:pt idx="3">
                  <c:v>Business 
Insurance</c:v>
                </c:pt>
                <c:pt idx="4">
                  <c:v>Travel 
Insurance</c:v>
                </c:pt>
                <c:pt idx="5">
                  <c:v>Home 
Insurance</c:v>
                </c:pt>
              </c:strCache>
            </c:strRef>
          </c:cat>
          <c:val>
            <c:numRef>
              <c:f>FILTER!$B$7:$B$13</c:f>
              <c:numCache>
                <c:formatCode>0.0</c:formatCode>
                <c:ptCount val="6"/>
                <c:pt idx="0">
                  <c:v>23.552238805970148</c:v>
                </c:pt>
                <c:pt idx="1">
                  <c:v>23.586206896551722</c:v>
                </c:pt>
                <c:pt idx="2">
                  <c:v>24.50925925925926</c:v>
                </c:pt>
                <c:pt idx="3">
                  <c:v>25.805970149253731</c:v>
                </c:pt>
                <c:pt idx="4">
                  <c:v>21.911111111111111</c:v>
                </c:pt>
                <c:pt idx="5">
                  <c:v>24.375</c:v>
                </c:pt>
              </c:numCache>
            </c:numRef>
          </c:val>
          <c:smooth val="0"/>
          <c:extLst>
            <c:ext xmlns:c16="http://schemas.microsoft.com/office/drawing/2014/chart" uri="{C3380CC4-5D6E-409C-BE32-E72D297353CC}">
              <c16:uniqueId val="{00000000-D8AA-4CB4-B4BF-B725F89DDEF4}"/>
            </c:ext>
          </c:extLst>
        </c:ser>
        <c:ser>
          <c:idx val="1"/>
          <c:order val="1"/>
          <c:tx>
            <c:strRef>
              <c:f>FILTER!$C$5:$C$6</c:f>
              <c:strCache>
                <c:ptCount val="1"/>
                <c:pt idx="0">
                  <c:v>Branch</c:v>
                </c:pt>
              </c:strCache>
            </c:strRef>
          </c:tx>
          <c:spPr>
            <a:ln w="47625" cap="rnd">
              <a:solidFill>
                <a:schemeClr val="accent2"/>
              </a:solidFill>
              <a:round/>
            </a:ln>
            <a:effectLst/>
          </c:spPr>
          <c:marker>
            <c:symbol val="none"/>
          </c:marker>
          <c:cat>
            <c:strRef>
              <c:f>FILTER!$A$7:$A$13</c:f>
              <c:strCache>
                <c:ptCount val="6"/>
                <c:pt idx="0">
                  <c:v>Motor 
Insurance</c:v>
                </c:pt>
                <c:pt idx="1">
                  <c:v>Life 
Insurance</c:v>
                </c:pt>
                <c:pt idx="2">
                  <c:v>Health 
Insurance</c:v>
                </c:pt>
                <c:pt idx="3">
                  <c:v>Business 
Insurance</c:v>
                </c:pt>
                <c:pt idx="4">
                  <c:v>Travel 
Insurance</c:v>
                </c:pt>
                <c:pt idx="5">
                  <c:v>Home 
Insurance</c:v>
                </c:pt>
              </c:strCache>
            </c:strRef>
          </c:cat>
          <c:val>
            <c:numRef>
              <c:f>FILTER!$C$7:$C$13</c:f>
              <c:numCache>
                <c:formatCode>0.0</c:formatCode>
                <c:ptCount val="6"/>
                <c:pt idx="0">
                  <c:v>23.341463414634145</c:v>
                </c:pt>
                <c:pt idx="1">
                  <c:v>23.901639344262296</c:v>
                </c:pt>
                <c:pt idx="2">
                  <c:v>21.508620689655171</c:v>
                </c:pt>
                <c:pt idx="3">
                  <c:v>25.071428571428573</c:v>
                </c:pt>
                <c:pt idx="4">
                  <c:v>24.857142857142858</c:v>
                </c:pt>
                <c:pt idx="5">
                  <c:v>28</c:v>
                </c:pt>
              </c:numCache>
            </c:numRef>
          </c:val>
          <c:smooth val="0"/>
          <c:extLst>
            <c:ext xmlns:c16="http://schemas.microsoft.com/office/drawing/2014/chart" uri="{C3380CC4-5D6E-409C-BE32-E72D297353CC}">
              <c16:uniqueId val="{00000001-D8AA-4CB4-B4BF-B725F89DDEF4}"/>
            </c:ext>
          </c:extLst>
        </c:ser>
        <c:ser>
          <c:idx val="2"/>
          <c:order val="2"/>
          <c:tx>
            <c:strRef>
              <c:f>FILTER!$D$5:$D$6</c:f>
              <c:strCache>
                <c:ptCount val="1"/>
                <c:pt idx="0">
                  <c:v>Mobile App</c:v>
                </c:pt>
              </c:strCache>
            </c:strRef>
          </c:tx>
          <c:spPr>
            <a:ln w="63500" cap="rnd">
              <a:solidFill>
                <a:schemeClr val="accent3"/>
              </a:solidFill>
              <a:round/>
            </a:ln>
            <a:effectLst/>
          </c:spPr>
          <c:marker>
            <c:symbol val="none"/>
          </c:marker>
          <c:cat>
            <c:strRef>
              <c:f>FILTER!$A$7:$A$13</c:f>
              <c:strCache>
                <c:ptCount val="6"/>
                <c:pt idx="0">
                  <c:v>Motor 
Insurance</c:v>
                </c:pt>
                <c:pt idx="1">
                  <c:v>Life 
Insurance</c:v>
                </c:pt>
                <c:pt idx="2">
                  <c:v>Health 
Insurance</c:v>
                </c:pt>
                <c:pt idx="3">
                  <c:v>Business 
Insurance</c:v>
                </c:pt>
                <c:pt idx="4">
                  <c:v>Travel 
Insurance</c:v>
                </c:pt>
                <c:pt idx="5">
                  <c:v>Home 
Insurance</c:v>
                </c:pt>
              </c:strCache>
            </c:strRef>
          </c:cat>
          <c:val>
            <c:numRef>
              <c:f>FILTER!$D$7:$D$13</c:f>
              <c:numCache>
                <c:formatCode>0.0</c:formatCode>
                <c:ptCount val="6"/>
                <c:pt idx="0">
                  <c:v>21.592920353982301</c:v>
                </c:pt>
                <c:pt idx="1">
                  <c:v>22.584905660377359</c:v>
                </c:pt>
                <c:pt idx="2">
                  <c:v>23.582524271844662</c:v>
                </c:pt>
                <c:pt idx="3">
                  <c:v>20.157894736842106</c:v>
                </c:pt>
                <c:pt idx="4">
                  <c:v>23.607142857142858</c:v>
                </c:pt>
                <c:pt idx="5">
                  <c:v>24.448979591836736</c:v>
                </c:pt>
              </c:numCache>
            </c:numRef>
          </c:val>
          <c:smooth val="0"/>
          <c:extLst>
            <c:ext xmlns:c16="http://schemas.microsoft.com/office/drawing/2014/chart" uri="{C3380CC4-5D6E-409C-BE32-E72D297353CC}">
              <c16:uniqueId val="{00000002-D8AA-4CB4-B4BF-B725F89DDEF4}"/>
            </c:ext>
          </c:extLst>
        </c:ser>
        <c:dLbls>
          <c:showLegendKey val="0"/>
          <c:showVal val="0"/>
          <c:showCatName val="0"/>
          <c:showSerName val="0"/>
          <c:showPercent val="0"/>
          <c:showBubbleSize val="0"/>
        </c:dLbls>
        <c:smooth val="0"/>
        <c:axId val="792150351"/>
        <c:axId val="792154191"/>
      </c:lineChart>
      <c:catAx>
        <c:axId val="79215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2154191"/>
        <c:crosses val="autoZero"/>
        <c:auto val="1"/>
        <c:lblAlgn val="ctr"/>
        <c:lblOffset val="100"/>
        <c:noMultiLvlLbl val="0"/>
      </c:catAx>
      <c:valAx>
        <c:axId val="7921541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2150351"/>
        <c:crosses val="autoZero"/>
        <c:crossBetween val="between"/>
      </c:valAx>
      <c:spPr>
        <a:noFill/>
        <a:ln>
          <a:noFill/>
        </a:ln>
        <a:effectLst/>
      </c:spPr>
    </c:plotArea>
    <c:legend>
      <c:legendPos val="r"/>
      <c:layout>
        <c:manualLayout>
          <c:xMode val="edge"/>
          <c:yMode val="edge"/>
          <c:x val="0.20143000874890638"/>
          <c:y val="0.90595982793817442"/>
          <c:w val="0.5430144356955382"/>
          <c:h val="8.622849227179935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62596861580291"/>
          <c:y val="6.2424929218977895E-2"/>
          <c:w val="0.78868659529089336"/>
          <c:h val="0.74358502302170615"/>
        </c:manualLayout>
      </c:layout>
      <c:areaChart>
        <c:grouping val="standard"/>
        <c:varyColors val="0"/>
        <c:dLbls>
          <c:showLegendKey val="0"/>
          <c:showVal val="0"/>
          <c:showCatName val="0"/>
          <c:showSerName val="0"/>
          <c:showPercent val="0"/>
          <c:showBubbleSize val="0"/>
        </c:dLbls>
        <c:axId val="792136431"/>
        <c:axId val="792155631"/>
      </c:areaChart>
      <c:catAx>
        <c:axId val="792136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2155631"/>
        <c:crosses val="autoZero"/>
        <c:auto val="1"/>
        <c:lblAlgn val="ctr"/>
        <c:lblOffset val="100"/>
        <c:noMultiLvlLbl val="0"/>
      </c:catAx>
      <c:valAx>
        <c:axId val="792155631"/>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213643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12292213473316"/>
          <c:y val="5.0925925925925923E-2"/>
          <c:w val="0.84732152230971125"/>
          <c:h val="0.69294619422572179"/>
        </c:manualLayout>
      </c:layout>
      <c:bar3DChart>
        <c:barDir val="col"/>
        <c:grouping val="clustered"/>
        <c:varyColors val="0"/>
        <c:ser>
          <c:idx val="0"/>
          <c:order val="0"/>
          <c:tx>
            <c:strRef>
              <c:f>PIVOT!$K$28</c:f>
              <c:strCache>
                <c:ptCount val="1"/>
                <c:pt idx="0">
                  <c:v>Accident</c:v>
                </c:pt>
              </c:strCache>
            </c:strRef>
          </c:tx>
          <c:spPr>
            <a:solidFill>
              <a:schemeClr val="tx2">
                <a:lumMod val="40000"/>
                <a:lumOff val="60000"/>
              </a:schemeClr>
            </a:solidFill>
            <a:ln>
              <a:noFill/>
            </a:ln>
            <a:effectLst/>
            <a:sp3d/>
          </c:spPr>
          <c:invertIfNegative val="0"/>
          <c:val>
            <c:numRef>
              <c:f>PIVOT!$L$28</c:f>
              <c:numCache>
                <c:formatCode>_(* #,##0_);_(* \(#,##0\);_(* "-"??_);_(@_)</c:formatCode>
                <c:ptCount val="1"/>
                <c:pt idx="0">
                  <c:v>33743.26470588235</c:v>
                </c:pt>
              </c:numCache>
            </c:numRef>
          </c:val>
          <c:extLst>
            <c:ext xmlns:c16="http://schemas.microsoft.com/office/drawing/2014/chart" uri="{C3380CC4-5D6E-409C-BE32-E72D297353CC}">
              <c16:uniqueId val="{00000000-CBE0-47C2-89EA-AB92C4685780}"/>
            </c:ext>
          </c:extLst>
        </c:ser>
        <c:ser>
          <c:idx val="1"/>
          <c:order val="1"/>
          <c:tx>
            <c:strRef>
              <c:f>PIVOT!$K$29</c:f>
              <c:strCache>
                <c:ptCount val="1"/>
                <c:pt idx="0">
                  <c:v>Fire Damage</c:v>
                </c:pt>
              </c:strCache>
            </c:strRef>
          </c:tx>
          <c:spPr>
            <a:solidFill>
              <a:schemeClr val="tx2">
                <a:lumMod val="75000"/>
              </a:schemeClr>
            </a:solidFill>
            <a:ln>
              <a:noFill/>
            </a:ln>
            <a:effectLst/>
            <a:sp3d/>
          </c:spPr>
          <c:invertIfNegative val="0"/>
          <c:val>
            <c:numRef>
              <c:f>PIVOT!$L$29</c:f>
              <c:numCache>
                <c:formatCode>_(* #,##0_);_(* \(#,##0\);_(* "-"??_);_(@_)</c:formatCode>
                <c:ptCount val="1"/>
                <c:pt idx="0">
                  <c:v>25359.666666666668</c:v>
                </c:pt>
              </c:numCache>
            </c:numRef>
          </c:val>
          <c:extLst>
            <c:ext xmlns:c16="http://schemas.microsoft.com/office/drawing/2014/chart" uri="{C3380CC4-5D6E-409C-BE32-E72D297353CC}">
              <c16:uniqueId val="{00000001-CBE0-47C2-89EA-AB92C4685780}"/>
            </c:ext>
          </c:extLst>
        </c:ser>
        <c:ser>
          <c:idx val="2"/>
          <c:order val="2"/>
          <c:tx>
            <c:strRef>
              <c:f>PIVOT!$K$30</c:f>
              <c:strCache>
                <c:ptCount val="1"/>
                <c:pt idx="0">
                  <c:v>Hospitalization</c:v>
                </c:pt>
              </c:strCache>
            </c:strRef>
          </c:tx>
          <c:spPr>
            <a:solidFill>
              <a:schemeClr val="tx2">
                <a:lumMod val="20000"/>
                <a:lumOff val="80000"/>
              </a:schemeClr>
            </a:solidFill>
            <a:ln>
              <a:noFill/>
            </a:ln>
            <a:effectLst/>
            <a:sp3d/>
          </c:spPr>
          <c:invertIfNegative val="0"/>
          <c:val>
            <c:numRef>
              <c:f>PIVOT!$L$30</c:f>
              <c:numCache>
                <c:formatCode>_(* #,##0_);_(* \(#,##0\);_(* "-"??_);_(@_)</c:formatCode>
                <c:ptCount val="1"/>
                <c:pt idx="0">
                  <c:v>24964.514285714286</c:v>
                </c:pt>
              </c:numCache>
            </c:numRef>
          </c:val>
          <c:extLst>
            <c:ext xmlns:c16="http://schemas.microsoft.com/office/drawing/2014/chart" uri="{C3380CC4-5D6E-409C-BE32-E72D297353CC}">
              <c16:uniqueId val="{00000002-CBE0-47C2-89EA-AB92C4685780}"/>
            </c:ext>
          </c:extLst>
        </c:ser>
        <c:ser>
          <c:idx val="3"/>
          <c:order val="3"/>
          <c:tx>
            <c:strRef>
              <c:f>PIVOT!$K$31</c:f>
              <c:strCache>
                <c:ptCount val="1"/>
                <c:pt idx="0">
                  <c:v>Medical Treatment</c:v>
                </c:pt>
              </c:strCache>
            </c:strRef>
          </c:tx>
          <c:spPr>
            <a:solidFill>
              <a:schemeClr val="accent1">
                <a:lumMod val="75000"/>
              </a:schemeClr>
            </a:solidFill>
            <a:ln>
              <a:noFill/>
            </a:ln>
            <a:effectLst/>
            <a:sp3d/>
          </c:spPr>
          <c:invertIfNegative val="0"/>
          <c:val>
            <c:numRef>
              <c:f>PIVOT!$L$31</c:f>
              <c:numCache>
                <c:formatCode>_(* #,##0_);_(* \(#,##0\);_(* "-"??_);_(@_)</c:formatCode>
                <c:ptCount val="1"/>
                <c:pt idx="0">
                  <c:v>34343.914285714287</c:v>
                </c:pt>
              </c:numCache>
            </c:numRef>
          </c:val>
          <c:extLst>
            <c:ext xmlns:c16="http://schemas.microsoft.com/office/drawing/2014/chart" uri="{C3380CC4-5D6E-409C-BE32-E72D297353CC}">
              <c16:uniqueId val="{00000003-CBE0-47C2-89EA-AB92C4685780}"/>
            </c:ext>
          </c:extLst>
        </c:ser>
        <c:ser>
          <c:idx val="4"/>
          <c:order val="4"/>
          <c:tx>
            <c:strRef>
              <c:f>PIVOT!$K$32</c:f>
              <c:strCache>
                <c:ptCount val="1"/>
                <c:pt idx="0">
                  <c:v>Property Damage</c:v>
                </c:pt>
              </c:strCache>
            </c:strRef>
          </c:tx>
          <c:spPr>
            <a:solidFill>
              <a:schemeClr val="accent5"/>
            </a:solidFill>
            <a:ln>
              <a:noFill/>
            </a:ln>
            <a:effectLst/>
            <a:sp3d/>
          </c:spPr>
          <c:invertIfNegative val="0"/>
          <c:val>
            <c:numRef>
              <c:f>PIVOT!$L$32</c:f>
              <c:numCache>
                <c:formatCode>_(* #,##0_);_(* \(#,##0\);_(* "-"??_);_(@_)</c:formatCode>
                <c:ptCount val="1"/>
                <c:pt idx="0">
                  <c:v>27284.740740740741</c:v>
                </c:pt>
              </c:numCache>
            </c:numRef>
          </c:val>
          <c:extLst>
            <c:ext xmlns:c16="http://schemas.microsoft.com/office/drawing/2014/chart" uri="{C3380CC4-5D6E-409C-BE32-E72D297353CC}">
              <c16:uniqueId val="{00000004-CBE0-47C2-89EA-AB92C4685780}"/>
            </c:ext>
          </c:extLst>
        </c:ser>
        <c:ser>
          <c:idx val="5"/>
          <c:order val="5"/>
          <c:tx>
            <c:strRef>
              <c:f>PIVOT!$K$33</c:f>
              <c:strCache>
                <c:ptCount val="1"/>
                <c:pt idx="0">
                  <c:v>Theft</c:v>
                </c:pt>
              </c:strCache>
            </c:strRef>
          </c:tx>
          <c:spPr>
            <a:solidFill>
              <a:schemeClr val="accent5">
                <a:lumMod val="20000"/>
                <a:lumOff val="80000"/>
              </a:schemeClr>
            </a:solidFill>
            <a:ln>
              <a:noFill/>
            </a:ln>
            <a:effectLst/>
            <a:sp3d/>
          </c:spPr>
          <c:invertIfNegative val="0"/>
          <c:val>
            <c:numRef>
              <c:f>PIVOT!$L$33</c:f>
              <c:numCache>
                <c:formatCode>_(* #,##0_);_(* \(#,##0\);_(* "-"??_);_(@_)</c:formatCode>
                <c:ptCount val="1"/>
                <c:pt idx="0">
                  <c:v>30517.8125</c:v>
                </c:pt>
              </c:numCache>
            </c:numRef>
          </c:val>
          <c:extLst>
            <c:ext xmlns:c16="http://schemas.microsoft.com/office/drawing/2014/chart" uri="{C3380CC4-5D6E-409C-BE32-E72D297353CC}">
              <c16:uniqueId val="{00000005-CBE0-47C2-89EA-AB92C4685780}"/>
            </c:ext>
          </c:extLst>
        </c:ser>
        <c:ser>
          <c:idx val="6"/>
          <c:order val="6"/>
          <c:tx>
            <c:strRef>
              <c:f>PIVOT!$K$34</c:f>
              <c:strCache>
                <c:ptCount val="1"/>
                <c:pt idx="0">
                  <c:v>Travel Cancellation</c:v>
                </c:pt>
              </c:strCache>
            </c:strRef>
          </c:tx>
          <c:spPr>
            <a:solidFill>
              <a:schemeClr val="accent5">
                <a:lumMod val="50000"/>
              </a:schemeClr>
            </a:solidFill>
            <a:ln>
              <a:noFill/>
            </a:ln>
            <a:effectLst/>
            <a:sp3d/>
          </c:spPr>
          <c:invertIfNegative val="0"/>
          <c:val>
            <c:numRef>
              <c:f>PIVOT!$L$34</c:f>
              <c:numCache>
                <c:formatCode>_(* #,##0_);_(* \(#,##0\);_(* "-"??_);_(@_)</c:formatCode>
                <c:ptCount val="1"/>
                <c:pt idx="0">
                  <c:v>35872.183673469386</c:v>
                </c:pt>
              </c:numCache>
            </c:numRef>
          </c:val>
          <c:extLst>
            <c:ext xmlns:c16="http://schemas.microsoft.com/office/drawing/2014/chart" uri="{C3380CC4-5D6E-409C-BE32-E72D297353CC}">
              <c16:uniqueId val="{00000006-CBE0-47C2-89EA-AB92C4685780}"/>
            </c:ext>
          </c:extLst>
        </c:ser>
        <c:ser>
          <c:idx val="7"/>
          <c:order val="7"/>
          <c:tx>
            <c:strRef>
              <c:f>PIVOT!$K$35</c:f>
              <c:strCache>
                <c:ptCount val="1"/>
                <c:pt idx="0">
                  <c:v>Vehicle Damage</c:v>
                </c:pt>
              </c:strCache>
            </c:strRef>
          </c:tx>
          <c:spPr>
            <a:solidFill>
              <a:schemeClr val="tx2">
                <a:lumMod val="60000"/>
                <a:lumOff val="40000"/>
              </a:schemeClr>
            </a:solidFill>
            <a:ln>
              <a:noFill/>
            </a:ln>
            <a:effectLst/>
            <a:sp3d/>
          </c:spPr>
          <c:invertIfNegative val="0"/>
          <c:val>
            <c:numRef>
              <c:f>PIVOT!$L$35</c:f>
              <c:numCache>
                <c:formatCode>_(* #,##0_);_(* \(#,##0\);_(* "-"??_);_(@_)</c:formatCode>
                <c:ptCount val="1"/>
                <c:pt idx="0">
                  <c:v>29078.454545454544</c:v>
                </c:pt>
              </c:numCache>
            </c:numRef>
          </c:val>
          <c:extLst>
            <c:ext xmlns:c16="http://schemas.microsoft.com/office/drawing/2014/chart" uri="{C3380CC4-5D6E-409C-BE32-E72D297353CC}">
              <c16:uniqueId val="{00000007-CBE0-47C2-89EA-AB92C4685780}"/>
            </c:ext>
          </c:extLst>
        </c:ser>
        <c:dLbls>
          <c:showLegendKey val="0"/>
          <c:showVal val="0"/>
          <c:showCatName val="0"/>
          <c:showSerName val="0"/>
          <c:showPercent val="0"/>
          <c:showBubbleSize val="0"/>
        </c:dLbls>
        <c:gapWidth val="150"/>
        <c:shape val="box"/>
        <c:axId val="969996223"/>
        <c:axId val="983770639"/>
        <c:axId val="0"/>
      </c:bar3DChart>
      <c:catAx>
        <c:axId val="969996223"/>
        <c:scaling>
          <c:orientation val="minMax"/>
        </c:scaling>
        <c:delete val="1"/>
        <c:axPos val="b"/>
        <c:numFmt formatCode="General" sourceLinked="1"/>
        <c:majorTickMark val="none"/>
        <c:minorTickMark val="none"/>
        <c:tickLblPos val="nextTo"/>
        <c:crossAx val="983770639"/>
        <c:crosses val="autoZero"/>
        <c:auto val="1"/>
        <c:lblAlgn val="ctr"/>
        <c:lblOffset val="100"/>
        <c:noMultiLvlLbl val="0"/>
      </c:catAx>
      <c:valAx>
        <c:axId val="983770639"/>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69996223"/>
        <c:crosses val="autoZero"/>
        <c:crossBetween val="between"/>
      </c:valAx>
      <c:spPr>
        <a:noFill/>
        <a:ln>
          <a:noFill/>
        </a:ln>
        <a:effectLst/>
      </c:spPr>
    </c:plotArea>
    <c:legend>
      <c:legendPos val="b"/>
      <c:layout>
        <c:manualLayout>
          <c:xMode val="edge"/>
          <c:yMode val="edge"/>
          <c:x val="2.8051181102362217E-3"/>
          <c:y val="0.8327529892096821"/>
          <c:w val="0.99716754155730536"/>
          <c:h val="0.16724701079031787"/>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[Insurance_Data.xlsx]FILTER!PivotTable2</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0.11627906976744178"/>
              <c:y val="9.469696969696969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12058570198105084"/>
              <c:y val="-2.5252525252525311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0.16365202411714039"/>
              <c:y val="-0.14520202020202019"/>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0.11627906976744178"/>
              <c:y val="9.469696969696969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0.12058570198105084"/>
              <c:y val="-2.5252525252525311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noFill/>
          </a:ln>
          <a:effectLst/>
        </c:spPr>
        <c:dLbl>
          <c:idx val="0"/>
          <c:layout>
            <c:manualLayout>
              <c:x val="-0.16365202411714039"/>
              <c:y val="-0.14520202020202019"/>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noFill/>
          </a:ln>
          <a:effectLst/>
        </c:spPr>
        <c:dLbl>
          <c:idx val="0"/>
          <c:layout>
            <c:manualLayout>
              <c:x val="0.11627906976744178"/>
              <c:y val="9.469696969696969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noFill/>
          </a:ln>
          <a:effectLst/>
        </c:spPr>
        <c:dLbl>
          <c:idx val="0"/>
          <c:layout>
            <c:manualLayout>
              <c:x val="-0.12058570198105084"/>
              <c:y val="-2.5252525252525311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w="19050">
            <a:noFill/>
          </a:ln>
          <a:effectLst/>
        </c:spPr>
        <c:dLbl>
          <c:idx val="0"/>
          <c:layout>
            <c:manualLayout>
              <c:x val="-0.16365202411714039"/>
              <c:y val="-0.14520202020202019"/>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212146037936897"/>
          <c:y val="8.2585222752139073E-2"/>
          <c:w val="0.59535876450386083"/>
          <c:h val="0.86673440999980755"/>
        </c:manualLayout>
      </c:layout>
      <c:doughnutChart>
        <c:varyColors val="1"/>
        <c:ser>
          <c:idx val="0"/>
          <c:order val="0"/>
          <c:tx>
            <c:strRef>
              <c:f>FILTER!$L$5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E94-46BA-9E95-ACBF014CCC2D}"/>
              </c:ext>
            </c:extLst>
          </c:dPt>
          <c:dPt>
            <c:idx val="1"/>
            <c:bubble3D val="0"/>
            <c:spPr>
              <a:solidFill>
                <a:schemeClr val="accent2"/>
              </a:solidFill>
              <a:ln w="19050">
                <a:noFill/>
              </a:ln>
              <a:effectLst/>
            </c:spPr>
            <c:extLst>
              <c:ext xmlns:c16="http://schemas.microsoft.com/office/drawing/2014/chart" uri="{C3380CC4-5D6E-409C-BE32-E72D297353CC}">
                <c16:uniqueId val="{00000003-DE94-46BA-9E95-ACBF014CCC2D}"/>
              </c:ext>
            </c:extLst>
          </c:dPt>
          <c:dPt>
            <c:idx val="2"/>
            <c:bubble3D val="0"/>
            <c:spPr>
              <a:solidFill>
                <a:schemeClr val="accent3"/>
              </a:solidFill>
              <a:ln w="19050">
                <a:noFill/>
              </a:ln>
              <a:effectLst/>
            </c:spPr>
            <c:extLst>
              <c:ext xmlns:c16="http://schemas.microsoft.com/office/drawing/2014/chart" uri="{C3380CC4-5D6E-409C-BE32-E72D297353CC}">
                <c16:uniqueId val="{00000005-DE94-46BA-9E95-ACBF014CCC2D}"/>
              </c:ext>
            </c:extLst>
          </c:dPt>
          <c:dLbls>
            <c:dLbl>
              <c:idx val="0"/>
              <c:layout>
                <c:manualLayout>
                  <c:x val="0.11627906976744178"/>
                  <c:y val="9.46969696969696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94-46BA-9E95-ACBF014CCC2D}"/>
                </c:ext>
              </c:extLst>
            </c:dLbl>
            <c:dLbl>
              <c:idx val="1"/>
              <c:layout>
                <c:manualLayout>
                  <c:x val="-0.12058570198105084"/>
                  <c:y val="-2.52525252525253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94-46BA-9E95-ACBF014CCC2D}"/>
                </c:ext>
              </c:extLst>
            </c:dLbl>
            <c:dLbl>
              <c:idx val="2"/>
              <c:layout>
                <c:manualLayout>
                  <c:x val="-0.16365202411714039"/>
                  <c:y val="-0.145202020202020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E94-46BA-9E95-ACBF014CCC2D}"/>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FILTER!$K$6:$K$9</c:f>
              <c:strCache>
                <c:ptCount val="3"/>
                <c:pt idx="0">
                  <c:v>Approved</c:v>
                </c:pt>
                <c:pt idx="1">
                  <c:v>Pending</c:v>
                </c:pt>
                <c:pt idx="2">
                  <c:v>Rejected</c:v>
                </c:pt>
              </c:strCache>
            </c:strRef>
          </c:cat>
          <c:val>
            <c:numRef>
              <c:f>FILTER!$L$6:$L$9</c:f>
              <c:numCache>
                <c:formatCode>General</c:formatCode>
                <c:ptCount val="3"/>
                <c:pt idx="0">
                  <c:v>99</c:v>
                </c:pt>
                <c:pt idx="1">
                  <c:v>15</c:v>
                </c:pt>
                <c:pt idx="2">
                  <c:v>25</c:v>
                </c:pt>
              </c:numCache>
            </c:numRef>
          </c:val>
          <c:extLst>
            <c:ext xmlns:c16="http://schemas.microsoft.com/office/drawing/2014/chart" uri="{C3380CC4-5D6E-409C-BE32-E72D297353CC}">
              <c16:uniqueId val="{00000006-DE94-46BA-9E95-ACBF014CCC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[Insurance_Data.xlsx]PIVOT!PivotTable18</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D3B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F6E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D3B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F6E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D3B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67580346931543"/>
          <c:y val="0.17571982376827597"/>
          <c:w val="0.73169979911010119"/>
          <c:h val="0.72625665157180785"/>
        </c:manualLayout>
      </c:layout>
      <c:barChart>
        <c:barDir val="bar"/>
        <c:grouping val="clustered"/>
        <c:varyColors val="0"/>
        <c:ser>
          <c:idx val="0"/>
          <c:order val="0"/>
          <c:tx>
            <c:strRef>
              <c:f>PIVOT!$S$4</c:f>
              <c:strCache>
                <c:ptCount val="1"/>
                <c:pt idx="0">
                  <c:v>Claim Amount</c:v>
                </c:pt>
              </c:strCache>
            </c:strRef>
          </c:tx>
          <c:spPr>
            <a:solidFill>
              <a:srgbClr val="0D3B6E"/>
            </a:solidFill>
            <a:ln>
              <a:noFill/>
            </a:ln>
            <a:effectLst/>
          </c:spPr>
          <c:invertIfNegative val="0"/>
          <c:cat>
            <c:strRef>
              <c:f>PIVOT!$R$5:$R$11</c:f>
              <c:strCache>
                <c:ptCount val="6"/>
                <c:pt idx="0">
                  <c:v>Motor 
Insurance</c:v>
                </c:pt>
                <c:pt idx="1">
                  <c:v>Life 
Insurance</c:v>
                </c:pt>
                <c:pt idx="2">
                  <c:v>Health 
Insurance</c:v>
                </c:pt>
                <c:pt idx="3">
                  <c:v>Business 
Insurance</c:v>
                </c:pt>
                <c:pt idx="4">
                  <c:v>Travel 
Insurance</c:v>
                </c:pt>
                <c:pt idx="5">
                  <c:v>Home 
Insurance</c:v>
                </c:pt>
              </c:strCache>
            </c:strRef>
          </c:cat>
          <c:val>
            <c:numRef>
              <c:f>PIVOT!$S$5:$S$11</c:f>
              <c:numCache>
                <c:formatCode>#,##0</c:formatCode>
                <c:ptCount val="6"/>
                <c:pt idx="0">
                  <c:v>2534754</c:v>
                </c:pt>
                <c:pt idx="1">
                  <c:v>1013256</c:v>
                </c:pt>
                <c:pt idx="2">
                  <c:v>1263870</c:v>
                </c:pt>
                <c:pt idx="3">
                  <c:v>1959060</c:v>
                </c:pt>
                <c:pt idx="4">
                  <c:v>371935</c:v>
                </c:pt>
                <c:pt idx="5">
                  <c:v>1195486</c:v>
                </c:pt>
              </c:numCache>
            </c:numRef>
          </c:val>
          <c:extLst>
            <c:ext xmlns:c16="http://schemas.microsoft.com/office/drawing/2014/chart" uri="{C3380CC4-5D6E-409C-BE32-E72D297353CC}">
              <c16:uniqueId val="{00000000-3948-4681-8444-E0ECFF6839ED}"/>
            </c:ext>
          </c:extLst>
        </c:ser>
        <c:ser>
          <c:idx val="1"/>
          <c:order val="1"/>
          <c:tx>
            <c:strRef>
              <c:f>PIVOT!$T$4</c:f>
              <c:strCache>
                <c:ptCount val="1"/>
                <c:pt idx="0">
                  <c:v>Premium Amount</c:v>
                </c:pt>
              </c:strCache>
            </c:strRef>
          </c:tx>
          <c:spPr>
            <a:solidFill>
              <a:schemeClr val="accent3">
                <a:lumMod val="75000"/>
              </a:schemeClr>
            </a:solidFill>
            <a:ln>
              <a:noFill/>
            </a:ln>
            <a:effectLst/>
          </c:spPr>
          <c:invertIfNegative val="0"/>
          <c:cat>
            <c:strRef>
              <c:f>PIVOT!$R$5:$R$11</c:f>
              <c:strCache>
                <c:ptCount val="6"/>
                <c:pt idx="0">
                  <c:v>Motor 
Insurance</c:v>
                </c:pt>
                <c:pt idx="1">
                  <c:v>Life 
Insurance</c:v>
                </c:pt>
                <c:pt idx="2">
                  <c:v>Health 
Insurance</c:v>
                </c:pt>
                <c:pt idx="3">
                  <c:v>Business 
Insurance</c:v>
                </c:pt>
                <c:pt idx="4">
                  <c:v>Travel 
Insurance</c:v>
                </c:pt>
                <c:pt idx="5">
                  <c:v>Home 
Insurance</c:v>
                </c:pt>
              </c:strCache>
            </c:strRef>
          </c:cat>
          <c:val>
            <c:numRef>
              <c:f>PIVOT!$T$5:$T$11</c:f>
              <c:numCache>
                <c:formatCode>#,##0</c:formatCode>
                <c:ptCount val="6"/>
                <c:pt idx="0">
                  <c:v>361729</c:v>
                </c:pt>
                <c:pt idx="1">
                  <c:v>154159</c:v>
                </c:pt>
                <c:pt idx="2">
                  <c:v>289757</c:v>
                </c:pt>
                <c:pt idx="3">
                  <c:v>178668</c:v>
                </c:pt>
                <c:pt idx="4">
                  <c:v>135610</c:v>
                </c:pt>
                <c:pt idx="5">
                  <c:v>115437</c:v>
                </c:pt>
              </c:numCache>
            </c:numRef>
          </c:val>
          <c:extLst>
            <c:ext xmlns:c16="http://schemas.microsoft.com/office/drawing/2014/chart" uri="{C3380CC4-5D6E-409C-BE32-E72D297353CC}">
              <c16:uniqueId val="{00000001-3948-4681-8444-E0ECFF6839ED}"/>
            </c:ext>
          </c:extLst>
        </c:ser>
        <c:dLbls>
          <c:showLegendKey val="0"/>
          <c:showVal val="0"/>
          <c:showCatName val="0"/>
          <c:showSerName val="0"/>
          <c:showPercent val="0"/>
          <c:showBubbleSize val="0"/>
        </c:dLbls>
        <c:gapWidth val="132"/>
        <c:axId val="1647613776"/>
        <c:axId val="1647616176"/>
      </c:barChart>
      <c:catAx>
        <c:axId val="1647613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47616176"/>
        <c:crosses val="autoZero"/>
        <c:auto val="1"/>
        <c:lblAlgn val="ctr"/>
        <c:lblOffset val="100"/>
        <c:noMultiLvlLbl val="0"/>
      </c:catAx>
      <c:valAx>
        <c:axId val="1647616176"/>
        <c:scaling>
          <c:orientation val="minMax"/>
        </c:scaling>
        <c:delete val="0"/>
        <c:axPos val="b"/>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613776"/>
        <c:crosses val="autoZero"/>
        <c:crossBetween val="between"/>
      </c:valAx>
      <c:spPr>
        <a:noFill/>
        <a:ln>
          <a:noFill/>
        </a:ln>
        <a:effectLst/>
      </c:spPr>
    </c:plotArea>
    <c:legend>
      <c:legendPos val="r"/>
      <c:layout>
        <c:manualLayout>
          <c:xMode val="edge"/>
          <c:yMode val="edge"/>
          <c:x val="6.6898230661046179E-2"/>
          <c:y val="7.0986005989744402E-2"/>
          <c:w val="0.83685026988272793"/>
          <c:h val="0.1068054016720759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[Insurance_Data.xlsx]PIVOT!PivotTable19</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3413323334583"/>
          <c:y val="0.20332717190388169"/>
          <c:w val="0.69365002214229399"/>
          <c:h val="0.65373833816059501"/>
        </c:manualLayout>
      </c:layout>
      <c:barChart>
        <c:barDir val="bar"/>
        <c:grouping val="percentStacked"/>
        <c:varyColors val="0"/>
        <c:ser>
          <c:idx val="0"/>
          <c:order val="0"/>
          <c:tx>
            <c:strRef>
              <c:f>PIVOT!$X$4:$X$5</c:f>
              <c:strCache>
                <c:ptCount val="1"/>
                <c:pt idx="0">
                  <c:v>Not Renewed</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PIVOT!$W$6:$W$8</c:f>
              <c:strCache>
                <c:ptCount val="2"/>
                <c:pt idx="0">
                  <c:v>Corporate</c:v>
                </c:pt>
                <c:pt idx="1">
                  <c:v>Retail</c:v>
                </c:pt>
              </c:strCache>
            </c:strRef>
          </c:cat>
          <c:val>
            <c:numRef>
              <c:f>PIVOT!$X$6:$X$8</c:f>
              <c:numCache>
                <c:formatCode>General</c:formatCode>
                <c:ptCount val="2"/>
                <c:pt idx="0">
                  <c:v>43</c:v>
                </c:pt>
                <c:pt idx="1">
                  <c:v>45</c:v>
                </c:pt>
              </c:numCache>
            </c:numRef>
          </c:val>
          <c:extLst>
            <c:ext xmlns:c16="http://schemas.microsoft.com/office/drawing/2014/chart" uri="{C3380CC4-5D6E-409C-BE32-E72D297353CC}">
              <c16:uniqueId val="{00000000-96D4-4522-9F6C-38672EC33B75}"/>
            </c:ext>
          </c:extLst>
        </c:ser>
        <c:ser>
          <c:idx val="1"/>
          <c:order val="1"/>
          <c:tx>
            <c:strRef>
              <c:f>PIVOT!$Y$4:$Y$5</c:f>
              <c:strCache>
                <c:ptCount val="1"/>
                <c:pt idx="0">
                  <c:v>Pending Renewal</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PIVOT!$W$6:$W$8</c:f>
              <c:strCache>
                <c:ptCount val="2"/>
                <c:pt idx="0">
                  <c:v>Corporate</c:v>
                </c:pt>
                <c:pt idx="1">
                  <c:v>Retail</c:v>
                </c:pt>
              </c:strCache>
            </c:strRef>
          </c:cat>
          <c:val>
            <c:numRef>
              <c:f>PIVOT!$Y$6:$Y$8</c:f>
              <c:numCache>
                <c:formatCode>General</c:formatCode>
                <c:ptCount val="2"/>
                <c:pt idx="0">
                  <c:v>49</c:v>
                </c:pt>
                <c:pt idx="1">
                  <c:v>49</c:v>
                </c:pt>
              </c:numCache>
            </c:numRef>
          </c:val>
          <c:extLst>
            <c:ext xmlns:c16="http://schemas.microsoft.com/office/drawing/2014/chart" uri="{C3380CC4-5D6E-409C-BE32-E72D297353CC}">
              <c16:uniqueId val="{00000001-96D4-4522-9F6C-38672EC33B75}"/>
            </c:ext>
          </c:extLst>
        </c:ser>
        <c:ser>
          <c:idx val="2"/>
          <c:order val="2"/>
          <c:tx>
            <c:strRef>
              <c:f>PIVOT!$Z$4:$Z$5</c:f>
              <c:strCache>
                <c:ptCount val="1"/>
                <c:pt idx="0">
                  <c:v>Renewed</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PIVOT!$W$6:$W$8</c:f>
              <c:strCache>
                <c:ptCount val="2"/>
                <c:pt idx="0">
                  <c:v>Corporate</c:v>
                </c:pt>
                <c:pt idx="1">
                  <c:v>Retail</c:v>
                </c:pt>
              </c:strCache>
            </c:strRef>
          </c:cat>
          <c:val>
            <c:numRef>
              <c:f>PIVOT!$Z$6:$Z$8</c:f>
              <c:numCache>
                <c:formatCode>General</c:formatCode>
                <c:ptCount val="2"/>
                <c:pt idx="0">
                  <c:v>43</c:v>
                </c:pt>
                <c:pt idx="1">
                  <c:v>43</c:v>
                </c:pt>
              </c:numCache>
            </c:numRef>
          </c:val>
          <c:extLst>
            <c:ext xmlns:c16="http://schemas.microsoft.com/office/drawing/2014/chart" uri="{C3380CC4-5D6E-409C-BE32-E72D297353CC}">
              <c16:uniqueId val="{00000002-96D4-4522-9F6C-38672EC33B75}"/>
            </c:ext>
          </c:extLst>
        </c:ser>
        <c:dLbls>
          <c:showLegendKey val="0"/>
          <c:showVal val="0"/>
          <c:showCatName val="0"/>
          <c:showSerName val="0"/>
          <c:showPercent val="0"/>
          <c:showBubbleSize val="0"/>
        </c:dLbls>
        <c:gapWidth val="150"/>
        <c:overlap val="100"/>
        <c:axId val="792140751"/>
        <c:axId val="792140271"/>
      </c:barChart>
      <c:catAx>
        <c:axId val="792140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92140271"/>
        <c:crosses val="autoZero"/>
        <c:auto val="1"/>
        <c:lblAlgn val="ctr"/>
        <c:lblOffset val="100"/>
        <c:noMultiLvlLbl val="0"/>
      </c:catAx>
      <c:valAx>
        <c:axId val="7921402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140751"/>
        <c:crosses val="autoZero"/>
        <c:crossBetween val="between"/>
      </c:valAx>
      <c:spPr>
        <a:noFill/>
        <a:ln>
          <a:noFill/>
        </a:ln>
        <a:effectLst/>
      </c:spPr>
    </c:plotArea>
    <c:legend>
      <c:legendPos val="r"/>
      <c:layout>
        <c:manualLayout>
          <c:xMode val="edge"/>
          <c:yMode val="edge"/>
          <c:x val="7.3650208959931504E-2"/>
          <c:y val="0.10048389013101758"/>
          <c:w val="0.83468816397950252"/>
          <c:h val="0.1024359478170589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3.xml"/><Relationship Id="rId21" Type="http://schemas.openxmlformats.org/officeDocument/2006/relationships/image" Target="../media/image12.svg"/><Relationship Id="rId7" Type="http://schemas.openxmlformats.org/officeDocument/2006/relationships/chart" Target="../charts/chart7.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20"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svg"/><Relationship Id="rId23" Type="http://schemas.openxmlformats.org/officeDocument/2006/relationships/image" Target="../media/image14.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png"/><Relationship Id="rId2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2</xdr:col>
      <xdr:colOff>118498</xdr:colOff>
      <xdr:row>2</xdr:row>
      <xdr:rowOff>160984</xdr:rowOff>
    </xdr:from>
    <xdr:to>
      <xdr:col>31</xdr:col>
      <xdr:colOff>7333</xdr:colOff>
      <xdr:row>45</xdr:row>
      <xdr:rowOff>93908</xdr:rowOff>
    </xdr:to>
    <xdr:sp macro="" textlink="">
      <xdr:nvSpPr>
        <xdr:cNvPr id="2" name="Rectangle 1">
          <a:extLst>
            <a:ext uri="{FF2B5EF4-FFF2-40B4-BE49-F238E27FC236}">
              <a16:creationId xmlns:a16="http://schemas.microsoft.com/office/drawing/2014/main" id="{D730474E-4A2C-3455-37F9-56C49F71D377}"/>
            </a:ext>
          </a:extLst>
        </xdr:cNvPr>
        <xdr:cNvSpPr/>
      </xdr:nvSpPr>
      <xdr:spPr>
        <a:xfrm>
          <a:off x="1325892" y="536618"/>
          <a:ext cx="17396054" cy="798222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233620</xdr:colOff>
      <xdr:row>3</xdr:row>
      <xdr:rowOff>107324</xdr:rowOff>
    </xdr:from>
    <xdr:to>
      <xdr:col>27</xdr:col>
      <xdr:colOff>241479</xdr:colOff>
      <xdr:row>9</xdr:row>
      <xdr:rowOff>47922</xdr:rowOff>
    </xdr:to>
    <xdr:sp macro="" textlink="">
      <xdr:nvSpPr>
        <xdr:cNvPr id="3" name="Rectangle: Rounded Corners 2">
          <a:extLst>
            <a:ext uri="{FF2B5EF4-FFF2-40B4-BE49-F238E27FC236}">
              <a16:creationId xmlns:a16="http://schemas.microsoft.com/office/drawing/2014/main" id="{150B2AF3-79D5-E023-9207-90E53C046DA2}"/>
            </a:ext>
          </a:extLst>
        </xdr:cNvPr>
        <xdr:cNvSpPr/>
      </xdr:nvSpPr>
      <xdr:spPr>
        <a:xfrm>
          <a:off x="1441014" y="670775"/>
          <a:ext cx="15100289" cy="1040668"/>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234019</xdr:colOff>
      <xdr:row>17</xdr:row>
      <xdr:rowOff>129853</xdr:rowOff>
    </xdr:from>
    <xdr:to>
      <xdr:col>8</xdr:col>
      <xdr:colOff>368807</xdr:colOff>
      <xdr:row>31</xdr:row>
      <xdr:rowOff>3784</xdr:rowOff>
    </xdr:to>
    <xdr:sp macro="" textlink="">
      <xdr:nvSpPr>
        <xdr:cNvPr id="15" name="Rectangle: Rounded Corners 14">
          <a:extLst>
            <a:ext uri="{FF2B5EF4-FFF2-40B4-BE49-F238E27FC236}">
              <a16:creationId xmlns:a16="http://schemas.microsoft.com/office/drawing/2014/main" id="{9931EBA3-B037-DCAC-978F-40A001E39F66}"/>
            </a:ext>
          </a:extLst>
        </xdr:cNvPr>
        <xdr:cNvSpPr/>
      </xdr:nvSpPr>
      <xdr:spPr>
        <a:xfrm>
          <a:off x="1441413" y="3295909"/>
          <a:ext cx="3756971" cy="25033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244530</xdr:colOff>
      <xdr:row>19</xdr:row>
      <xdr:rowOff>24272</xdr:rowOff>
    </xdr:from>
    <xdr:to>
      <xdr:col>8</xdr:col>
      <xdr:colOff>318934</xdr:colOff>
      <xdr:row>30</xdr:row>
      <xdr:rowOff>174528</xdr:rowOff>
    </xdr:to>
    <xdr:graphicFrame macro="">
      <xdr:nvGraphicFramePr>
        <xdr:cNvPr id="16" name="Chart 15">
          <a:extLst>
            <a:ext uri="{FF2B5EF4-FFF2-40B4-BE49-F238E27FC236}">
              <a16:creationId xmlns:a16="http://schemas.microsoft.com/office/drawing/2014/main" id="{FDF3E1AA-09F3-48BE-ADFB-C154544A8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397609</xdr:colOff>
      <xdr:row>17</xdr:row>
      <xdr:rowOff>118836</xdr:rowOff>
    </xdr:from>
    <xdr:to>
      <xdr:col>14</xdr:col>
      <xdr:colOff>532396</xdr:colOff>
      <xdr:row>30</xdr:row>
      <xdr:rowOff>180584</xdr:rowOff>
    </xdr:to>
    <xdr:sp macro="" textlink="">
      <xdr:nvSpPr>
        <xdr:cNvPr id="4" name="Rectangle: Rounded Corners 3">
          <a:extLst>
            <a:ext uri="{FF2B5EF4-FFF2-40B4-BE49-F238E27FC236}">
              <a16:creationId xmlns:a16="http://schemas.microsoft.com/office/drawing/2014/main" id="{1FE128A5-1ECB-4AD3-880D-0C1507DB01FA}"/>
            </a:ext>
          </a:extLst>
        </xdr:cNvPr>
        <xdr:cNvSpPr/>
      </xdr:nvSpPr>
      <xdr:spPr>
        <a:xfrm>
          <a:off x="5227186" y="3284892"/>
          <a:ext cx="3756971" cy="25033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569808</xdr:colOff>
      <xdr:row>17</xdr:row>
      <xdr:rowOff>102944</xdr:rowOff>
    </xdr:from>
    <xdr:to>
      <xdr:col>21</xdr:col>
      <xdr:colOff>98903</xdr:colOff>
      <xdr:row>30</xdr:row>
      <xdr:rowOff>164692</xdr:rowOff>
    </xdr:to>
    <xdr:sp macro="" textlink="">
      <xdr:nvSpPr>
        <xdr:cNvPr id="5" name="Rectangle: Rounded Corners 4">
          <a:extLst>
            <a:ext uri="{FF2B5EF4-FFF2-40B4-BE49-F238E27FC236}">
              <a16:creationId xmlns:a16="http://schemas.microsoft.com/office/drawing/2014/main" id="{F4A48E8D-4927-4BF5-9111-FBAB6286BE86}"/>
            </a:ext>
          </a:extLst>
        </xdr:cNvPr>
        <xdr:cNvSpPr/>
      </xdr:nvSpPr>
      <xdr:spPr>
        <a:xfrm>
          <a:off x="9021569" y="3269000"/>
          <a:ext cx="3754975" cy="250336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502015</xdr:colOff>
      <xdr:row>17</xdr:row>
      <xdr:rowOff>148878</xdr:rowOff>
    </xdr:from>
    <xdr:to>
      <xdr:col>8</xdr:col>
      <xdr:colOff>23323</xdr:colOff>
      <xdr:row>19</xdr:row>
      <xdr:rowOff>80493</xdr:rowOff>
    </xdr:to>
    <xdr:sp macro="" textlink="">
      <xdr:nvSpPr>
        <xdr:cNvPr id="6" name="TextBox 5">
          <a:extLst>
            <a:ext uri="{FF2B5EF4-FFF2-40B4-BE49-F238E27FC236}">
              <a16:creationId xmlns:a16="http://schemas.microsoft.com/office/drawing/2014/main" id="{45BF8E6A-F6A4-2472-4139-83AB9604D433}"/>
            </a:ext>
          </a:extLst>
        </xdr:cNvPr>
        <xdr:cNvSpPr txBox="1"/>
      </xdr:nvSpPr>
      <xdr:spPr>
        <a:xfrm>
          <a:off x="1709409" y="3314934"/>
          <a:ext cx="3143491" cy="30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tx2"/>
              </a:solidFill>
              <a:latin typeface="Aptos" panose="020B0004020202020204" pitchFamily="34" charset="0"/>
            </a:rPr>
            <a:t>Claim Amount by Policy Type</a:t>
          </a:r>
        </a:p>
      </xdr:txBody>
    </xdr:sp>
    <xdr:clientData/>
  </xdr:twoCellAnchor>
  <xdr:twoCellAnchor>
    <xdr:from>
      <xdr:col>9</xdr:col>
      <xdr:colOff>16608</xdr:colOff>
      <xdr:row>17</xdr:row>
      <xdr:rowOff>184744</xdr:rowOff>
    </xdr:from>
    <xdr:to>
      <xdr:col>14</xdr:col>
      <xdr:colOff>143608</xdr:colOff>
      <xdr:row>19</xdr:row>
      <xdr:rowOff>116359</xdr:rowOff>
    </xdr:to>
    <xdr:sp macro="" textlink="">
      <xdr:nvSpPr>
        <xdr:cNvPr id="8" name="TextBox 7">
          <a:extLst>
            <a:ext uri="{FF2B5EF4-FFF2-40B4-BE49-F238E27FC236}">
              <a16:creationId xmlns:a16="http://schemas.microsoft.com/office/drawing/2014/main" id="{C910DA86-32F1-4417-B30E-FB7229E63F8D}"/>
            </a:ext>
          </a:extLst>
        </xdr:cNvPr>
        <xdr:cNvSpPr txBox="1"/>
      </xdr:nvSpPr>
      <xdr:spPr>
        <a:xfrm>
          <a:off x="5449883" y="3350800"/>
          <a:ext cx="3145486" cy="30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solidFill>
              <a:latin typeface="Aptos" panose="020B0004020202020204" pitchFamily="34" charset="0"/>
              <a:ea typeface="+mn-ea"/>
              <a:cs typeface="+mn-cs"/>
            </a:rPr>
            <a:t>Claim Approval Rate by Branch</a:t>
          </a:r>
        </a:p>
      </xdr:txBody>
    </xdr:sp>
    <xdr:clientData/>
  </xdr:twoCellAnchor>
  <xdr:twoCellAnchor>
    <xdr:from>
      <xdr:col>2</xdr:col>
      <xdr:colOff>192454</xdr:colOff>
      <xdr:row>31</xdr:row>
      <xdr:rowOff>165344</xdr:rowOff>
    </xdr:from>
    <xdr:to>
      <xdr:col>8</xdr:col>
      <xdr:colOff>327242</xdr:colOff>
      <xdr:row>45</xdr:row>
      <xdr:rowOff>41477</xdr:rowOff>
    </xdr:to>
    <xdr:sp macro="" textlink="">
      <xdr:nvSpPr>
        <xdr:cNvPr id="9" name="Rectangle: Rounded Corners 8">
          <a:extLst>
            <a:ext uri="{FF2B5EF4-FFF2-40B4-BE49-F238E27FC236}">
              <a16:creationId xmlns:a16="http://schemas.microsoft.com/office/drawing/2014/main" id="{3B1C218E-72D0-4A4E-8FCD-9FC92B928D01}"/>
            </a:ext>
          </a:extLst>
        </xdr:cNvPr>
        <xdr:cNvSpPr/>
      </xdr:nvSpPr>
      <xdr:spPr>
        <a:xfrm>
          <a:off x="1403839" y="4434498"/>
          <a:ext cx="3768941" cy="24747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378070</xdr:colOff>
      <xdr:row>31</xdr:row>
      <xdr:rowOff>155574</xdr:rowOff>
    </xdr:from>
    <xdr:to>
      <xdr:col>14</xdr:col>
      <xdr:colOff>512857</xdr:colOff>
      <xdr:row>45</xdr:row>
      <xdr:rowOff>31707</xdr:rowOff>
    </xdr:to>
    <xdr:sp macro="" textlink="">
      <xdr:nvSpPr>
        <xdr:cNvPr id="10" name="Rectangle: Rounded Corners 9">
          <a:extLst>
            <a:ext uri="{FF2B5EF4-FFF2-40B4-BE49-F238E27FC236}">
              <a16:creationId xmlns:a16="http://schemas.microsoft.com/office/drawing/2014/main" id="{6C56CC32-ACC3-462F-A297-0C5D7457B000}"/>
            </a:ext>
          </a:extLst>
        </xdr:cNvPr>
        <xdr:cNvSpPr/>
      </xdr:nvSpPr>
      <xdr:spPr>
        <a:xfrm>
          <a:off x="5260788" y="6148001"/>
          <a:ext cx="3796826" cy="2594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573454</xdr:colOff>
      <xdr:row>31</xdr:row>
      <xdr:rowOff>136036</xdr:rowOff>
    </xdr:from>
    <xdr:to>
      <xdr:col>21</xdr:col>
      <xdr:colOff>102549</xdr:colOff>
      <xdr:row>45</xdr:row>
      <xdr:rowOff>12169</xdr:rowOff>
    </xdr:to>
    <xdr:sp macro="" textlink="">
      <xdr:nvSpPr>
        <xdr:cNvPr id="17" name="Rectangle: Rounded Corners 16">
          <a:extLst>
            <a:ext uri="{FF2B5EF4-FFF2-40B4-BE49-F238E27FC236}">
              <a16:creationId xmlns:a16="http://schemas.microsoft.com/office/drawing/2014/main" id="{F596CA5E-03EE-4A62-9C36-F591A5609B09}"/>
            </a:ext>
          </a:extLst>
        </xdr:cNvPr>
        <xdr:cNvSpPr/>
      </xdr:nvSpPr>
      <xdr:spPr>
        <a:xfrm>
          <a:off x="9053146" y="4405190"/>
          <a:ext cx="3768941" cy="24747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152663</xdr:colOff>
      <xdr:row>17</xdr:row>
      <xdr:rowOff>134729</xdr:rowOff>
    </xdr:from>
    <xdr:to>
      <xdr:col>20</xdr:col>
      <xdr:colOff>403732</xdr:colOff>
      <xdr:row>19</xdr:row>
      <xdr:rowOff>76846</xdr:rowOff>
    </xdr:to>
    <xdr:sp macro="" textlink="">
      <xdr:nvSpPr>
        <xdr:cNvPr id="21" name="TextBox 20">
          <a:extLst>
            <a:ext uri="{FF2B5EF4-FFF2-40B4-BE49-F238E27FC236}">
              <a16:creationId xmlns:a16="http://schemas.microsoft.com/office/drawing/2014/main" id="{DFF695CF-9FFB-40AF-A341-8DF8D8C4B7DF}"/>
            </a:ext>
          </a:extLst>
        </xdr:cNvPr>
        <xdr:cNvSpPr txBox="1"/>
      </xdr:nvSpPr>
      <xdr:spPr>
        <a:xfrm>
          <a:off x="9208121" y="3300785"/>
          <a:ext cx="3269555" cy="317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solidFill>
              <a:latin typeface="Aptos" panose="020B0004020202020204" pitchFamily="34" charset="0"/>
              <a:ea typeface="+mn-ea"/>
              <a:cs typeface="+mn-cs"/>
            </a:rPr>
            <a:t>Most Frequent Claim Reason</a:t>
          </a:r>
        </a:p>
      </xdr:txBody>
    </xdr:sp>
    <xdr:clientData/>
  </xdr:twoCellAnchor>
  <xdr:twoCellAnchor>
    <xdr:from>
      <xdr:col>2</xdr:col>
      <xdr:colOff>29307</xdr:colOff>
      <xdr:row>31</xdr:row>
      <xdr:rowOff>175112</xdr:rowOff>
    </xdr:from>
    <xdr:to>
      <xdr:col>8</xdr:col>
      <xdr:colOff>214923</xdr:colOff>
      <xdr:row>34</xdr:row>
      <xdr:rowOff>146537</xdr:rowOff>
    </xdr:to>
    <xdr:sp macro="" textlink="">
      <xdr:nvSpPr>
        <xdr:cNvPr id="22" name="TextBox 21">
          <a:extLst>
            <a:ext uri="{FF2B5EF4-FFF2-40B4-BE49-F238E27FC236}">
              <a16:creationId xmlns:a16="http://schemas.microsoft.com/office/drawing/2014/main" id="{24060C06-1912-41D4-8E1A-78C1E0A18DF8}"/>
            </a:ext>
          </a:extLst>
        </xdr:cNvPr>
        <xdr:cNvSpPr txBox="1"/>
      </xdr:nvSpPr>
      <xdr:spPr>
        <a:xfrm>
          <a:off x="1240692" y="4444266"/>
          <a:ext cx="3819769" cy="5282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solidFill>
              <a:latin typeface="Aptos" panose="020B0004020202020204" pitchFamily="34" charset="0"/>
              <a:ea typeface="+mn-ea"/>
              <a:cs typeface="+mn-cs"/>
            </a:rPr>
            <a:t>Avg Settlement Time by Policy Type &amp; Channel</a:t>
          </a:r>
        </a:p>
      </xdr:txBody>
    </xdr:sp>
    <xdr:clientData/>
  </xdr:twoCellAnchor>
  <xdr:twoCellAnchor>
    <xdr:from>
      <xdr:col>21</xdr:col>
      <xdr:colOff>142441</xdr:colOff>
      <xdr:row>17</xdr:row>
      <xdr:rowOff>67790</xdr:rowOff>
    </xdr:from>
    <xdr:to>
      <xdr:col>27</xdr:col>
      <xdr:colOff>277228</xdr:colOff>
      <xdr:row>30</xdr:row>
      <xdr:rowOff>131739</xdr:rowOff>
    </xdr:to>
    <xdr:sp macro="" textlink="">
      <xdr:nvSpPr>
        <xdr:cNvPr id="28" name="Rectangle: Rounded Corners 27">
          <a:extLst>
            <a:ext uri="{FF2B5EF4-FFF2-40B4-BE49-F238E27FC236}">
              <a16:creationId xmlns:a16="http://schemas.microsoft.com/office/drawing/2014/main" id="{077F299A-0310-4EDD-BAF0-0F72CB7D5CA4}"/>
            </a:ext>
          </a:extLst>
        </xdr:cNvPr>
        <xdr:cNvSpPr/>
      </xdr:nvSpPr>
      <xdr:spPr>
        <a:xfrm>
          <a:off x="12820082" y="3233846"/>
          <a:ext cx="3756970" cy="25055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414670</xdr:colOff>
      <xdr:row>18</xdr:row>
      <xdr:rowOff>17199</xdr:rowOff>
    </xdr:from>
    <xdr:to>
      <xdr:col>14</xdr:col>
      <xdr:colOff>427370</xdr:colOff>
      <xdr:row>30</xdr:row>
      <xdr:rowOff>185478</xdr:rowOff>
    </xdr:to>
    <xdr:graphicFrame macro="">
      <xdr:nvGraphicFramePr>
        <xdr:cNvPr id="30" name="Chart 29">
          <a:extLst>
            <a:ext uri="{FF2B5EF4-FFF2-40B4-BE49-F238E27FC236}">
              <a16:creationId xmlns:a16="http://schemas.microsoft.com/office/drawing/2014/main" id="{FFAB7C5B-C693-455E-AEF0-A0805396A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172916</xdr:colOff>
      <xdr:row>31</xdr:row>
      <xdr:rowOff>136036</xdr:rowOff>
    </xdr:from>
    <xdr:to>
      <xdr:col>27</xdr:col>
      <xdr:colOff>307703</xdr:colOff>
      <xdr:row>45</xdr:row>
      <xdr:rowOff>12169</xdr:rowOff>
    </xdr:to>
    <xdr:sp macro="" textlink="">
      <xdr:nvSpPr>
        <xdr:cNvPr id="31" name="Rectangle: Rounded Corners 30">
          <a:extLst>
            <a:ext uri="{FF2B5EF4-FFF2-40B4-BE49-F238E27FC236}">
              <a16:creationId xmlns:a16="http://schemas.microsoft.com/office/drawing/2014/main" id="{5D780C2C-4DAD-4BDA-9713-1DED45E7FD8A}"/>
            </a:ext>
          </a:extLst>
        </xdr:cNvPr>
        <xdr:cNvSpPr/>
      </xdr:nvSpPr>
      <xdr:spPr>
        <a:xfrm>
          <a:off x="12892454" y="4405190"/>
          <a:ext cx="3768941" cy="247474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397609</xdr:colOff>
      <xdr:row>31</xdr:row>
      <xdr:rowOff>175113</xdr:rowOff>
    </xdr:from>
    <xdr:to>
      <xdr:col>27</xdr:col>
      <xdr:colOff>42985</xdr:colOff>
      <xdr:row>33</xdr:row>
      <xdr:rowOff>117230</xdr:rowOff>
    </xdr:to>
    <xdr:sp macro="" textlink="">
      <xdr:nvSpPr>
        <xdr:cNvPr id="32" name="TextBox 31">
          <a:extLst>
            <a:ext uri="{FF2B5EF4-FFF2-40B4-BE49-F238E27FC236}">
              <a16:creationId xmlns:a16="http://schemas.microsoft.com/office/drawing/2014/main" id="{81EBC735-966B-4EA2-B76A-F6E1E28A9A12}"/>
            </a:ext>
          </a:extLst>
        </xdr:cNvPr>
        <xdr:cNvSpPr txBox="1"/>
      </xdr:nvSpPr>
      <xdr:spPr>
        <a:xfrm>
          <a:off x="13117147" y="4444267"/>
          <a:ext cx="3279530" cy="313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solidFill>
              <a:latin typeface="Aptos" panose="020B0004020202020204" pitchFamily="34" charset="0"/>
              <a:ea typeface="+mn-ea"/>
              <a:cs typeface="+mn-cs"/>
            </a:rPr>
            <a:t>Most Costly Claim Reason</a:t>
          </a:r>
        </a:p>
      </xdr:txBody>
    </xdr:sp>
    <xdr:clientData/>
  </xdr:twoCellAnchor>
  <xdr:twoCellAnchor>
    <xdr:from>
      <xdr:col>15</xdr:col>
      <xdr:colOff>6837</xdr:colOff>
      <xdr:row>18</xdr:row>
      <xdr:rowOff>101774</xdr:rowOff>
    </xdr:from>
    <xdr:to>
      <xdr:col>22</xdr:col>
      <xdr:colOff>156306</xdr:colOff>
      <xdr:row>30</xdr:row>
      <xdr:rowOff>146138</xdr:rowOff>
    </xdr:to>
    <xdr:graphicFrame macro="">
      <xdr:nvGraphicFramePr>
        <xdr:cNvPr id="33" name="Chart 32">
          <a:extLst>
            <a:ext uri="{FF2B5EF4-FFF2-40B4-BE49-F238E27FC236}">
              <a16:creationId xmlns:a16="http://schemas.microsoft.com/office/drawing/2014/main" id="{45D3000F-2230-4A90-A890-9EC23292E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192454</xdr:colOff>
      <xdr:row>31</xdr:row>
      <xdr:rowOff>165344</xdr:rowOff>
    </xdr:from>
    <xdr:to>
      <xdr:col>8</xdr:col>
      <xdr:colOff>528321</xdr:colOff>
      <xdr:row>45</xdr:row>
      <xdr:rowOff>39077</xdr:rowOff>
    </xdr:to>
    <xdr:graphicFrame macro="">
      <xdr:nvGraphicFramePr>
        <xdr:cNvPr id="7" name="Chart 6">
          <a:extLst>
            <a:ext uri="{FF2B5EF4-FFF2-40B4-BE49-F238E27FC236}">
              <a16:creationId xmlns:a16="http://schemas.microsoft.com/office/drawing/2014/main" id="{AC2CC814-645C-4EDE-BA7E-71C981546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426915</xdr:colOff>
      <xdr:row>46</xdr:row>
      <xdr:rowOff>145805</xdr:rowOff>
    </xdr:from>
    <xdr:to>
      <xdr:col>14</xdr:col>
      <xdr:colOff>381000</xdr:colOff>
      <xdr:row>58</xdr:row>
      <xdr:rowOff>156309</xdr:rowOff>
    </xdr:to>
    <xdr:graphicFrame macro="">
      <xdr:nvGraphicFramePr>
        <xdr:cNvPr id="37" name="Chart 36">
          <a:extLst>
            <a:ext uri="{FF2B5EF4-FFF2-40B4-BE49-F238E27FC236}">
              <a16:creationId xmlns:a16="http://schemas.microsoft.com/office/drawing/2014/main" id="{5B1C4959-034D-452C-AA15-4F80D3C34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457047</xdr:colOff>
      <xdr:row>4</xdr:row>
      <xdr:rowOff>26831</xdr:rowOff>
    </xdr:from>
    <xdr:to>
      <xdr:col>20</xdr:col>
      <xdr:colOff>346211</xdr:colOff>
      <xdr:row>7</xdr:row>
      <xdr:rowOff>53260</xdr:rowOff>
    </xdr:to>
    <xdr:sp macro="" textlink="">
      <xdr:nvSpPr>
        <xdr:cNvPr id="40" name="TextBox 39">
          <a:extLst>
            <a:ext uri="{FF2B5EF4-FFF2-40B4-BE49-F238E27FC236}">
              <a16:creationId xmlns:a16="http://schemas.microsoft.com/office/drawing/2014/main" id="{9F5D2973-5139-6A06-A1B1-B6B58EE40650}"/>
            </a:ext>
          </a:extLst>
        </xdr:cNvPr>
        <xdr:cNvSpPr txBox="1"/>
      </xdr:nvSpPr>
      <xdr:spPr>
        <a:xfrm>
          <a:off x="1664441" y="778099"/>
          <a:ext cx="10755714" cy="589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i="0">
              <a:solidFill>
                <a:schemeClr val="bg1"/>
              </a:solidFill>
              <a:effectLst/>
              <a:latin typeface="+mn-lt"/>
              <a:ea typeface="+mn-ea"/>
              <a:cs typeface="+mn-cs"/>
            </a:rPr>
            <a:t>Insurance Claims Analytics Dashboard </a:t>
          </a:r>
        </a:p>
        <a:p>
          <a:endParaRPr lang="en-IN" sz="2800">
            <a:solidFill>
              <a:schemeClr val="bg1"/>
            </a:solidFill>
          </a:endParaRPr>
        </a:p>
      </xdr:txBody>
    </xdr:sp>
    <xdr:clientData/>
  </xdr:twoCellAnchor>
  <xdr:twoCellAnchor>
    <xdr:from>
      <xdr:col>2</xdr:col>
      <xdr:colOff>393975</xdr:colOff>
      <xdr:row>6</xdr:row>
      <xdr:rowOff>19184</xdr:rowOff>
    </xdr:from>
    <xdr:to>
      <xdr:col>9</xdr:col>
      <xdr:colOff>574084</xdr:colOff>
      <xdr:row>7</xdr:row>
      <xdr:rowOff>156758</xdr:rowOff>
    </xdr:to>
    <xdr:sp macro="" textlink="">
      <xdr:nvSpPr>
        <xdr:cNvPr id="41" name="TextBox 40">
          <a:extLst>
            <a:ext uri="{FF2B5EF4-FFF2-40B4-BE49-F238E27FC236}">
              <a16:creationId xmlns:a16="http://schemas.microsoft.com/office/drawing/2014/main" id="{28380388-65E3-4BF3-AAA8-9F86ADEAC12F}"/>
            </a:ext>
          </a:extLst>
        </xdr:cNvPr>
        <xdr:cNvSpPr txBox="1"/>
      </xdr:nvSpPr>
      <xdr:spPr>
        <a:xfrm>
          <a:off x="1629651" y="1100400"/>
          <a:ext cx="4504974" cy="317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2000" b="0" i="0">
              <a:solidFill>
                <a:schemeClr val="bg1"/>
              </a:solidFill>
              <a:effectLst/>
              <a:latin typeface="+mn-lt"/>
              <a:ea typeface="+mn-ea"/>
              <a:cs typeface="+mn-cs"/>
            </a:rPr>
            <a:t>BLUE KWET Management Consultancies </a:t>
          </a:r>
          <a:endParaRPr lang="en-IN" sz="2000" b="1">
            <a:solidFill>
              <a:schemeClr val="bg1"/>
            </a:solidFill>
            <a:latin typeface="Aptos" panose="020B0004020202020204" pitchFamily="34" charset="0"/>
            <a:ea typeface="+mn-ea"/>
            <a:cs typeface="+mn-cs"/>
          </a:endParaRPr>
        </a:p>
      </xdr:txBody>
    </xdr:sp>
    <xdr:clientData/>
  </xdr:twoCellAnchor>
  <xdr:twoCellAnchor>
    <xdr:from>
      <xdr:col>21</xdr:col>
      <xdr:colOff>160127</xdr:colOff>
      <xdr:row>32</xdr:row>
      <xdr:rowOff>110281</xdr:rowOff>
    </xdr:from>
    <xdr:to>
      <xdr:col>27</xdr:col>
      <xdr:colOff>358247</xdr:colOff>
      <xdr:row>44</xdr:row>
      <xdr:rowOff>59712</xdr:rowOff>
    </xdr:to>
    <xdr:graphicFrame macro="">
      <xdr:nvGraphicFramePr>
        <xdr:cNvPr id="42" name="Chart 41">
          <a:extLst>
            <a:ext uri="{FF2B5EF4-FFF2-40B4-BE49-F238E27FC236}">
              <a16:creationId xmlns:a16="http://schemas.microsoft.com/office/drawing/2014/main" id="{1801FCFE-3AA9-47C2-811A-B600A381D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233951</xdr:colOff>
      <xdr:row>9</xdr:row>
      <xdr:rowOff>97413</xdr:rowOff>
    </xdr:from>
    <xdr:to>
      <xdr:col>7</xdr:col>
      <xdr:colOff>152887</xdr:colOff>
      <xdr:row>16</xdr:row>
      <xdr:rowOff>174402</xdr:rowOff>
    </xdr:to>
    <xdr:sp macro="" textlink="">
      <xdr:nvSpPr>
        <xdr:cNvPr id="47" name="Rectangle: Rounded Corners 46">
          <a:extLst>
            <a:ext uri="{FF2B5EF4-FFF2-40B4-BE49-F238E27FC236}">
              <a16:creationId xmlns:a16="http://schemas.microsoft.com/office/drawing/2014/main" id="{0AA2FDD3-CBD2-ACEF-5710-B5CB6B4FDE92}"/>
            </a:ext>
          </a:extLst>
        </xdr:cNvPr>
        <xdr:cNvSpPr/>
      </xdr:nvSpPr>
      <xdr:spPr>
        <a:xfrm>
          <a:off x="1441345" y="1760934"/>
          <a:ext cx="2937422" cy="1391707"/>
        </a:xfrm>
        <a:prstGeom prst="roundRect">
          <a:avLst/>
        </a:prstGeom>
        <a:solidFill>
          <a:srgbClr val="0D3B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240914</xdr:colOff>
      <xdr:row>9</xdr:row>
      <xdr:rowOff>89158</xdr:rowOff>
    </xdr:from>
    <xdr:to>
      <xdr:col>12</xdr:col>
      <xdr:colOff>159851</xdr:colOff>
      <xdr:row>17</xdr:row>
      <xdr:rowOff>13417</xdr:rowOff>
    </xdr:to>
    <xdr:sp macro="" textlink="">
      <xdr:nvSpPr>
        <xdr:cNvPr id="55" name="Rectangle: Rounded Corners 54">
          <a:extLst>
            <a:ext uri="{FF2B5EF4-FFF2-40B4-BE49-F238E27FC236}">
              <a16:creationId xmlns:a16="http://schemas.microsoft.com/office/drawing/2014/main" id="{37F135EE-672B-4267-90A0-7768CD368FD5}"/>
            </a:ext>
          </a:extLst>
        </xdr:cNvPr>
        <xdr:cNvSpPr/>
      </xdr:nvSpPr>
      <xdr:spPr>
        <a:xfrm>
          <a:off x="4466794" y="1752679"/>
          <a:ext cx="2937423" cy="1426794"/>
        </a:xfrm>
        <a:prstGeom prst="roundRect">
          <a:avLst/>
        </a:prstGeom>
        <a:solidFill>
          <a:srgbClr val="0D3B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269711</xdr:colOff>
      <xdr:row>9</xdr:row>
      <xdr:rowOff>89909</xdr:rowOff>
    </xdr:from>
    <xdr:to>
      <xdr:col>17</xdr:col>
      <xdr:colOff>188647</xdr:colOff>
      <xdr:row>16</xdr:row>
      <xdr:rowOff>174402</xdr:rowOff>
    </xdr:to>
    <xdr:sp macro="" textlink="">
      <xdr:nvSpPr>
        <xdr:cNvPr id="56" name="Rectangle: Rounded Corners 55">
          <a:extLst>
            <a:ext uri="{FF2B5EF4-FFF2-40B4-BE49-F238E27FC236}">
              <a16:creationId xmlns:a16="http://schemas.microsoft.com/office/drawing/2014/main" id="{591D4E49-7C1F-4C60-AAED-CF180FD01741}"/>
            </a:ext>
          </a:extLst>
        </xdr:cNvPr>
        <xdr:cNvSpPr/>
      </xdr:nvSpPr>
      <xdr:spPr>
        <a:xfrm>
          <a:off x="7514077" y="1753430"/>
          <a:ext cx="2937422" cy="1399211"/>
        </a:xfrm>
        <a:prstGeom prst="roundRect">
          <a:avLst/>
        </a:prstGeom>
        <a:solidFill>
          <a:srgbClr val="0D3B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295207</xdr:colOff>
      <xdr:row>9</xdr:row>
      <xdr:rowOff>87337</xdr:rowOff>
    </xdr:from>
    <xdr:to>
      <xdr:col>22</xdr:col>
      <xdr:colOff>214144</xdr:colOff>
      <xdr:row>16</xdr:row>
      <xdr:rowOff>147571</xdr:rowOff>
    </xdr:to>
    <xdr:sp macro="" textlink="">
      <xdr:nvSpPr>
        <xdr:cNvPr id="57" name="Rectangle: Rounded Corners 56">
          <a:extLst>
            <a:ext uri="{FF2B5EF4-FFF2-40B4-BE49-F238E27FC236}">
              <a16:creationId xmlns:a16="http://schemas.microsoft.com/office/drawing/2014/main" id="{EFB2E418-5F4B-4B9B-8B75-A6F099ABCA2E}"/>
            </a:ext>
          </a:extLst>
        </xdr:cNvPr>
        <xdr:cNvSpPr/>
      </xdr:nvSpPr>
      <xdr:spPr>
        <a:xfrm>
          <a:off x="10558059" y="1750858"/>
          <a:ext cx="2937423" cy="1374952"/>
        </a:xfrm>
        <a:prstGeom prst="roundRect">
          <a:avLst/>
        </a:prstGeom>
        <a:solidFill>
          <a:srgbClr val="0D3B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305103</xdr:colOff>
      <xdr:row>9</xdr:row>
      <xdr:rowOff>80752</xdr:rowOff>
    </xdr:from>
    <xdr:to>
      <xdr:col>27</xdr:col>
      <xdr:colOff>224039</xdr:colOff>
      <xdr:row>16</xdr:row>
      <xdr:rowOff>134155</xdr:rowOff>
    </xdr:to>
    <xdr:sp macro="" textlink="">
      <xdr:nvSpPr>
        <xdr:cNvPr id="58" name="Rectangle: Rounded Corners 57">
          <a:extLst>
            <a:ext uri="{FF2B5EF4-FFF2-40B4-BE49-F238E27FC236}">
              <a16:creationId xmlns:a16="http://schemas.microsoft.com/office/drawing/2014/main" id="{CE6226FA-5791-4DAD-99D2-4A42E1B865DE}"/>
            </a:ext>
          </a:extLst>
        </xdr:cNvPr>
        <xdr:cNvSpPr/>
      </xdr:nvSpPr>
      <xdr:spPr>
        <a:xfrm>
          <a:off x="13586441" y="1744273"/>
          <a:ext cx="2937422" cy="1368121"/>
        </a:xfrm>
        <a:prstGeom prst="roundRect">
          <a:avLst/>
        </a:prstGeom>
        <a:solidFill>
          <a:srgbClr val="0D3B6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45590</xdr:colOff>
      <xdr:row>10</xdr:row>
      <xdr:rowOff>113168</xdr:rowOff>
    </xdr:from>
    <xdr:to>
      <xdr:col>5</xdr:col>
      <xdr:colOff>72879</xdr:colOff>
      <xdr:row>12</xdr:row>
      <xdr:rowOff>55286</xdr:rowOff>
    </xdr:to>
    <xdr:sp macro="" textlink="">
      <xdr:nvSpPr>
        <xdr:cNvPr id="60" name="TextBox 59">
          <a:extLst>
            <a:ext uri="{FF2B5EF4-FFF2-40B4-BE49-F238E27FC236}">
              <a16:creationId xmlns:a16="http://schemas.microsoft.com/office/drawing/2014/main" id="{F7B97502-D5EE-48A0-B736-9AC370ED4695}"/>
            </a:ext>
          </a:extLst>
        </xdr:cNvPr>
        <xdr:cNvSpPr txBox="1"/>
      </xdr:nvSpPr>
      <xdr:spPr>
        <a:xfrm>
          <a:off x="1252984" y="1964506"/>
          <a:ext cx="1838381" cy="317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rPr>
            <a:t>Total Claims</a:t>
          </a:r>
          <a:endParaRPr lang="en-IN" sz="1400" b="1">
            <a:solidFill>
              <a:schemeClr val="bg1">
                <a:lumMod val="95000"/>
              </a:schemeClr>
            </a:solidFill>
            <a:latin typeface="Aptos" panose="020B0004020202020204" pitchFamily="34" charset="0"/>
            <a:ea typeface="+mn-ea"/>
            <a:cs typeface="+mn-cs"/>
          </a:endParaRPr>
        </a:p>
      </xdr:txBody>
    </xdr:sp>
    <xdr:clientData/>
  </xdr:twoCellAnchor>
  <xdr:twoCellAnchor>
    <xdr:from>
      <xdr:col>2</xdr:col>
      <xdr:colOff>47817</xdr:colOff>
      <xdr:row>14</xdr:row>
      <xdr:rowOff>157058</xdr:rowOff>
    </xdr:from>
    <xdr:to>
      <xdr:col>5</xdr:col>
      <xdr:colOff>71411</xdr:colOff>
      <xdr:row>16</xdr:row>
      <xdr:rowOff>99175</xdr:rowOff>
    </xdr:to>
    <xdr:sp macro="" textlink="">
      <xdr:nvSpPr>
        <xdr:cNvPr id="62" name="TextBox 61">
          <a:extLst>
            <a:ext uri="{FF2B5EF4-FFF2-40B4-BE49-F238E27FC236}">
              <a16:creationId xmlns:a16="http://schemas.microsoft.com/office/drawing/2014/main" id="{D53FAE7E-6EE4-4061-AB6F-181C2051F2CC}"/>
            </a:ext>
          </a:extLst>
        </xdr:cNvPr>
        <xdr:cNvSpPr txBox="1"/>
      </xdr:nvSpPr>
      <xdr:spPr>
        <a:xfrm>
          <a:off x="1255211" y="2759664"/>
          <a:ext cx="1834686" cy="31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latin typeface="+mn-lt"/>
              <a:ea typeface="+mn-ea"/>
              <a:cs typeface="+mn-cs"/>
            </a:rPr>
            <a:t>All policies</a:t>
          </a:r>
        </a:p>
      </xdr:txBody>
    </xdr:sp>
    <xdr:clientData/>
  </xdr:twoCellAnchor>
  <xdr:twoCellAnchor>
    <xdr:from>
      <xdr:col>2</xdr:col>
      <xdr:colOff>173424</xdr:colOff>
      <xdr:row>10</xdr:row>
      <xdr:rowOff>173942</xdr:rowOff>
    </xdr:from>
    <xdr:to>
      <xdr:col>4</xdr:col>
      <xdr:colOff>573419</xdr:colOff>
      <xdr:row>15</xdr:row>
      <xdr:rowOff>161421</xdr:rowOff>
    </xdr:to>
    <xdr:sp macro="" textlink="$C$94">
      <xdr:nvSpPr>
        <xdr:cNvPr id="63" name="TextBox 62">
          <a:extLst>
            <a:ext uri="{FF2B5EF4-FFF2-40B4-BE49-F238E27FC236}">
              <a16:creationId xmlns:a16="http://schemas.microsoft.com/office/drawing/2014/main" id="{7BF711D6-EB35-4751-9256-F7B9239B8042}"/>
            </a:ext>
          </a:extLst>
        </xdr:cNvPr>
        <xdr:cNvSpPr txBox="1"/>
      </xdr:nvSpPr>
      <xdr:spPr>
        <a:xfrm>
          <a:off x="1380818" y="2025280"/>
          <a:ext cx="1607390" cy="926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8FA6544-0419-416F-AE6B-CF7136AB2618}" type="TxLink">
            <a:rPr lang="en-US" sz="5400" b="0" i="0" u="none" strike="noStrike">
              <a:solidFill>
                <a:schemeClr val="bg1"/>
              </a:solidFill>
              <a:latin typeface="Calibri"/>
              <a:ea typeface="Calibri"/>
              <a:cs typeface="Calibri"/>
            </a:rPr>
            <a:pPr marL="0" indent="0" algn="ctr"/>
            <a:t>272</a:t>
          </a:fld>
          <a:endParaRPr lang="en-IN" sz="5400" b="1">
            <a:solidFill>
              <a:schemeClr val="bg1"/>
            </a:solidFill>
            <a:latin typeface="Aptos" panose="020B0004020202020204" pitchFamily="34" charset="0"/>
            <a:ea typeface="+mn-ea"/>
            <a:cs typeface="+mn-cs"/>
          </a:endParaRPr>
        </a:p>
      </xdr:txBody>
    </xdr:sp>
    <xdr:clientData/>
  </xdr:twoCellAnchor>
  <xdr:twoCellAnchor>
    <xdr:from>
      <xdr:col>7</xdr:col>
      <xdr:colOff>259694</xdr:colOff>
      <xdr:row>10</xdr:row>
      <xdr:rowOff>42745</xdr:rowOff>
    </xdr:from>
    <xdr:to>
      <xdr:col>10</xdr:col>
      <xdr:colOff>286983</xdr:colOff>
      <xdr:row>11</xdr:row>
      <xdr:rowOff>172680</xdr:rowOff>
    </xdr:to>
    <xdr:sp macro="" textlink="">
      <xdr:nvSpPr>
        <xdr:cNvPr id="45" name="TextBox 44">
          <a:extLst>
            <a:ext uri="{FF2B5EF4-FFF2-40B4-BE49-F238E27FC236}">
              <a16:creationId xmlns:a16="http://schemas.microsoft.com/office/drawing/2014/main" id="{1173B7B4-816A-4610-BE8E-119D840CD5DE}"/>
            </a:ext>
          </a:extLst>
        </xdr:cNvPr>
        <xdr:cNvSpPr txBox="1"/>
      </xdr:nvSpPr>
      <xdr:spPr>
        <a:xfrm>
          <a:off x="4485574" y="1894083"/>
          <a:ext cx="1838381" cy="317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latin typeface="+mn-lt"/>
              <a:ea typeface="+mn-ea"/>
              <a:cs typeface="+mn-cs"/>
            </a:rPr>
            <a:t>Approval Rate</a:t>
          </a:r>
        </a:p>
      </xdr:txBody>
    </xdr:sp>
    <xdr:clientData/>
  </xdr:twoCellAnchor>
  <xdr:twoCellAnchor>
    <xdr:from>
      <xdr:col>7</xdr:col>
      <xdr:colOff>277741</xdr:colOff>
      <xdr:row>10</xdr:row>
      <xdr:rowOff>135711</xdr:rowOff>
    </xdr:from>
    <xdr:to>
      <xdr:col>10</xdr:col>
      <xdr:colOff>305030</xdr:colOff>
      <xdr:row>14</xdr:row>
      <xdr:rowOff>111956</xdr:rowOff>
    </xdr:to>
    <xdr:sp macro="" textlink="$C$97">
      <xdr:nvSpPr>
        <xdr:cNvPr id="48" name="TextBox 47">
          <a:extLst>
            <a:ext uri="{FF2B5EF4-FFF2-40B4-BE49-F238E27FC236}">
              <a16:creationId xmlns:a16="http://schemas.microsoft.com/office/drawing/2014/main" id="{CFC3F781-629E-4D93-BF88-478ADF818314}"/>
            </a:ext>
          </a:extLst>
        </xdr:cNvPr>
        <xdr:cNvSpPr txBox="1"/>
      </xdr:nvSpPr>
      <xdr:spPr>
        <a:xfrm>
          <a:off x="4503621" y="1987049"/>
          <a:ext cx="1838381" cy="727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D45B92D-6AAF-4AD9-B855-34D01B05C74E}" type="TxLink">
            <a:rPr lang="en-US" sz="5400" b="0" i="0" u="none" strike="noStrike">
              <a:solidFill>
                <a:schemeClr val="bg1"/>
              </a:solidFill>
              <a:latin typeface="Calibri"/>
              <a:ea typeface="Calibri"/>
              <a:cs typeface="Calibri"/>
            </a:rPr>
            <a:pPr marL="0" indent="0" algn="ctr"/>
            <a:t>0%</a:t>
          </a:fld>
          <a:endParaRPr lang="en-IN" sz="5400" b="0" i="0" u="none" strike="noStrike">
            <a:solidFill>
              <a:schemeClr val="bg1"/>
            </a:solidFill>
            <a:latin typeface="Calibri"/>
            <a:ea typeface="Calibri"/>
            <a:cs typeface="Calibri"/>
          </a:endParaRPr>
        </a:p>
      </xdr:txBody>
    </xdr:sp>
    <xdr:clientData/>
  </xdr:twoCellAnchor>
  <xdr:twoCellAnchor>
    <xdr:from>
      <xdr:col>7</xdr:col>
      <xdr:colOff>251029</xdr:colOff>
      <xdr:row>14</xdr:row>
      <xdr:rowOff>139177</xdr:rowOff>
    </xdr:from>
    <xdr:to>
      <xdr:col>10</xdr:col>
      <xdr:colOff>278318</xdr:colOff>
      <xdr:row>16</xdr:row>
      <xdr:rowOff>86738</xdr:rowOff>
    </xdr:to>
    <xdr:sp macro="" textlink="">
      <xdr:nvSpPr>
        <xdr:cNvPr id="49" name="TextBox 48">
          <a:extLst>
            <a:ext uri="{FF2B5EF4-FFF2-40B4-BE49-F238E27FC236}">
              <a16:creationId xmlns:a16="http://schemas.microsoft.com/office/drawing/2014/main" id="{DD9C3D77-F60E-4190-AA01-C84F902BDF62}"/>
            </a:ext>
          </a:extLst>
        </xdr:cNvPr>
        <xdr:cNvSpPr txBox="1"/>
      </xdr:nvSpPr>
      <xdr:spPr>
        <a:xfrm>
          <a:off x="4476909" y="2741783"/>
          <a:ext cx="1838381" cy="32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latin typeface="+mn-lt"/>
              <a:ea typeface="+mn-ea"/>
              <a:cs typeface="+mn-cs"/>
            </a:rPr>
            <a:t>1,322 approved</a:t>
          </a:r>
        </a:p>
      </xdr:txBody>
    </xdr:sp>
    <xdr:clientData/>
  </xdr:twoCellAnchor>
  <xdr:twoCellAnchor>
    <xdr:from>
      <xdr:col>12</xdr:col>
      <xdr:colOff>185883</xdr:colOff>
      <xdr:row>11</xdr:row>
      <xdr:rowOff>1555</xdr:rowOff>
    </xdr:from>
    <xdr:to>
      <xdr:col>15</xdr:col>
      <xdr:colOff>455498</xdr:colOff>
      <xdr:row>14</xdr:row>
      <xdr:rowOff>165617</xdr:rowOff>
    </xdr:to>
    <xdr:sp macro="" textlink="$C$95">
      <xdr:nvSpPr>
        <xdr:cNvPr id="50" name="TextBox 49">
          <a:extLst>
            <a:ext uri="{FF2B5EF4-FFF2-40B4-BE49-F238E27FC236}">
              <a16:creationId xmlns:a16="http://schemas.microsoft.com/office/drawing/2014/main" id="{BF89DDEC-8322-4B62-BB4E-BA58F1ADD0C4}"/>
            </a:ext>
          </a:extLst>
        </xdr:cNvPr>
        <xdr:cNvSpPr txBox="1"/>
      </xdr:nvSpPr>
      <xdr:spPr>
        <a:xfrm>
          <a:off x="7430249" y="2040710"/>
          <a:ext cx="2080707" cy="727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6FCC5E0-BD6A-4391-A68A-6513F5F8F7BE}" type="TxLink">
            <a:rPr lang="en-US" sz="5400" b="0" i="0" u="none" strike="noStrike">
              <a:solidFill>
                <a:schemeClr val="bg1"/>
              </a:solidFill>
              <a:latin typeface="Calibri"/>
              <a:ea typeface="Calibri"/>
              <a:cs typeface="Calibri"/>
            </a:rPr>
            <a:pPr marL="0" indent="0" algn="ctr"/>
            <a:t>5.15%</a:t>
          </a:fld>
          <a:endParaRPr lang="en-IN" sz="5400" b="0" i="0" u="none" strike="noStrike">
            <a:solidFill>
              <a:schemeClr val="bg1"/>
            </a:solidFill>
            <a:latin typeface="Calibri"/>
            <a:ea typeface="Calibri"/>
            <a:cs typeface="Calibri"/>
          </a:endParaRPr>
        </a:p>
      </xdr:txBody>
    </xdr:sp>
    <xdr:clientData/>
  </xdr:twoCellAnchor>
  <xdr:twoCellAnchor>
    <xdr:from>
      <xdr:col>12</xdr:col>
      <xdr:colOff>141619</xdr:colOff>
      <xdr:row>14</xdr:row>
      <xdr:rowOff>153760</xdr:rowOff>
    </xdr:from>
    <xdr:to>
      <xdr:col>15</xdr:col>
      <xdr:colOff>168908</xdr:colOff>
      <xdr:row>16</xdr:row>
      <xdr:rowOff>95877</xdr:rowOff>
    </xdr:to>
    <xdr:sp macro="" textlink="">
      <xdr:nvSpPr>
        <xdr:cNvPr id="51" name="TextBox 50">
          <a:extLst>
            <a:ext uri="{FF2B5EF4-FFF2-40B4-BE49-F238E27FC236}">
              <a16:creationId xmlns:a16="http://schemas.microsoft.com/office/drawing/2014/main" id="{FF3405F8-62D6-441C-89C6-A26477991767}"/>
            </a:ext>
          </a:extLst>
        </xdr:cNvPr>
        <xdr:cNvSpPr txBox="1"/>
      </xdr:nvSpPr>
      <xdr:spPr>
        <a:xfrm>
          <a:off x="7385985" y="2756366"/>
          <a:ext cx="1838381" cy="31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latin typeface="+mn-lt"/>
              <a:ea typeface="+mn-ea"/>
              <a:cs typeface="+mn-cs"/>
            </a:rPr>
            <a:t>139 flagged</a:t>
          </a:r>
        </a:p>
      </xdr:txBody>
    </xdr:sp>
    <xdr:clientData/>
  </xdr:twoCellAnchor>
  <xdr:twoCellAnchor>
    <xdr:from>
      <xdr:col>12</xdr:col>
      <xdr:colOff>113338</xdr:colOff>
      <xdr:row>10</xdr:row>
      <xdr:rowOff>88578</xdr:rowOff>
    </xdr:from>
    <xdr:to>
      <xdr:col>15</xdr:col>
      <xdr:colOff>140627</xdr:colOff>
      <xdr:row>12</xdr:row>
      <xdr:rowOff>30696</xdr:rowOff>
    </xdr:to>
    <xdr:sp macro="" textlink="">
      <xdr:nvSpPr>
        <xdr:cNvPr id="52" name="TextBox 51">
          <a:extLst>
            <a:ext uri="{FF2B5EF4-FFF2-40B4-BE49-F238E27FC236}">
              <a16:creationId xmlns:a16="http://schemas.microsoft.com/office/drawing/2014/main" id="{A47789F6-7CA5-482F-93EE-CAB40211A887}"/>
            </a:ext>
          </a:extLst>
        </xdr:cNvPr>
        <xdr:cNvSpPr txBox="1"/>
      </xdr:nvSpPr>
      <xdr:spPr>
        <a:xfrm>
          <a:off x="7402034" y="1993578"/>
          <a:ext cx="1849463" cy="32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latin typeface="+mn-lt"/>
              <a:ea typeface="+mn-ea"/>
              <a:cs typeface="+mn-cs"/>
            </a:rPr>
            <a:t>Fraud Rate</a:t>
          </a:r>
        </a:p>
      </xdr:txBody>
    </xdr:sp>
    <xdr:clientData/>
  </xdr:twoCellAnchor>
  <xdr:twoCellAnchor>
    <xdr:from>
      <xdr:col>17</xdr:col>
      <xdr:colOff>309962</xdr:colOff>
      <xdr:row>10</xdr:row>
      <xdr:rowOff>52152</xdr:rowOff>
    </xdr:from>
    <xdr:to>
      <xdr:col>20</xdr:col>
      <xdr:colOff>337251</xdr:colOff>
      <xdr:row>11</xdr:row>
      <xdr:rowOff>182087</xdr:rowOff>
    </xdr:to>
    <xdr:sp macro="" textlink="">
      <xdr:nvSpPr>
        <xdr:cNvPr id="53" name="TextBox 52">
          <a:extLst>
            <a:ext uri="{FF2B5EF4-FFF2-40B4-BE49-F238E27FC236}">
              <a16:creationId xmlns:a16="http://schemas.microsoft.com/office/drawing/2014/main" id="{70404762-0EB7-454C-9F7E-A8CE20A239D4}"/>
            </a:ext>
          </a:extLst>
        </xdr:cNvPr>
        <xdr:cNvSpPr txBox="1"/>
      </xdr:nvSpPr>
      <xdr:spPr>
        <a:xfrm>
          <a:off x="10572814" y="1903490"/>
          <a:ext cx="1838381" cy="317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latin typeface="+mn-lt"/>
              <a:ea typeface="+mn-ea"/>
              <a:cs typeface="+mn-cs"/>
            </a:rPr>
            <a:t>Loss Amount</a:t>
          </a:r>
        </a:p>
      </xdr:txBody>
    </xdr:sp>
    <xdr:clientData/>
  </xdr:twoCellAnchor>
  <xdr:twoCellAnchor>
    <xdr:from>
      <xdr:col>17</xdr:col>
      <xdr:colOff>304259</xdr:colOff>
      <xdr:row>14</xdr:row>
      <xdr:rowOff>117306</xdr:rowOff>
    </xdr:from>
    <xdr:to>
      <xdr:col>20</xdr:col>
      <xdr:colOff>331548</xdr:colOff>
      <xdr:row>16</xdr:row>
      <xdr:rowOff>59423</xdr:rowOff>
    </xdr:to>
    <xdr:sp macro="" textlink="">
      <xdr:nvSpPr>
        <xdr:cNvPr id="54" name="TextBox 53">
          <a:extLst>
            <a:ext uri="{FF2B5EF4-FFF2-40B4-BE49-F238E27FC236}">
              <a16:creationId xmlns:a16="http://schemas.microsoft.com/office/drawing/2014/main" id="{A1623845-2730-480E-BDF8-9961DB170EEE}"/>
            </a:ext>
          </a:extLst>
        </xdr:cNvPr>
        <xdr:cNvSpPr txBox="1"/>
      </xdr:nvSpPr>
      <xdr:spPr>
        <a:xfrm>
          <a:off x="10567111" y="2719912"/>
          <a:ext cx="1838381" cy="31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a:solidFill>
                <a:schemeClr val="bg1">
                  <a:lumMod val="95000"/>
                </a:schemeClr>
              </a:solidFill>
              <a:latin typeface="+mn-lt"/>
              <a:ea typeface="+mn-ea"/>
              <a:cs typeface="+mn-cs"/>
            </a:rPr>
            <a:t>Business highest</a:t>
          </a:r>
        </a:p>
      </xdr:txBody>
    </xdr:sp>
    <xdr:clientData/>
  </xdr:twoCellAnchor>
  <xdr:twoCellAnchor>
    <xdr:from>
      <xdr:col>22</xdr:col>
      <xdr:colOff>324779</xdr:colOff>
      <xdr:row>14</xdr:row>
      <xdr:rowOff>108707</xdr:rowOff>
    </xdr:from>
    <xdr:to>
      <xdr:col>25</xdr:col>
      <xdr:colOff>352068</xdr:colOff>
      <xdr:row>16</xdr:row>
      <xdr:rowOff>50824</xdr:rowOff>
    </xdr:to>
    <xdr:sp macro="" textlink="">
      <xdr:nvSpPr>
        <xdr:cNvPr id="59" name="TextBox 58">
          <a:extLst>
            <a:ext uri="{FF2B5EF4-FFF2-40B4-BE49-F238E27FC236}">
              <a16:creationId xmlns:a16="http://schemas.microsoft.com/office/drawing/2014/main" id="{A6EA46DF-6533-42F0-9376-2451A2672286}"/>
            </a:ext>
          </a:extLst>
        </xdr:cNvPr>
        <xdr:cNvSpPr txBox="1"/>
      </xdr:nvSpPr>
      <xdr:spPr>
        <a:xfrm>
          <a:off x="13606117" y="2711313"/>
          <a:ext cx="1838381" cy="31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0" i="0" u="none" strike="noStrike">
              <a:solidFill>
                <a:schemeClr val="bg1">
                  <a:lumMod val="95000"/>
                </a:schemeClr>
              </a:solidFill>
              <a:latin typeface="+mn-lt"/>
              <a:ea typeface="+mn-ea"/>
              <a:cs typeface="+mn-cs"/>
            </a:rPr>
            <a:t>Approved only</a:t>
          </a:r>
        </a:p>
      </xdr:txBody>
    </xdr:sp>
    <xdr:clientData/>
  </xdr:twoCellAnchor>
  <xdr:twoCellAnchor>
    <xdr:from>
      <xdr:col>22</xdr:col>
      <xdr:colOff>351280</xdr:colOff>
      <xdr:row>10</xdr:row>
      <xdr:rowOff>5578</xdr:rowOff>
    </xdr:from>
    <xdr:to>
      <xdr:col>25</xdr:col>
      <xdr:colOff>378569</xdr:colOff>
      <xdr:row>11</xdr:row>
      <xdr:rowOff>135513</xdr:rowOff>
    </xdr:to>
    <xdr:sp macro="" textlink="">
      <xdr:nvSpPr>
        <xdr:cNvPr id="64" name="TextBox 63">
          <a:extLst>
            <a:ext uri="{FF2B5EF4-FFF2-40B4-BE49-F238E27FC236}">
              <a16:creationId xmlns:a16="http://schemas.microsoft.com/office/drawing/2014/main" id="{D975F0D8-6A76-42AA-928A-52F0B32DF7ED}"/>
            </a:ext>
          </a:extLst>
        </xdr:cNvPr>
        <xdr:cNvSpPr txBox="1"/>
      </xdr:nvSpPr>
      <xdr:spPr>
        <a:xfrm>
          <a:off x="13632618" y="1856916"/>
          <a:ext cx="1838381" cy="317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0" i="0" u="none" strike="noStrike">
              <a:solidFill>
                <a:schemeClr val="bg1">
                  <a:lumMod val="95000"/>
                </a:schemeClr>
              </a:solidFill>
              <a:latin typeface="+mn-lt"/>
              <a:ea typeface="+mn-ea"/>
              <a:cs typeface="+mn-cs"/>
            </a:rPr>
            <a:t>Avg Settlement</a:t>
          </a:r>
        </a:p>
      </xdr:txBody>
    </xdr:sp>
    <xdr:clientData/>
  </xdr:twoCellAnchor>
  <xdr:twoCellAnchor>
    <xdr:from>
      <xdr:col>17</xdr:col>
      <xdr:colOff>133258</xdr:colOff>
      <xdr:row>10</xdr:row>
      <xdr:rowOff>112001</xdr:rowOff>
    </xdr:from>
    <xdr:to>
      <xdr:col>21</xdr:col>
      <xdr:colOff>12473</xdr:colOff>
      <xdr:row>14</xdr:row>
      <xdr:rowOff>88246</xdr:rowOff>
    </xdr:to>
    <xdr:sp macro="" textlink="PIVOT!U11">
      <xdr:nvSpPr>
        <xdr:cNvPr id="65" name="TextBox 64">
          <a:extLst>
            <a:ext uri="{FF2B5EF4-FFF2-40B4-BE49-F238E27FC236}">
              <a16:creationId xmlns:a16="http://schemas.microsoft.com/office/drawing/2014/main" id="{CE4CDDF2-04BC-4B44-822F-D22A4B92B7E3}"/>
            </a:ext>
          </a:extLst>
        </xdr:cNvPr>
        <xdr:cNvSpPr txBox="1"/>
      </xdr:nvSpPr>
      <xdr:spPr>
        <a:xfrm>
          <a:off x="10396110" y="1963339"/>
          <a:ext cx="2294004" cy="727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410C301-61A5-42FF-97BD-FDBBAB0DC904}" type="TxLink">
            <a:rPr lang="en-US" sz="5400" b="0" i="0" u="none" strike="noStrike">
              <a:solidFill>
                <a:schemeClr val="bg1"/>
              </a:solidFill>
              <a:latin typeface="Calibri"/>
              <a:ea typeface="Calibri"/>
              <a:cs typeface="Calibri"/>
            </a:rPr>
            <a:pPr marL="0" indent="0" algn="ctr"/>
            <a:t>7.1M</a:t>
          </a:fld>
          <a:endParaRPr lang="en-IN" sz="5400" b="0" i="0" u="none" strike="noStrike">
            <a:solidFill>
              <a:schemeClr val="bg1"/>
            </a:solidFill>
            <a:latin typeface="Calibri"/>
            <a:ea typeface="Calibri"/>
            <a:cs typeface="Calibri"/>
          </a:endParaRPr>
        </a:p>
      </xdr:txBody>
    </xdr:sp>
    <xdr:clientData/>
  </xdr:twoCellAnchor>
  <xdr:twoCellAnchor>
    <xdr:from>
      <xdr:col>22</xdr:col>
      <xdr:colOff>377199</xdr:colOff>
      <xdr:row>10</xdr:row>
      <xdr:rowOff>112901</xdr:rowOff>
    </xdr:from>
    <xdr:to>
      <xdr:col>25</xdr:col>
      <xdr:colOff>404488</xdr:colOff>
      <xdr:row>14</xdr:row>
      <xdr:rowOff>89146</xdr:rowOff>
    </xdr:to>
    <xdr:sp macro="" textlink="DASHBOARD!$C$96">
      <xdr:nvSpPr>
        <xdr:cNvPr id="66" name="TextBox 65">
          <a:extLst>
            <a:ext uri="{FF2B5EF4-FFF2-40B4-BE49-F238E27FC236}">
              <a16:creationId xmlns:a16="http://schemas.microsoft.com/office/drawing/2014/main" id="{D31843FC-92F4-4458-BB7F-3D309DBA7D33}"/>
            </a:ext>
          </a:extLst>
        </xdr:cNvPr>
        <xdr:cNvSpPr txBox="1"/>
      </xdr:nvSpPr>
      <xdr:spPr>
        <a:xfrm>
          <a:off x="13658537" y="1964239"/>
          <a:ext cx="1838381" cy="727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97619F9-A702-4FD5-B1B6-59F4892A4A52}" type="TxLink">
            <a:rPr lang="en-US" sz="5400" b="0" i="0" u="none" strike="noStrike">
              <a:solidFill>
                <a:schemeClr val="bg1"/>
              </a:solidFill>
              <a:latin typeface="Calibri"/>
              <a:ea typeface="Calibri"/>
              <a:cs typeface="Calibri"/>
            </a:rPr>
            <a:pPr marL="0" indent="0" algn="ctr"/>
            <a:t>23.4</a:t>
          </a:fld>
          <a:endParaRPr lang="en-IN" sz="5400" b="0" i="0" u="none" strike="noStrike">
            <a:solidFill>
              <a:schemeClr val="bg1"/>
            </a:solidFill>
            <a:latin typeface="Calibri"/>
            <a:ea typeface="Calibri"/>
            <a:cs typeface="Calibri"/>
          </a:endParaRPr>
        </a:p>
      </xdr:txBody>
    </xdr:sp>
    <xdr:clientData/>
  </xdr:twoCellAnchor>
  <xdr:twoCellAnchor editAs="oneCell">
    <xdr:from>
      <xdr:col>27</xdr:col>
      <xdr:colOff>307561</xdr:colOff>
      <xdr:row>3</xdr:row>
      <xdr:rowOff>-1</xdr:rowOff>
    </xdr:from>
    <xdr:to>
      <xdr:col>30</xdr:col>
      <xdr:colOff>565979</xdr:colOff>
      <xdr:row>15</xdr:row>
      <xdr:rowOff>178594</xdr:rowOff>
    </xdr:to>
    <mc:AlternateContent xmlns:mc="http://schemas.openxmlformats.org/markup-compatibility/2006" xmlns:a14="http://schemas.microsoft.com/office/drawing/2010/main">
      <mc:Choice Requires="a14">
        <xdr:graphicFrame macro="">
          <xdr:nvGraphicFramePr>
            <xdr:cNvPr id="67" name="Branch">
              <a:extLst>
                <a:ext uri="{FF2B5EF4-FFF2-40B4-BE49-F238E27FC236}">
                  <a16:creationId xmlns:a16="http://schemas.microsoft.com/office/drawing/2014/main" id="{6B582392-63D2-49F9-A844-761EED09BC8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6607385" y="563450"/>
              <a:ext cx="2069509" cy="240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308556</xdr:colOff>
      <xdr:row>16</xdr:row>
      <xdr:rowOff>18149</xdr:rowOff>
    </xdr:from>
    <xdr:to>
      <xdr:col>30</xdr:col>
      <xdr:colOff>579782</xdr:colOff>
      <xdr:row>29</xdr:row>
      <xdr:rowOff>151847</xdr:rowOff>
    </xdr:to>
    <mc:AlternateContent xmlns:mc="http://schemas.openxmlformats.org/markup-compatibility/2006" xmlns:a14="http://schemas.microsoft.com/office/drawing/2010/main">
      <mc:Choice Requires="a14">
        <xdr:graphicFrame macro="">
          <xdr:nvGraphicFramePr>
            <xdr:cNvPr id="68" name="Policy_Type">
              <a:extLst>
                <a:ext uri="{FF2B5EF4-FFF2-40B4-BE49-F238E27FC236}">
                  <a16:creationId xmlns:a16="http://schemas.microsoft.com/office/drawing/2014/main" id="{FA880728-4C02-46C2-91F9-73F2751C0D55}"/>
                </a:ext>
              </a:extLst>
            </xdr:cNvPr>
            <xdr:cNvGraphicFramePr/>
          </xdr:nvGraphicFramePr>
          <xdr:xfrm>
            <a:off x="0" y="0"/>
            <a:ext cx="0" cy="0"/>
          </xdr:xfrm>
          <a:graphic>
            <a:graphicData uri="http://schemas.microsoft.com/office/drawing/2010/slicer">
              <sle:slicer xmlns:sle="http://schemas.microsoft.com/office/drawing/2010/slicer" name="Policy_Type"/>
            </a:graphicData>
          </a:graphic>
        </xdr:graphicFrame>
      </mc:Choice>
      <mc:Fallback xmlns="">
        <xdr:sp macro="" textlink="">
          <xdr:nvSpPr>
            <xdr:cNvPr id="0" name=""/>
            <xdr:cNvSpPr>
              <a:spLocks noTextEdit="1"/>
            </xdr:cNvSpPr>
          </xdr:nvSpPr>
          <xdr:spPr>
            <a:xfrm>
              <a:off x="16622659" y="2996388"/>
              <a:ext cx="2068038" cy="2575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315111</xdr:colOff>
      <xdr:row>29</xdr:row>
      <xdr:rowOff>158036</xdr:rowOff>
    </xdr:from>
    <xdr:to>
      <xdr:col>30</xdr:col>
      <xdr:colOff>576867</xdr:colOff>
      <xdr:row>37</xdr:row>
      <xdr:rowOff>82827</xdr:rowOff>
    </xdr:to>
    <mc:AlternateContent xmlns:mc="http://schemas.openxmlformats.org/markup-compatibility/2006" xmlns:a14="http://schemas.microsoft.com/office/drawing/2010/main">
      <mc:Choice Requires="a14">
        <xdr:graphicFrame macro="">
          <xdr:nvGraphicFramePr>
            <xdr:cNvPr id="69" name="Customer_Segment">
              <a:extLst>
                <a:ext uri="{FF2B5EF4-FFF2-40B4-BE49-F238E27FC236}">
                  <a16:creationId xmlns:a16="http://schemas.microsoft.com/office/drawing/2014/main" id="{E9242EE4-6A43-4867-B08A-1D9EBDC8663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6614935" y="5577895"/>
              <a:ext cx="2101413" cy="1427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321973</xdr:colOff>
      <xdr:row>37</xdr:row>
      <xdr:rowOff>90005</xdr:rowOff>
    </xdr:from>
    <xdr:to>
      <xdr:col>30</xdr:col>
      <xdr:colOff>593090</xdr:colOff>
      <xdr:row>45</xdr:row>
      <xdr:rowOff>0</xdr:rowOff>
    </xdr:to>
    <mc:AlternateContent xmlns:mc="http://schemas.openxmlformats.org/markup-compatibility/2006" xmlns:a14="http://schemas.microsoft.com/office/drawing/2010/main">
      <mc:Choice Requires="a14">
        <xdr:graphicFrame macro="">
          <xdr:nvGraphicFramePr>
            <xdr:cNvPr id="70" name="Claim_Status">
              <a:extLst>
                <a:ext uri="{FF2B5EF4-FFF2-40B4-BE49-F238E27FC236}">
                  <a16:creationId xmlns:a16="http://schemas.microsoft.com/office/drawing/2014/main" id="{DD8EC27D-AD6D-4769-A73C-8A27C7B94514}"/>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mlns="">
        <xdr:sp macro="" textlink="">
          <xdr:nvSpPr>
            <xdr:cNvPr id="0" name=""/>
            <xdr:cNvSpPr>
              <a:spLocks noTextEdit="1"/>
            </xdr:cNvSpPr>
          </xdr:nvSpPr>
          <xdr:spPr>
            <a:xfrm>
              <a:off x="16621797" y="7012399"/>
              <a:ext cx="2082208" cy="1412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512300</xdr:colOff>
      <xdr:row>19</xdr:row>
      <xdr:rowOff>117788</xdr:rowOff>
    </xdr:from>
    <xdr:to>
      <xdr:col>27</xdr:col>
      <xdr:colOff>73509</xdr:colOff>
      <xdr:row>30</xdr:row>
      <xdr:rowOff>56519</xdr:rowOff>
    </xdr:to>
    <xdr:graphicFrame macro="">
      <xdr:nvGraphicFramePr>
        <xdr:cNvPr id="12" name="Chart 11">
          <a:extLst>
            <a:ext uri="{FF2B5EF4-FFF2-40B4-BE49-F238E27FC236}">
              <a16:creationId xmlns:a16="http://schemas.microsoft.com/office/drawing/2014/main" id="{8FE62639-FA0F-4299-BE74-E328626A6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419823</xdr:colOff>
      <xdr:row>17</xdr:row>
      <xdr:rowOff>96036</xdr:rowOff>
    </xdr:from>
    <xdr:to>
      <xdr:col>27</xdr:col>
      <xdr:colOff>65199</xdr:colOff>
      <xdr:row>18</xdr:row>
      <xdr:rowOff>173737</xdr:rowOff>
    </xdr:to>
    <xdr:sp macro="" textlink="">
      <xdr:nvSpPr>
        <xdr:cNvPr id="13" name="TextBox 12">
          <a:extLst>
            <a:ext uri="{FF2B5EF4-FFF2-40B4-BE49-F238E27FC236}">
              <a16:creationId xmlns:a16="http://schemas.microsoft.com/office/drawing/2014/main" id="{53E1CE6E-BF08-4CEC-A815-E674E00EAC6C}"/>
            </a:ext>
          </a:extLst>
        </xdr:cNvPr>
        <xdr:cNvSpPr txBox="1"/>
      </xdr:nvSpPr>
      <xdr:spPr>
        <a:xfrm>
          <a:off x="13097464" y="3262092"/>
          <a:ext cx="3267559" cy="265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solidFill>
              <a:latin typeface="Aptos" panose="020B0004020202020204" pitchFamily="34" charset="0"/>
              <a:ea typeface="+mn-ea"/>
              <a:cs typeface="+mn-cs"/>
            </a:rPr>
            <a:t>Fraudulent Claims Approval Status</a:t>
          </a:r>
        </a:p>
      </xdr:txBody>
    </xdr:sp>
    <xdr:clientData/>
  </xdr:twoCellAnchor>
  <xdr:twoCellAnchor>
    <xdr:from>
      <xdr:col>8</xdr:col>
      <xdr:colOff>461298</xdr:colOff>
      <xdr:row>32</xdr:row>
      <xdr:rowOff>90841</xdr:rowOff>
    </xdr:from>
    <xdr:to>
      <xdr:col>14</xdr:col>
      <xdr:colOff>442802</xdr:colOff>
      <xdr:row>45</xdr:row>
      <xdr:rowOff>321</xdr:rowOff>
    </xdr:to>
    <xdr:graphicFrame macro="">
      <xdr:nvGraphicFramePr>
        <xdr:cNvPr id="61" name="Chart 60">
          <a:extLst>
            <a:ext uri="{FF2B5EF4-FFF2-40B4-BE49-F238E27FC236}">
              <a16:creationId xmlns:a16="http://schemas.microsoft.com/office/drawing/2014/main" id="{7DE9ED72-3040-4D18-8B55-DF449FE84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63652</xdr:colOff>
      <xdr:row>32</xdr:row>
      <xdr:rowOff>35355</xdr:rowOff>
    </xdr:from>
    <xdr:to>
      <xdr:col>14</xdr:col>
      <xdr:colOff>314721</xdr:colOff>
      <xdr:row>33</xdr:row>
      <xdr:rowOff>171671</xdr:rowOff>
    </xdr:to>
    <xdr:sp macro="" textlink="">
      <xdr:nvSpPr>
        <xdr:cNvPr id="71" name="TextBox 70">
          <a:extLst>
            <a:ext uri="{FF2B5EF4-FFF2-40B4-BE49-F238E27FC236}">
              <a16:creationId xmlns:a16="http://schemas.microsoft.com/office/drawing/2014/main" id="{CA9BAA82-76FF-4AB3-ACFE-D54A33F46245}"/>
            </a:ext>
          </a:extLst>
        </xdr:cNvPr>
        <xdr:cNvSpPr txBox="1"/>
      </xdr:nvSpPr>
      <xdr:spPr>
        <a:xfrm>
          <a:off x="5556710" y="6221981"/>
          <a:ext cx="3302768" cy="33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solidFill>
              <a:latin typeface="Aptos" panose="020B0004020202020204" pitchFamily="34" charset="0"/>
              <a:ea typeface="+mn-ea"/>
              <a:cs typeface="+mn-cs"/>
            </a:rPr>
            <a:t>Loss Value by Policy Type</a:t>
          </a:r>
        </a:p>
      </xdr:txBody>
    </xdr:sp>
    <xdr:clientData/>
  </xdr:twoCellAnchor>
  <xdr:twoCellAnchor>
    <xdr:from>
      <xdr:col>15</xdr:col>
      <xdr:colOff>240209</xdr:colOff>
      <xdr:row>32</xdr:row>
      <xdr:rowOff>21841</xdr:rowOff>
    </xdr:from>
    <xdr:to>
      <xdr:col>20</xdr:col>
      <xdr:colOff>491278</xdr:colOff>
      <xdr:row>33</xdr:row>
      <xdr:rowOff>158157</xdr:rowOff>
    </xdr:to>
    <xdr:sp macro="" textlink="">
      <xdr:nvSpPr>
        <xdr:cNvPr id="72" name="TextBox 71">
          <a:extLst>
            <a:ext uri="{FF2B5EF4-FFF2-40B4-BE49-F238E27FC236}">
              <a16:creationId xmlns:a16="http://schemas.microsoft.com/office/drawing/2014/main" id="{CD21A239-98CA-4708-814E-F713E539D381}"/>
            </a:ext>
          </a:extLst>
        </xdr:cNvPr>
        <xdr:cNvSpPr txBox="1"/>
      </xdr:nvSpPr>
      <xdr:spPr>
        <a:xfrm>
          <a:off x="9395306" y="6208467"/>
          <a:ext cx="3302768" cy="330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400" b="1">
              <a:solidFill>
                <a:schemeClr val="tx2"/>
              </a:solidFill>
              <a:latin typeface="Aptos" panose="020B0004020202020204" pitchFamily="34" charset="0"/>
              <a:ea typeface="+mn-ea"/>
              <a:cs typeface="+mn-cs"/>
            </a:rPr>
            <a:t>Customer Renewal Rate by Segment</a:t>
          </a:r>
        </a:p>
      </xdr:txBody>
    </xdr:sp>
    <xdr:clientData/>
  </xdr:twoCellAnchor>
  <xdr:twoCellAnchor>
    <xdr:from>
      <xdr:col>15</xdr:col>
      <xdr:colOff>110743</xdr:colOff>
      <xdr:row>33</xdr:row>
      <xdr:rowOff>179049</xdr:rowOff>
    </xdr:from>
    <xdr:to>
      <xdr:col>21</xdr:col>
      <xdr:colOff>179910</xdr:colOff>
      <xdr:row>43</xdr:row>
      <xdr:rowOff>51671</xdr:rowOff>
    </xdr:to>
    <xdr:graphicFrame macro="">
      <xdr:nvGraphicFramePr>
        <xdr:cNvPr id="73" name="Chart 72">
          <a:extLst>
            <a:ext uri="{FF2B5EF4-FFF2-40B4-BE49-F238E27FC236}">
              <a16:creationId xmlns:a16="http://schemas.microsoft.com/office/drawing/2014/main" id="{A9AF00A0-AB88-4EF1-A737-8B77088FA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414751</xdr:colOff>
      <xdr:row>3</xdr:row>
      <xdr:rowOff>52446</xdr:rowOff>
    </xdr:from>
    <xdr:to>
      <xdr:col>22</xdr:col>
      <xdr:colOff>573353</xdr:colOff>
      <xdr:row>7</xdr:row>
      <xdr:rowOff>65146</xdr:rowOff>
    </xdr:to>
    <xdr:pic>
      <xdr:nvPicPr>
        <xdr:cNvPr id="14" name="Graphic 13" descr="Heart with pulse with solid fill">
          <a:extLst>
            <a:ext uri="{FF2B5EF4-FFF2-40B4-BE49-F238E27FC236}">
              <a16:creationId xmlns:a16="http://schemas.microsoft.com/office/drawing/2014/main" id="{6608D3F5-3FE6-A917-ABA6-AC8F2D78160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092392" y="615897"/>
          <a:ext cx="762299" cy="763967"/>
        </a:xfrm>
        <a:prstGeom prst="rect">
          <a:avLst/>
        </a:prstGeom>
      </xdr:spPr>
    </xdr:pic>
    <xdr:clientData/>
  </xdr:twoCellAnchor>
  <xdr:twoCellAnchor editAs="oneCell">
    <xdr:from>
      <xdr:col>20</xdr:col>
      <xdr:colOff>476845</xdr:colOff>
      <xdr:row>4</xdr:row>
      <xdr:rowOff>144118</xdr:rowOff>
    </xdr:from>
    <xdr:to>
      <xdr:col>22</xdr:col>
      <xdr:colOff>89048</xdr:colOff>
      <xdr:row>9</xdr:row>
      <xdr:rowOff>41965</xdr:rowOff>
    </xdr:to>
    <xdr:pic>
      <xdr:nvPicPr>
        <xdr:cNvPr id="23" name="Graphic 22" descr="Clapping hands with solid fill">
          <a:extLst>
            <a:ext uri="{FF2B5EF4-FFF2-40B4-BE49-F238E27FC236}">
              <a16:creationId xmlns:a16="http://schemas.microsoft.com/office/drawing/2014/main" id="{48C81D0F-659B-60F8-E41D-F5AB19198AE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550789" y="895386"/>
          <a:ext cx="819597" cy="810100"/>
        </a:xfrm>
        <a:prstGeom prst="rect">
          <a:avLst/>
        </a:prstGeom>
      </xdr:spPr>
    </xdr:pic>
    <xdr:clientData/>
  </xdr:twoCellAnchor>
  <xdr:twoCellAnchor editAs="oneCell">
    <xdr:from>
      <xdr:col>20</xdr:col>
      <xdr:colOff>435665</xdr:colOff>
      <xdr:row>11</xdr:row>
      <xdr:rowOff>47487</xdr:rowOff>
    </xdr:from>
    <xdr:to>
      <xdr:col>22</xdr:col>
      <xdr:colOff>130865</xdr:colOff>
      <xdr:row>16</xdr:row>
      <xdr:rowOff>7179</xdr:rowOff>
    </xdr:to>
    <xdr:pic>
      <xdr:nvPicPr>
        <xdr:cNvPr id="34" name="Graphic 33" descr="Downward trend graph with solid fill">
          <a:extLst>
            <a:ext uri="{FF2B5EF4-FFF2-40B4-BE49-F238E27FC236}">
              <a16:creationId xmlns:a16="http://schemas.microsoft.com/office/drawing/2014/main" id="{058DF6F8-8173-0710-8AD2-4A5880447EF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583491" y="2145748"/>
          <a:ext cx="909983" cy="925996"/>
        </a:xfrm>
        <a:prstGeom prst="rect">
          <a:avLst/>
        </a:prstGeom>
      </xdr:spPr>
    </xdr:pic>
    <xdr:clientData/>
  </xdr:twoCellAnchor>
  <xdr:twoCellAnchor editAs="oneCell">
    <xdr:from>
      <xdr:col>15</xdr:col>
      <xdr:colOff>186083</xdr:colOff>
      <xdr:row>11</xdr:row>
      <xdr:rowOff>40308</xdr:rowOff>
    </xdr:from>
    <xdr:to>
      <xdr:col>16</xdr:col>
      <xdr:colOff>490883</xdr:colOff>
      <xdr:row>16</xdr:row>
      <xdr:rowOff>0</xdr:rowOff>
    </xdr:to>
    <xdr:pic>
      <xdr:nvPicPr>
        <xdr:cNvPr id="44" name="Graphic 43" descr="Warning with solid fill">
          <a:extLst>
            <a:ext uri="{FF2B5EF4-FFF2-40B4-BE49-F238E27FC236}">
              <a16:creationId xmlns:a16="http://schemas.microsoft.com/office/drawing/2014/main" id="{E77B6F4B-4BF3-E17E-E53A-4417DB4DE4C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296953" y="2138569"/>
          <a:ext cx="912191" cy="925996"/>
        </a:xfrm>
        <a:prstGeom prst="rect">
          <a:avLst/>
        </a:prstGeom>
      </xdr:spPr>
    </xdr:pic>
    <xdr:clientData/>
  </xdr:twoCellAnchor>
  <xdr:twoCellAnchor editAs="oneCell">
    <xdr:from>
      <xdr:col>10</xdr:col>
      <xdr:colOff>162891</xdr:colOff>
      <xdr:row>11</xdr:row>
      <xdr:rowOff>65708</xdr:rowOff>
    </xdr:from>
    <xdr:to>
      <xdr:col>11</xdr:col>
      <xdr:colOff>467691</xdr:colOff>
      <xdr:row>16</xdr:row>
      <xdr:rowOff>25400</xdr:rowOff>
    </xdr:to>
    <xdr:pic>
      <xdr:nvPicPr>
        <xdr:cNvPr id="74" name="Graphic 73" descr="Checklist with solid fill">
          <a:extLst>
            <a:ext uri="{FF2B5EF4-FFF2-40B4-BE49-F238E27FC236}">
              <a16:creationId xmlns:a16="http://schemas.microsoft.com/office/drawing/2014/main" id="{09DADBDE-F7A1-0302-1DFF-2B4875A65CA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236804" y="2163969"/>
          <a:ext cx="912191" cy="925996"/>
        </a:xfrm>
        <a:prstGeom prst="rect">
          <a:avLst/>
        </a:prstGeom>
      </xdr:spPr>
    </xdr:pic>
    <xdr:clientData/>
  </xdr:twoCellAnchor>
  <xdr:twoCellAnchor editAs="oneCell">
    <xdr:from>
      <xdr:col>25</xdr:col>
      <xdr:colOff>252895</xdr:colOff>
      <xdr:row>11</xdr:row>
      <xdr:rowOff>99391</xdr:rowOff>
    </xdr:from>
    <xdr:to>
      <xdr:col>26</xdr:col>
      <xdr:colOff>557695</xdr:colOff>
      <xdr:row>16</xdr:row>
      <xdr:rowOff>59083</xdr:rowOff>
    </xdr:to>
    <xdr:pic>
      <xdr:nvPicPr>
        <xdr:cNvPr id="76" name="Graphic 75" descr="Handshake with solid fill">
          <a:extLst>
            <a:ext uri="{FF2B5EF4-FFF2-40B4-BE49-F238E27FC236}">
              <a16:creationId xmlns:a16="http://schemas.microsoft.com/office/drawing/2014/main" id="{5C94D0C7-83F6-29BD-439A-9797DBFB15F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5437678" y="2197652"/>
          <a:ext cx="912191" cy="925996"/>
        </a:xfrm>
        <a:prstGeom prst="rect">
          <a:avLst/>
        </a:prstGeom>
      </xdr:spPr>
    </xdr:pic>
    <xdr:clientData/>
  </xdr:twoCellAnchor>
  <xdr:twoCellAnchor editAs="oneCell">
    <xdr:from>
      <xdr:col>4</xdr:col>
      <xdr:colOff>592428</xdr:colOff>
      <xdr:row>11</xdr:row>
      <xdr:rowOff>26832</xdr:rowOff>
    </xdr:from>
    <xdr:to>
      <xdr:col>6</xdr:col>
      <xdr:colOff>270455</xdr:colOff>
      <xdr:row>15</xdr:row>
      <xdr:rowOff>160985</xdr:rowOff>
    </xdr:to>
    <xdr:pic>
      <xdr:nvPicPr>
        <xdr:cNvPr id="18" name="Graphic 17" descr="List with solid fill">
          <a:extLst>
            <a:ext uri="{FF2B5EF4-FFF2-40B4-BE49-F238E27FC236}">
              <a16:creationId xmlns:a16="http://schemas.microsoft.com/office/drawing/2014/main" id="{C7406E30-177A-5E32-228D-8689AA877DD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3007217" y="2065987"/>
          <a:ext cx="885421" cy="8854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09.449420833334" createdVersion="8" refreshedVersion="8" minRefreshableVersion="3" recordCount="2000" xr:uid="{4A1353DF-25B8-4A19-BBA0-64DA42FABF89}">
  <cacheSource type="worksheet">
    <worksheetSource ref="A1:W2001" sheet="Cleaned Data"/>
  </cacheSource>
  <cacheFields count="23">
    <cacheField name="Claim_ID" numFmtId="0">
      <sharedItems/>
    </cacheField>
    <cacheField name="Customer_ID" numFmtId="0">
      <sharedItems/>
    </cacheField>
    <cacheField name="Policy_ID" numFmtId="0">
      <sharedItems/>
    </cacheField>
    <cacheField name="Policy_Type" numFmtId="0">
      <sharedItems count="12">
        <s v="Motor _x000a_Insurance"/>
        <s v="Life _x000a_Insurance"/>
        <s v="Health _x000a_Insurance"/>
        <s v="Business _x000a_Insurance"/>
        <s v="Travel _x000a_Insurance"/>
        <s v="Home _x000a_Insurance"/>
        <s v="Motor Insurance" u="1"/>
        <s v="Life Insurance" u="1"/>
        <s v="Health Insurance" u="1"/>
        <s v="Business Insurance" u="1"/>
        <s v="Travel Insurance" u="1"/>
        <s v="Home Insurance" u="1"/>
      </sharedItems>
    </cacheField>
    <cacheField name="Customer_Segment" numFmtId="0">
      <sharedItems count="3">
        <s v="Retail"/>
        <s v="SME"/>
        <s v="Corporate"/>
      </sharedItems>
    </cacheField>
    <cacheField name="Branch" numFmtId="0">
      <sharedItems count="7">
        <s v="Sharjah"/>
        <s v="Ajman"/>
        <s v="Ras Al _x000a_Khaimah"/>
        <s v="Abu Dhabi"/>
        <s v="Dubai"/>
        <s v="Al Ain"/>
        <s v="Ras Al Khaimah" u="1"/>
      </sharedItems>
    </cacheField>
    <cacheField name="Claim_Channel" numFmtId="0">
      <sharedItems count="3">
        <s v="Agent"/>
        <s v="Branch"/>
        <s v="Mobile App"/>
      </sharedItems>
    </cacheField>
    <cacheField name="Claim_Reason" numFmtId="0">
      <sharedItems count="8">
        <s v="Medical Treatment"/>
        <s v="Hospitalization"/>
        <s v="Accident"/>
        <s v="Property Damage"/>
        <s v="Theft"/>
        <s v="Fire Damage"/>
        <s v="Travel Cancellation"/>
        <s v="Vehicle Damage"/>
      </sharedItems>
    </cacheField>
    <cacheField name="Policy_Start_Date" numFmtId="164">
      <sharedItems containsSemiMixedTypes="0" containsNonDate="0" containsDate="1" containsString="0" minDate="2023-01-11T00:00:00" maxDate="2024-11-22T00:00:00"/>
    </cacheField>
    <cacheField name="Policy_Premium_Frequency" numFmtId="0">
      <sharedItems/>
    </cacheField>
    <cacheField name="Claim_Date" numFmtId="164">
      <sharedItems containsSemiMixedTypes="0" containsNonDate="0" containsDate="1" containsString="0" minDate="2024-01-01T00:00:00" maxDate="2025-01-01T00:00:00"/>
    </cacheField>
    <cacheField name="Claim_Status" numFmtId="0">
      <sharedItems count="3">
        <s v="Rejected"/>
        <s v="Approved"/>
        <s v="Pending"/>
      </sharedItems>
    </cacheField>
    <cacheField name="Claim_Amount_AED" numFmtId="3">
      <sharedItems containsSemiMixedTypes="0" containsString="0" containsNumber="1" containsInteger="1" minValue="2016" maxValue="99269"/>
    </cacheField>
    <cacheField name="Premium_Amount_AED" numFmtId="3">
      <sharedItems containsSemiMixedTypes="0" containsString="0" containsNumber="1" containsInteger="1" minValue="501" maxValue="8994"/>
    </cacheField>
    <cacheField name="Settlement_Days" numFmtId="0">
      <sharedItems containsMixedTypes="1" containsNumber="1" containsInteger="1" minValue="2" maxValue="45"/>
    </cacheField>
    <cacheField name="Settlement_Date" numFmtId="0">
      <sharedItems containsDate="1" containsMixedTypes="1" minDate="2024-01-09T00:00:00" maxDate="2025-02-10T00:00:00"/>
    </cacheField>
    <cacheField name="Investigation_Required" numFmtId="0">
      <sharedItems count="2">
        <s v="No"/>
        <s v="Yes"/>
      </sharedItems>
    </cacheField>
    <cacheField name="Fraud_Flag" numFmtId="0">
      <sharedItems count="2">
        <s v="No"/>
        <s v="Yes"/>
      </sharedItems>
    </cacheField>
    <cacheField name="Renewal_Status" numFmtId="0">
      <sharedItems count="3">
        <s v="Not Renewed"/>
        <s v="Renewed"/>
        <s v="Pending Renewal"/>
      </sharedItems>
    </cacheField>
    <cacheField name="Loss_Ratio" numFmtId="2">
      <sharedItems containsSemiMixedTypes="0" containsString="0" containsNumber="1" minValue="0.2482" maxValue="149.72829999999999"/>
    </cacheField>
    <cacheField name="Claim_Age_Days" numFmtId="3">
      <sharedItems containsSemiMixedTypes="0" containsString="0" containsNumber="1" containsInteger="1" minValue="30" maxValue="365"/>
    </cacheField>
    <cacheField name="Claim_Year" numFmtId="3">
      <sharedItems containsSemiMixedTypes="0" containsString="0" containsNumber="1" containsInteger="1" minValue="2024" maxValue="2024"/>
    </cacheField>
    <cacheField name="Claim_Month" numFmtId="0">
      <sharedItems/>
    </cacheField>
  </cacheFields>
  <extLst>
    <ext xmlns:x14="http://schemas.microsoft.com/office/spreadsheetml/2009/9/main" uri="{725AE2AE-9491-48be-B2B4-4EB974FC3084}">
      <x14:pivotCacheDefinition pivotCacheId="2146496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DINS-CLM-100000"/>
    <s v="DINS-CUS-500000"/>
    <s v="DINS-POL-200000"/>
    <x v="0"/>
    <x v="0"/>
    <x v="0"/>
    <x v="0"/>
    <x v="0"/>
    <d v="2023-10-23T00:00:00"/>
    <s v="Monthly"/>
    <d v="2024-02-20T00:00:00"/>
    <x v="0"/>
    <n v="47545"/>
    <n v="7236"/>
    <s v="N/A - Not Settled"/>
    <s v="N/A - Not Settled"/>
    <x v="0"/>
    <x v="0"/>
    <x v="0"/>
    <n v="6.5705999999999998"/>
    <n v="120"/>
    <n v="2024"/>
    <s v="February"/>
  </r>
  <r>
    <s v="DINS-CLM-100001"/>
    <s v="DINS-CUS-500001"/>
    <s v="DINS-POL-200001"/>
    <x v="0"/>
    <x v="0"/>
    <x v="0"/>
    <x v="1"/>
    <x v="1"/>
    <d v="2023-08-16T00:00:00"/>
    <s v="Annual"/>
    <d v="2024-07-13T00:00:00"/>
    <x v="0"/>
    <n v="16168"/>
    <n v="7951"/>
    <s v="N/A - Not Settled"/>
    <s v="N/A - Not Settled"/>
    <x v="0"/>
    <x v="0"/>
    <x v="1"/>
    <n v="2.0335000000000001"/>
    <n v="332"/>
    <n v="2024"/>
    <s v="July"/>
  </r>
  <r>
    <s v="DINS-CLM-100002"/>
    <s v="DINS-CUS-500002"/>
    <s v="DINS-POL-200002"/>
    <x v="0"/>
    <x v="0"/>
    <x v="1"/>
    <x v="1"/>
    <x v="1"/>
    <d v="2023-12-30T00:00:00"/>
    <s v="Annual"/>
    <d v="2024-04-19T00:00:00"/>
    <x v="0"/>
    <n v="11241"/>
    <n v="3994"/>
    <s v="N/A - Not Settled"/>
    <s v="N/A - Not Settled"/>
    <x v="0"/>
    <x v="0"/>
    <x v="1"/>
    <n v="2.8144999999999998"/>
    <n v="111"/>
    <n v="2024"/>
    <s v="April"/>
  </r>
  <r>
    <s v="DINS-CLM-100003"/>
    <s v="DINS-CUS-500003"/>
    <s v="DINS-POL-200003"/>
    <x v="1"/>
    <x v="1"/>
    <x v="2"/>
    <x v="0"/>
    <x v="1"/>
    <d v="2023-07-27T00:00:00"/>
    <s v="Annual"/>
    <d v="2024-05-16T00:00:00"/>
    <x v="0"/>
    <n v="38646"/>
    <n v="5713"/>
    <s v="N/A - Not Settled"/>
    <s v="N/A - Not Settled"/>
    <x v="0"/>
    <x v="0"/>
    <x v="1"/>
    <n v="6.7645999999999997"/>
    <n v="294"/>
    <n v="2024"/>
    <s v="May"/>
  </r>
  <r>
    <s v="DINS-CLM-100004"/>
    <s v="DINS-CUS-500004"/>
    <s v="DINS-POL-200004"/>
    <x v="2"/>
    <x v="0"/>
    <x v="3"/>
    <x v="2"/>
    <x v="2"/>
    <d v="2024-08-30T00:00:00"/>
    <s v="Monthly"/>
    <d v="2024-11-08T00:00:00"/>
    <x v="1"/>
    <n v="21352"/>
    <n v="3680"/>
    <n v="13"/>
    <d v="2024-11-21T00:00:00"/>
    <x v="0"/>
    <x v="0"/>
    <x v="2"/>
    <n v="5.8022"/>
    <n v="70"/>
    <n v="2024"/>
    <s v="November"/>
  </r>
  <r>
    <s v="DINS-CLM-100005"/>
    <s v="DINS-CUS-500005"/>
    <s v="DINS-POL-200005"/>
    <x v="3"/>
    <x v="0"/>
    <x v="4"/>
    <x v="1"/>
    <x v="2"/>
    <d v="2024-05-03T00:00:00"/>
    <s v="Annual"/>
    <d v="2024-06-23T00:00:00"/>
    <x v="2"/>
    <n v="89458"/>
    <n v="6003"/>
    <s v="N/A - Not Settled"/>
    <s v="N/A - Not Settled"/>
    <x v="0"/>
    <x v="0"/>
    <x v="0"/>
    <n v="14.902200000000001"/>
    <n v="51"/>
    <n v="2024"/>
    <s v="June"/>
  </r>
  <r>
    <s v="DINS-CLM-100006"/>
    <s v="DINS-CUS-500006"/>
    <s v="DINS-POL-200006"/>
    <x v="2"/>
    <x v="1"/>
    <x v="5"/>
    <x v="0"/>
    <x v="3"/>
    <d v="2023-09-02T00:00:00"/>
    <s v="Monthly"/>
    <d v="2024-01-29T00:00:00"/>
    <x v="1"/>
    <n v="5049"/>
    <n v="4328"/>
    <n v="17"/>
    <d v="2024-02-15T00:00:00"/>
    <x v="0"/>
    <x v="0"/>
    <x v="2"/>
    <n v="1.1666000000000001"/>
    <n v="149"/>
    <n v="2024"/>
    <s v="January"/>
  </r>
  <r>
    <s v="DINS-CLM-100007"/>
    <s v="DINS-CUS-500007"/>
    <s v="DINS-POL-200007"/>
    <x v="4"/>
    <x v="1"/>
    <x v="1"/>
    <x v="2"/>
    <x v="1"/>
    <d v="2023-11-27T00:00:00"/>
    <s v="Annual"/>
    <d v="2024-03-18T00:00:00"/>
    <x v="1"/>
    <n v="5338"/>
    <n v="2720"/>
    <n v="6"/>
    <d v="2024-03-24T00:00:00"/>
    <x v="0"/>
    <x v="0"/>
    <x v="1"/>
    <n v="1.9624999999999999"/>
    <n v="112"/>
    <n v="2024"/>
    <s v="March"/>
  </r>
  <r>
    <s v="DINS-CLM-100008"/>
    <s v="DINS-CUS-500008"/>
    <s v="DINS-POL-200008"/>
    <x v="0"/>
    <x v="0"/>
    <x v="2"/>
    <x v="1"/>
    <x v="3"/>
    <d v="2024-03-09T00:00:00"/>
    <s v="Monthly"/>
    <d v="2024-06-10T00:00:00"/>
    <x v="1"/>
    <n v="19024"/>
    <n v="8647"/>
    <n v="18"/>
    <d v="2024-06-28T00:00:00"/>
    <x v="0"/>
    <x v="0"/>
    <x v="2"/>
    <n v="2.2000999999999999"/>
    <n v="93"/>
    <n v="2024"/>
    <s v="June"/>
  </r>
  <r>
    <s v="DINS-CLM-100009"/>
    <s v="DINS-CUS-500009"/>
    <s v="DINS-POL-200009"/>
    <x v="5"/>
    <x v="0"/>
    <x v="5"/>
    <x v="2"/>
    <x v="1"/>
    <d v="2023-06-02T00:00:00"/>
    <s v="Monthly"/>
    <d v="2024-02-21T00:00:00"/>
    <x v="2"/>
    <n v="62465"/>
    <n v="2661"/>
    <s v="N/A - Not Settled"/>
    <s v="N/A - Not Settled"/>
    <x v="0"/>
    <x v="0"/>
    <x v="2"/>
    <n v="23.474299999999999"/>
    <n v="264"/>
    <n v="2024"/>
    <s v="February"/>
  </r>
  <r>
    <s v="DINS-CLM-100010"/>
    <s v="DINS-CUS-500010"/>
    <s v="DINS-POL-200010"/>
    <x v="0"/>
    <x v="2"/>
    <x v="5"/>
    <x v="2"/>
    <x v="4"/>
    <d v="2024-04-13T00:00:00"/>
    <s v="Annual"/>
    <d v="2024-12-19T00:00:00"/>
    <x v="1"/>
    <n v="41147"/>
    <n v="7954"/>
    <n v="23"/>
    <d v="2025-01-11T00:00:00"/>
    <x v="0"/>
    <x v="0"/>
    <x v="1"/>
    <n v="5.1730999999999998"/>
    <n v="250"/>
    <n v="2024"/>
    <s v="December"/>
  </r>
  <r>
    <s v="DINS-CLM-100011"/>
    <s v="DINS-CUS-500011"/>
    <s v="DINS-POL-200011"/>
    <x v="3"/>
    <x v="1"/>
    <x v="1"/>
    <x v="1"/>
    <x v="5"/>
    <d v="2024-08-24T00:00:00"/>
    <s v="Annual"/>
    <d v="2024-10-10T00:00:00"/>
    <x v="1"/>
    <n v="67525"/>
    <n v="7043"/>
    <n v="5"/>
    <d v="2024-10-15T00:00:00"/>
    <x v="1"/>
    <x v="1"/>
    <x v="1"/>
    <n v="9.5875000000000004"/>
    <n v="47"/>
    <n v="2024"/>
    <s v="October"/>
  </r>
  <r>
    <s v="DINS-CLM-100012"/>
    <s v="DINS-CUS-500012"/>
    <s v="DINS-POL-200012"/>
    <x v="2"/>
    <x v="0"/>
    <x v="1"/>
    <x v="1"/>
    <x v="4"/>
    <d v="2023-04-20T00:00:00"/>
    <s v="Monthly"/>
    <d v="2024-02-06T00:00:00"/>
    <x v="1"/>
    <n v="11229"/>
    <n v="3878"/>
    <n v="40"/>
    <d v="2024-03-17T00:00:00"/>
    <x v="0"/>
    <x v="0"/>
    <x v="1"/>
    <n v="2.8956"/>
    <n v="292"/>
    <n v="2024"/>
    <s v="February"/>
  </r>
  <r>
    <s v="DINS-CLM-100013"/>
    <s v="DINS-CUS-500013"/>
    <s v="DINS-POL-200013"/>
    <x v="3"/>
    <x v="1"/>
    <x v="1"/>
    <x v="2"/>
    <x v="0"/>
    <d v="2023-09-09T00:00:00"/>
    <s v="Annual"/>
    <d v="2024-03-10T00:00:00"/>
    <x v="1"/>
    <n v="77481"/>
    <n v="4241"/>
    <n v="21"/>
    <d v="2024-03-31T00:00:00"/>
    <x v="0"/>
    <x v="0"/>
    <x v="0"/>
    <n v="18.269500000000001"/>
    <n v="183"/>
    <n v="2024"/>
    <s v="March"/>
  </r>
  <r>
    <s v="DINS-CLM-100014"/>
    <s v="DINS-CUS-500014"/>
    <s v="DINS-POL-200014"/>
    <x v="4"/>
    <x v="0"/>
    <x v="4"/>
    <x v="1"/>
    <x v="1"/>
    <d v="2024-04-02T00:00:00"/>
    <s v="Annual"/>
    <d v="2024-07-12T00:00:00"/>
    <x v="0"/>
    <n v="4682"/>
    <n v="7664"/>
    <s v="N/A - Not Settled"/>
    <s v="N/A - Not Settled"/>
    <x v="0"/>
    <x v="0"/>
    <x v="0"/>
    <n v="0.6109"/>
    <n v="101"/>
    <n v="2024"/>
    <s v="July"/>
  </r>
  <r>
    <s v="DINS-CLM-100015"/>
    <s v="DINS-CUS-500015"/>
    <s v="DINS-POL-200015"/>
    <x v="4"/>
    <x v="1"/>
    <x v="2"/>
    <x v="2"/>
    <x v="4"/>
    <d v="2023-04-10T00:00:00"/>
    <s v="Annual"/>
    <d v="2024-02-11T00:00:00"/>
    <x v="1"/>
    <n v="16256"/>
    <n v="1164"/>
    <n v="29"/>
    <d v="2024-03-11T00:00:00"/>
    <x v="0"/>
    <x v="0"/>
    <x v="2"/>
    <n v="13.9656"/>
    <n v="307"/>
    <n v="2024"/>
    <s v="February"/>
  </r>
  <r>
    <s v="DINS-CLM-100016"/>
    <s v="DINS-CUS-500016"/>
    <s v="DINS-POL-200016"/>
    <x v="0"/>
    <x v="1"/>
    <x v="1"/>
    <x v="2"/>
    <x v="5"/>
    <d v="2023-12-12T00:00:00"/>
    <s v="Annual"/>
    <d v="2024-12-03T00:00:00"/>
    <x v="1"/>
    <n v="54402"/>
    <n v="7846"/>
    <n v="5"/>
    <d v="2024-12-08T00:00:00"/>
    <x v="0"/>
    <x v="0"/>
    <x v="1"/>
    <n v="6.9337"/>
    <n v="357"/>
    <n v="2024"/>
    <s v="December"/>
  </r>
  <r>
    <s v="DINS-CLM-100017"/>
    <s v="DINS-CUS-500017"/>
    <s v="DINS-POL-200017"/>
    <x v="0"/>
    <x v="0"/>
    <x v="2"/>
    <x v="2"/>
    <x v="0"/>
    <d v="2023-11-06T00:00:00"/>
    <s v="Monthly"/>
    <d v="2024-08-27T00:00:00"/>
    <x v="1"/>
    <n v="49517"/>
    <n v="4760"/>
    <n v="6"/>
    <d v="2024-09-02T00:00:00"/>
    <x v="0"/>
    <x v="0"/>
    <x v="1"/>
    <n v="10.402699999999999"/>
    <n v="295"/>
    <n v="2024"/>
    <s v="August"/>
  </r>
  <r>
    <s v="DINS-CLM-100018"/>
    <s v="DINS-CUS-500018"/>
    <s v="DINS-POL-200018"/>
    <x v="3"/>
    <x v="1"/>
    <x v="3"/>
    <x v="2"/>
    <x v="6"/>
    <d v="2023-11-07T00:00:00"/>
    <s v="Monthly"/>
    <d v="2024-03-22T00:00:00"/>
    <x v="1"/>
    <n v="82377"/>
    <n v="1029"/>
    <n v="3"/>
    <d v="2024-03-25T00:00:00"/>
    <x v="1"/>
    <x v="1"/>
    <x v="0"/>
    <n v="80.055400000000006"/>
    <n v="136"/>
    <n v="2024"/>
    <s v="March"/>
  </r>
  <r>
    <s v="DINS-CLM-100019"/>
    <s v="DINS-CUS-500019"/>
    <s v="DINS-POL-200019"/>
    <x v="0"/>
    <x v="2"/>
    <x v="1"/>
    <x v="1"/>
    <x v="5"/>
    <d v="2023-12-04T00:00:00"/>
    <s v="Annual"/>
    <d v="2024-03-13T00:00:00"/>
    <x v="2"/>
    <n v="42101"/>
    <n v="5922"/>
    <s v="N/A - Not Settled"/>
    <s v="N/A - Not Settled"/>
    <x v="0"/>
    <x v="0"/>
    <x v="0"/>
    <n v="7.1093000000000002"/>
    <n v="100"/>
    <n v="2024"/>
    <s v="March"/>
  </r>
  <r>
    <s v="DINS-CLM-100020"/>
    <s v="DINS-CUS-500020"/>
    <s v="DINS-POL-200020"/>
    <x v="1"/>
    <x v="2"/>
    <x v="0"/>
    <x v="1"/>
    <x v="6"/>
    <d v="2023-05-31T00:00:00"/>
    <s v="Annual"/>
    <d v="2024-02-06T00:00:00"/>
    <x v="1"/>
    <n v="11147"/>
    <n v="7383"/>
    <n v="28"/>
    <d v="2024-03-05T00:00:00"/>
    <x v="0"/>
    <x v="0"/>
    <x v="0"/>
    <n v="1.5098"/>
    <n v="251"/>
    <n v="2024"/>
    <s v="February"/>
  </r>
  <r>
    <s v="DINS-CLM-100021"/>
    <s v="DINS-CUS-500021"/>
    <s v="DINS-POL-200021"/>
    <x v="3"/>
    <x v="2"/>
    <x v="1"/>
    <x v="1"/>
    <x v="6"/>
    <d v="2023-11-30T00:00:00"/>
    <s v="Annual"/>
    <d v="2024-04-17T00:00:00"/>
    <x v="1"/>
    <n v="40242"/>
    <n v="3268"/>
    <n v="42"/>
    <d v="2024-05-29T00:00:00"/>
    <x v="0"/>
    <x v="0"/>
    <x v="1"/>
    <n v="12.314"/>
    <n v="139"/>
    <n v="2024"/>
    <s v="April"/>
  </r>
  <r>
    <s v="DINS-CLM-100022"/>
    <s v="DINS-CUS-500022"/>
    <s v="DINS-POL-200022"/>
    <x v="0"/>
    <x v="1"/>
    <x v="0"/>
    <x v="1"/>
    <x v="5"/>
    <d v="2024-01-20T00:00:00"/>
    <s v="Monthly"/>
    <d v="2024-10-05T00:00:00"/>
    <x v="1"/>
    <n v="4747"/>
    <n v="4656"/>
    <n v="31"/>
    <d v="2024-11-05T00:00:00"/>
    <x v="0"/>
    <x v="0"/>
    <x v="2"/>
    <n v="1.0195000000000001"/>
    <n v="259"/>
    <n v="2024"/>
    <s v="October"/>
  </r>
  <r>
    <s v="DINS-CLM-100023"/>
    <s v="DINS-CUS-500023"/>
    <s v="DINS-POL-200023"/>
    <x v="0"/>
    <x v="2"/>
    <x v="1"/>
    <x v="1"/>
    <x v="6"/>
    <d v="2023-11-03T00:00:00"/>
    <s v="Monthly"/>
    <d v="2024-05-14T00:00:00"/>
    <x v="1"/>
    <n v="10392"/>
    <n v="1407"/>
    <n v="10"/>
    <d v="2024-05-24T00:00:00"/>
    <x v="1"/>
    <x v="0"/>
    <x v="0"/>
    <n v="7.3859000000000004"/>
    <n v="193"/>
    <n v="2024"/>
    <s v="May"/>
  </r>
  <r>
    <s v="DINS-CLM-100024"/>
    <s v="DINS-CUS-500024"/>
    <s v="DINS-POL-200024"/>
    <x v="1"/>
    <x v="0"/>
    <x v="4"/>
    <x v="2"/>
    <x v="3"/>
    <d v="2023-12-12T00:00:00"/>
    <s v="Annual"/>
    <d v="2024-02-19T00:00:00"/>
    <x v="0"/>
    <n v="41494"/>
    <n v="7628"/>
    <s v="N/A - Not Settled"/>
    <s v="N/A - Not Settled"/>
    <x v="0"/>
    <x v="0"/>
    <x v="1"/>
    <n v="5.4397000000000002"/>
    <n v="69"/>
    <n v="2024"/>
    <s v="February"/>
  </r>
  <r>
    <s v="DINS-CLM-100025"/>
    <s v="DINS-CUS-500025"/>
    <s v="DINS-POL-200025"/>
    <x v="3"/>
    <x v="1"/>
    <x v="3"/>
    <x v="2"/>
    <x v="5"/>
    <d v="2023-03-22T00:00:00"/>
    <s v="Annual"/>
    <d v="2024-01-20T00:00:00"/>
    <x v="1"/>
    <n v="64241"/>
    <n v="3733"/>
    <n v="11"/>
    <d v="2024-01-31T00:00:00"/>
    <x v="0"/>
    <x v="0"/>
    <x v="0"/>
    <n v="17.2089"/>
    <n v="304"/>
    <n v="2024"/>
    <s v="January"/>
  </r>
  <r>
    <s v="DINS-CLM-100026"/>
    <s v="DINS-CUS-500026"/>
    <s v="DINS-POL-200026"/>
    <x v="2"/>
    <x v="1"/>
    <x v="2"/>
    <x v="0"/>
    <x v="3"/>
    <d v="2023-09-13T00:00:00"/>
    <s v="Monthly"/>
    <d v="2024-01-15T00:00:00"/>
    <x v="1"/>
    <n v="24668"/>
    <n v="1358"/>
    <n v="5"/>
    <d v="2024-01-20T00:00:00"/>
    <x v="1"/>
    <x v="0"/>
    <x v="2"/>
    <n v="18.164899999999999"/>
    <n v="124"/>
    <n v="2024"/>
    <s v="January"/>
  </r>
  <r>
    <s v="DINS-CLM-100027"/>
    <s v="DINS-CUS-500027"/>
    <s v="DINS-POL-200027"/>
    <x v="3"/>
    <x v="0"/>
    <x v="0"/>
    <x v="1"/>
    <x v="2"/>
    <d v="2024-01-24T00:00:00"/>
    <s v="Annual"/>
    <d v="2024-08-31T00:00:00"/>
    <x v="0"/>
    <n v="24893"/>
    <n v="6643"/>
    <s v="N/A - Not Settled"/>
    <s v="N/A - Not Settled"/>
    <x v="0"/>
    <x v="0"/>
    <x v="1"/>
    <n v="3.7473000000000001"/>
    <n v="220"/>
    <n v="2024"/>
    <s v="August"/>
  </r>
  <r>
    <s v="DINS-CLM-100028"/>
    <s v="DINS-CUS-500028"/>
    <s v="DINS-POL-200028"/>
    <x v="2"/>
    <x v="0"/>
    <x v="3"/>
    <x v="2"/>
    <x v="2"/>
    <d v="2023-07-13T00:00:00"/>
    <s v="Annual"/>
    <d v="2024-07-01T00:00:00"/>
    <x v="0"/>
    <n v="3981"/>
    <n v="6469"/>
    <s v="N/A - Not Settled"/>
    <s v="N/A - Not Settled"/>
    <x v="1"/>
    <x v="0"/>
    <x v="0"/>
    <n v="0.61539999999999995"/>
    <n v="354"/>
    <n v="2024"/>
    <s v="July"/>
  </r>
  <r>
    <s v="DINS-CLM-100029"/>
    <s v="DINS-CUS-500029"/>
    <s v="DINS-POL-200029"/>
    <x v="5"/>
    <x v="1"/>
    <x v="4"/>
    <x v="2"/>
    <x v="4"/>
    <d v="2024-10-07T00:00:00"/>
    <s v="Annual"/>
    <d v="2024-12-17T00:00:00"/>
    <x v="1"/>
    <n v="11115"/>
    <n v="8137"/>
    <n v="35"/>
    <d v="2025-01-21T00:00:00"/>
    <x v="0"/>
    <x v="0"/>
    <x v="1"/>
    <n v="1.3660000000000001"/>
    <n v="71"/>
    <n v="2024"/>
    <s v="December"/>
  </r>
  <r>
    <s v="DINS-CLM-100030"/>
    <s v="DINS-CUS-500030"/>
    <s v="DINS-POL-200030"/>
    <x v="3"/>
    <x v="1"/>
    <x v="0"/>
    <x v="0"/>
    <x v="3"/>
    <d v="2024-03-30T00:00:00"/>
    <s v="Monthly"/>
    <d v="2024-12-15T00:00:00"/>
    <x v="1"/>
    <n v="65322"/>
    <n v="7378"/>
    <n v="24"/>
    <d v="2025-01-08T00:00:00"/>
    <x v="0"/>
    <x v="0"/>
    <x v="0"/>
    <n v="8.8536000000000001"/>
    <n v="260"/>
    <n v="2024"/>
    <s v="December"/>
  </r>
  <r>
    <s v="DINS-CLM-100031"/>
    <s v="DINS-CUS-500031"/>
    <s v="DINS-POL-200031"/>
    <x v="3"/>
    <x v="2"/>
    <x v="5"/>
    <x v="1"/>
    <x v="0"/>
    <d v="2024-03-14T00:00:00"/>
    <s v="Monthly"/>
    <d v="2024-10-05T00:00:00"/>
    <x v="1"/>
    <n v="36612"/>
    <n v="7777"/>
    <n v="38"/>
    <d v="2024-11-12T00:00:00"/>
    <x v="0"/>
    <x v="0"/>
    <x v="0"/>
    <n v="4.7077"/>
    <n v="205"/>
    <n v="2024"/>
    <s v="October"/>
  </r>
  <r>
    <s v="DINS-CLM-100032"/>
    <s v="DINS-CUS-500032"/>
    <s v="DINS-POL-200032"/>
    <x v="2"/>
    <x v="1"/>
    <x v="5"/>
    <x v="1"/>
    <x v="7"/>
    <d v="2023-12-05T00:00:00"/>
    <s v="Annual"/>
    <d v="2024-04-24T00:00:00"/>
    <x v="1"/>
    <n v="26506"/>
    <n v="1192"/>
    <n v="13"/>
    <d v="2024-05-07T00:00:00"/>
    <x v="0"/>
    <x v="0"/>
    <x v="1"/>
    <n v="22.236599999999999"/>
    <n v="141"/>
    <n v="2024"/>
    <s v="April"/>
  </r>
  <r>
    <s v="DINS-CLM-100033"/>
    <s v="DINS-CUS-500033"/>
    <s v="DINS-POL-200033"/>
    <x v="0"/>
    <x v="0"/>
    <x v="5"/>
    <x v="0"/>
    <x v="7"/>
    <d v="2023-07-11T00:00:00"/>
    <s v="Monthly"/>
    <d v="2024-01-29T00:00:00"/>
    <x v="0"/>
    <n v="54352"/>
    <n v="660"/>
    <s v="N/A - Not Settled"/>
    <s v="N/A - Not Settled"/>
    <x v="1"/>
    <x v="0"/>
    <x v="0"/>
    <n v="82.351500000000001"/>
    <n v="202"/>
    <n v="2024"/>
    <s v="January"/>
  </r>
  <r>
    <s v="DINS-CLM-100034"/>
    <s v="DINS-CUS-500034"/>
    <s v="DINS-POL-200034"/>
    <x v="2"/>
    <x v="0"/>
    <x v="2"/>
    <x v="2"/>
    <x v="7"/>
    <d v="2023-10-16T00:00:00"/>
    <s v="Monthly"/>
    <d v="2024-09-24T00:00:00"/>
    <x v="2"/>
    <n v="39981"/>
    <n v="1526"/>
    <s v="N/A - Not Settled"/>
    <s v="N/A - Not Settled"/>
    <x v="0"/>
    <x v="0"/>
    <x v="1"/>
    <n v="26.1999"/>
    <n v="344"/>
    <n v="2024"/>
    <s v="September"/>
  </r>
  <r>
    <s v="DINS-CLM-100035"/>
    <s v="DINS-CUS-500035"/>
    <s v="DINS-POL-200035"/>
    <x v="3"/>
    <x v="0"/>
    <x v="5"/>
    <x v="0"/>
    <x v="4"/>
    <d v="2024-02-01T00:00:00"/>
    <s v="Monthly"/>
    <d v="2024-09-18T00:00:00"/>
    <x v="2"/>
    <n v="77033"/>
    <n v="7040"/>
    <s v="N/A - Not Settled"/>
    <s v="N/A - Not Settled"/>
    <x v="0"/>
    <x v="0"/>
    <x v="1"/>
    <n v="10.9422"/>
    <n v="230"/>
    <n v="2024"/>
    <s v="September"/>
  </r>
  <r>
    <s v="DINS-CLM-100036"/>
    <s v="DINS-CUS-500036"/>
    <s v="DINS-POL-200036"/>
    <x v="0"/>
    <x v="0"/>
    <x v="3"/>
    <x v="0"/>
    <x v="7"/>
    <d v="2024-03-09T00:00:00"/>
    <s v="Annual"/>
    <d v="2024-09-14T00:00:00"/>
    <x v="1"/>
    <n v="48839"/>
    <n v="5318"/>
    <n v="15"/>
    <d v="2024-09-29T00:00:00"/>
    <x v="0"/>
    <x v="0"/>
    <x v="2"/>
    <n v="9.1837"/>
    <n v="189"/>
    <n v="2024"/>
    <s v="September"/>
  </r>
  <r>
    <s v="DINS-CLM-100037"/>
    <s v="DINS-CUS-500037"/>
    <s v="DINS-POL-200037"/>
    <x v="2"/>
    <x v="1"/>
    <x v="3"/>
    <x v="0"/>
    <x v="4"/>
    <d v="2024-09-05T00:00:00"/>
    <s v="Annual"/>
    <d v="2024-12-17T00:00:00"/>
    <x v="1"/>
    <n v="31354"/>
    <n v="2080"/>
    <n v="45"/>
    <d v="2025-01-31T00:00:00"/>
    <x v="0"/>
    <x v="0"/>
    <x v="1"/>
    <n v="15.074"/>
    <n v="103"/>
    <n v="2024"/>
    <s v="December"/>
  </r>
  <r>
    <s v="DINS-CLM-100038"/>
    <s v="DINS-CUS-500038"/>
    <s v="DINS-POL-200038"/>
    <x v="0"/>
    <x v="0"/>
    <x v="4"/>
    <x v="2"/>
    <x v="7"/>
    <d v="2023-12-25T00:00:00"/>
    <s v="Annual"/>
    <d v="2024-08-19T00:00:00"/>
    <x v="2"/>
    <n v="56470"/>
    <n v="3722"/>
    <s v="N/A - Not Settled"/>
    <s v="N/A - Not Settled"/>
    <x v="0"/>
    <x v="0"/>
    <x v="1"/>
    <n v="15.172000000000001"/>
    <n v="238"/>
    <n v="2024"/>
    <s v="August"/>
  </r>
  <r>
    <s v="DINS-CLM-100039"/>
    <s v="DINS-CUS-500039"/>
    <s v="DINS-POL-200039"/>
    <x v="0"/>
    <x v="0"/>
    <x v="2"/>
    <x v="1"/>
    <x v="7"/>
    <d v="2024-06-06T00:00:00"/>
    <s v="Monthly"/>
    <d v="2024-11-27T00:00:00"/>
    <x v="1"/>
    <n v="13436"/>
    <n v="4567"/>
    <n v="35"/>
    <d v="2025-01-01T00:00:00"/>
    <x v="0"/>
    <x v="0"/>
    <x v="1"/>
    <n v="2.9420000000000002"/>
    <n v="174"/>
    <n v="2024"/>
    <s v="November"/>
  </r>
  <r>
    <s v="DINS-CLM-100040"/>
    <s v="DINS-CUS-500040"/>
    <s v="DINS-POL-200040"/>
    <x v="3"/>
    <x v="2"/>
    <x v="5"/>
    <x v="2"/>
    <x v="3"/>
    <d v="2024-01-22T00:00:00"/>
    <s v="Annual"/>
    <d v="2024-09-20T00:00:00"/>
    <x v="0"/>
    <n v="32947"/>
    <n v="6225"/>
    <s v="N/A - Not Settled"/>
    <s v="N/A - Not Settled"/>
    <x v="0"/>
    <x v="0"/>
    <x v="1"/>
    <n v="5.2927"/>
    <n v="242"/>
    <n v="2024"/>
    <s v="September"/>
  </r>
  <r>
    <s v="DINS-CLM-100041"/>
    <s v="DINS-CUS-500041"/>
    <s v="DINS-POL-200041"/>
    <x v="3"/>
    <x v="1"/>
    <x v="5"/>
    <x v="2"/>
    <x v="6"/>
    <d v="2023-07-02T00:00:00"/>
    <s v="Monthly"/>
    <d v="2024-02-28T00:00:00"/>
    <x v="1"/>
    <n v="70198"/>
    <n v="7646"/>
    <n v="3"/>
    <d v="2024-03-02T00:00:00"/>
    <x v="1"/>
    <x v="0"/>
    <x v="0"/>
    <n v="9.1809999999999992"/>
    <n v="241"/>
    <n v="2024"/>
    <s v="February"/>
  </r>
  <r>
    <s v="DINS-CLM-100042"/>
    <s v="DINS-CUS-500042"/>
    <s v="DINS-POL-200042"/>
    <x v="0"/>
    <x v="1"/>
    <x v="4"/>
    <x v="0"/>
    <x v="6"/>
    <d v="2023-04-29T00:00:00"/>
    <s v="Annual"/>
    <d v="2024-01-27T00:00:00"/>
    <x v="1"/>
    <n v="51423"/>
    <n v="1280"/>
    <n v="8"/>
    <d v="2024-02-04T00:00:00"/>
    <x v="0"/>
    <x v="0"/>
    <x v="2"/>
    <n v="40.174199999999999"/>
    <n v="273"/>
    <n v="2024"/>
    <s v="January"/>
  </r>
  <r>
    <s v="DINS-CLM-100043"/>
    <s v="DINS-CUS-500043"/>
    <s v="DINS-POL-200043"/>
    <x v="0"/>
    <x v="2"/>
    <x v="4"/>
    <x v="2"/>
    <x v="2"/>
    <d v="2023-11-27T00:00:00"/>
    <s v="Annual"/>
    <d v="2024-01-20T00:00:00"/>
    <x v="2"/>
    <n v="46362"/>
    <n v="6102"/>
    <s v="N/A - Not Settled"/>
    <s v="N/A - Not Settled"/>
    <x v="0"/>
    <x v="0"/>
    <x v="1"/>
    <n v="7.5978000000000003"/>
    <n v="54"/>
    <n v="2024"/>
    <s v="January"/>
  </r>
  <r>
    <s v="DINS-CLM-100044"/>
    <s v="DINS-CUS-500044"/>
    <s v="DINS-POL-200044"/>
    <x v="4"/>
    <x v="1"/>
    <x v="4"/>
    <x v="0"/>
    <x v="1"/>
    <d v="2024-01-21T00:00:00"/>
    <s v="Monthly"/>
    <d v="2024-05-22T00:00:00"/>
    <x v="0"/>
    <n v="12413"/>
    <n v="5251"/>
    <s v="N/A - Not Settled"/>
    <s v="N/A - Not Settled"/>
    <x v="0"/>
    <x v="0"/>
    <x v="1"/>
    <n v="2.3639000000000001"/>
    <n v="122"/>
    <n v="2024"/>
    <s v="May"/>
  </r>
  <r>
    <s v="DINS-CLM-100045"/>
    <s v="DINS-CUS-500045"/>
    <s v="DINS-POL-200045"/>
    <x v="2"/>
    <x v="1"/>
    <x v="4"/>
    <x v="0"/>
    <x v="7"/>
    <d v="2023-06-11T00:00:00"/>
    <s v="Annual"/>
    <d v="2024-02-01T00:00:00"/>
    <x v="1"/>
    <n v="4404"/>
    <n v="1197"/>
    <n v="42"/>
    <d v="2024-03-14T00:00:00"/>
    <x v="0"/>
    <x v="0"/>
    <x v="0"/>
    <n v="3.6791999999999998"/>
    <n v="235"/>
    <n v="2024"/>
    <s v="February"/>
  </r>
  <r>
    <s v="DINS-CLM-100046"/>
    <s v="DINS-CUS-500046"/>
    <s v="DINS-POL-200046"/>
    <x v="3"/>
    <x v="0"/>
    <x v="1"/>
    <x v="0"/>
    <x v="1"/>
    <d v="2023-07-23T00:00:00"/>
    <s v="Monthly"/>
    <d v="2024-07-20T00:00:00"/>
    <x v="1"/>
    <n v="70242"/>
    <n v="1932"/>
    <n v="45"/>
    <d v="2024-09-03T00:00:00"/>
    <x v="1"/>
    <x v="1"/>
    <x v="2"/>
    <n v="36.357100000000003"/>
    <n v="363"/>
    <n v="2024"/>
    <s v="July"/>
  </r>
  <r>
    <s v="DINS-CLM-100047"/>
    <s v="DINS-CUS-500047"/>
    <s v="DINS-POL-200047"/>
    <x v="5"/>
    <x v="1"/>
    <x v="0"/>
    <x v="0"/>
    <x v="0"/>
    <d v="2024-08-11T00:00:00"/>
    <s v="Monthly"/>
    <d v="2024-12-03T00:00:00"/>
    <x v="1"/>
    <n v="48941"/>
    <n v="4706"/>
    <n v="33"/>
    <d v="2025-01-05T00:00:00"/>
    <x v="1"/>
    <x v="0"/>
    <x v="1"/>
    <n v="10.399699999999999"/>
    <n v="114"/>
    <n v="2024"/>
    <s v="December"/>
  </r>
  <r>
    <s v="DINS-CLM-100048"/>
    <s v="DINS-CUS-500048"/>
    <s v="DINS-POL-200048"/>
    <x v="0"/>
    <x v="1"/>
    <x v="1"/>
    <x v="2"/>
    <x v="1"/>
    <d v="2023-09-18T00:00:00"/>
    <s v="Monthly"/>
    <d v="2024-08-30T00:00:00"/>
    <x v="1"/>
    <n v="39697"/>
    <n v="4160"/>
    <n v="30"/>
    <d v="2024-09-29T00:00:00"/>
    <x v="0"/>
    <x v="0"/>
    <x v="2"/>
    <n v="9.5425000000000004"/>
    <n v="347"/>
    <n v="2024"/>
    <s v="August"/>
  </r>
  <r>
    <s v="DINS-CLM-100049"/>
    <s v="DINS-CUS-500049"/>
    <s v="DINS-POL-200049"/>
    <x v="3"/>
    <x v="1"/>
    <x v="1"/>
    <x v="2"/>
    <x v="5"/>
    <d v="2024-05-20T00:00:00"/>
    <s v="Annual"/>
    <d v="2024-07-31T00:00:00"/>
    <x v="1"/>
    <n v="38420"/>
    <n v="8333"/>
    <n v="14"/>
    <d v="2024-08-14T00:00:00"/>
    <x v="0"/>
    <x v="0"/>
    <x v="1"/>
    <n v="4.6105999999999998"/>
    <n v="72"/>
    <n v="2024"/>
    <s v="July"/>
  </r>
  <r>
    <s v="DINS-CLM-100050"/>
    <s v="DINS-CUS-500050"/>
    <s v="DINS-POL-200050"/>
    <x v="2"/>
    <x v="1"/>
    <x v="1"/>
    <x v="1"/>
    <x v="2"/>
    <d v="2024-06-02T00:00:00"/>
    <s v="Annual"/>
    <d v="2024-12-21T00:00:00"/>
    <x v="1"/>
    <n v="19286"/>
    <n v="779"/>
    <n v="3"/>
    <d v="2024-12-24T00:00:00"/>
    <x v="0"/>
    <x v="0"/>
    <x v="2"/>
    <n v="24.757400000000001"/>
    <n v="202"/>
    <n v="2024"/>
    <s v="December"/>
  </r>
  <r>
    <s v="DINS-CLM-100051"/>
    <s v="DINS-CUS-500051"/>
    <s v="DINS-POL-200051"/>
    <x v="2"/>
    <x v="0"/>
    <x v="0"/>
    <x v="2"/>
    <x v="0"/>
    <d v="2023-11-23T00:00:00"/>
    <s v="Monthly"/>
    <d v="2024-03-21T00:00:00"/>
    <x v="1"/>
    <n v="35613"/>
    <n v="4155"/>
    <n v="39"/>
    <d v="2024-04-29T00:00:00"/>
    <x v="0"/>
    <x v="0"/>
    <x v="1"/>
    <n v="8.5710999999999995"/>
    <n v="119"/>
    <n v="2024"/>
    <s v="March"/>
  </r>
  <r>
    <s v="DINS-CLM-100052"/>
    <s v="DINS-CUS-500052"/>
    <s v="DINS-POL-200052"/>
    <x v="3"/>
    <x v="1"/>
    <x v="5"/>
    <x v="1"/>
    <x v="1"/>
    <d v="2023-12-14T00:00:00"/>
    <s v="Annual"/>
    <d v="2024-08-17T00:00:00"/>
    <x v="0"/>
    <n v="60429"/>
    <n v="1454"/>
    <s v="N/A - Not Settled"/>
    <s v="N/A - Not Settled"/>
    <x v="0"/>
    <x v="0"/>
    <x v="1"/>
    <n v="41.560499999999998"/>
    <n v="247"/>
    <n v="2024"/>
    <s v="August"/>
  </r>
  <r>
    <s v="DINS-CLM-100053"/>
    <s v="DINS-CUS-500053"/>
    <s v="DINS-POL-200053"/>
    <x v="0"/>
    <x v="2"/>
    <x v="0"/>
    <x v="1"/>
    <x v="3"/>
    <d v="2023-10-11T00:00:00"/>
    <s v="Annual"/>
    <d v="2024-01-05T00:00:00"/>
    <x v="1"/>
    <n v="35009"/>
    <n v="7919"/>
    <n v="20"/>
    <d v="2024-01-25T00:00:00"/>
    <x v="0"/>
    <x v="0"/>
    <x v="2"/>
    <n v="4.4208999999999996"/>
    <n v="86"/>
    <n v="2024"/>
    <s v="January"/>
  </r>
  <r>
    <s v="DINS-CLM-100054"/>
    <s v="DINS-CUS-500054"/>
    <s v="DINS-POL-200054"/>
    <x v="3"/>
    <x v="0"/>
    <x v="0"/>
    <x v="1"/>
    <x v="6"/>
    <d v="2024-01-30T00:00:00"/>
    <s v="Annual"/>
    <d v="2024-11-03T00:00:00"/>
    <x v="0"/>
    <n v="36620"/>
    <n v="1200"/>
    <s v="N/A - Not Settled"/>
    <s v="N/A - Not Settled"/>
    <x v="0"/>
    <x v="0"/>
    <x v="1"/>
    <n v="30.5167"/>
    <n v="278"/>
    <n v="2024"/>
    <s v="November"/>
  </r>
  <r>
    <s v="DINS-CLM-100055"/>
    <s v="DINS-CUS-500055"/>
    <s v="DINS-POL-200055"/>
    <x v="0"/>
    <x v="1"/>
    <x v="0"/>
    <x v="2"/>
    <x v="0"/>
    <d v="2023-06-15T00:00:00"/>
    <s v="Annual"/>
    <d v="2024-02-02T00:00:00"/>
    <x v="0"/>
    <n v="33849"/>
    <n v="4020"/>
    <s v="N/A - Not Settled"/>
    <s v="N/A - Not Settled"/>
    <x v="1"/>
    <x v="1"/>
    <x v="2"/>
    <n v="8.4200999999999997"/>
    <n v="232"/>
    <n v="2024"/>
    <s v="February"/>
  </r>
  <r>
    <s v="DINS-CLM-100056"/>
    <s v="DINS-CUS-500056"/>
    <s v="DINS-POL-200056"/>
    <x v="3"/>
    <x v="2"/>
    <x v="4"/>
    <x v="1"/>
    <x v="7"/>
    <d v="2023-06-28T00:00:00"/>
    <s v="Monthly"/>
    <d v="2024-04-20T00:00:00"/>
    <x v="1"/>
    <n v="27458"/>
    <n v="4944"/>
    <n v="31"/>
    <d v="2024-05-21T00:00:00"/>
    <x v="0"/>
    <x v="0"/>
    <x v="2"/>
    <n v="5.5537999999999998"/>
    <n v="297"/>
    <n v="2024"/>
    <s v="April"/>
  </r>
  <r>
    <s v="DINS-CLM-100057"/>
    <s v="DINS-CUS-500057"/>
    <s v="DINS-POL-200057"/>
    <x v="1"/>
    <x v="0"/>
    <x v="5"/>
    <x v="1"/>
    <x v="0"/>
    <d v="2023-09-27T00:00:00"/>
    <s v="Annual"/>
    <d v="2024-05-26T00:00:00"/>
    <x v="1"/>
    <n v="46655"/>
    <n v="3391"/>
    <n v="20"/>
    <d v="2024-06-15T00:00:00"/>
    <x v="0"/>
    <x v="0"/>
    <x v="1"/>
    <n v="13.7585"/>
    <n v="242"/>
    <n v="2024"/>
    <s v="May"/>
  </r>
  <r>
    <s v="DINS-CLM-100058"/>
    <s v="DINS-CUS-500058"/>
    <s v="DINS-POL-200058"/>
    <x v="0"/>
    <x v="0"/>
    <x v="1"/>
    <x v="2"/>
    <x v="4"/>
    <d v="2023-09-21T00:00:00"/>
    <s v="Monthly"/>
    <d v="2024-02-25T00:00:00"/>
    <x v="2"/>
    <n v="50954"/>
    <n v="7072"/>
    <s v="N/A - Not Settled"/>
    <s v="N/A - Not Settled"/>
    <x v="0"/>
    <x v="0"/>
    <x v="2"/>
    <n v="7.2050000000000001"/>
    <n v="157"/>
    <n v="2024"/>
    <s v="February"/>
  </r>
  <r>
    <s v="DINS-CLM-100059"/>
    <s v="DINS-CUS-500059"/>
    <s v="DINS-POL-200059"/>
    <x v="2"/>
    <x v="2"/>
    <x v="2"/>
    <x v="2"/>
    <x v="2"/>
    <d v="2023-10-01T00:00:00"/>
    <s v="Annual"/>
    <d v="2024-06-03T00:00:00"/>
    <x v="1"/>
    <n v="7475"/>
    <n v="5933"/>
    <n v="37"/>
    <d v="2024-07-10T00:00:00"/>
    <x v="0"/>
    <x v="0"/>
    <x v="2"/>
    <n v="1.2599"/>
    <n v="246"/>
    <n v="2024"/>
    <s v="June"/>
  </r>
  <r>
    <s v="DINS-CLM-100060"/>
    <s v="DINS-CUS-500060"/>
    <s v="DINS-POL-200060"/>
    <x v="5"/>
    <x v="0"/>
    <x v="2"/>
    <x v="0"/>
    <x v="0"/>
    <d v="2024-06-21T00:00:00"/>
    <s v="Monthly"/>
    <d v="2024-09-10T00:00:00"/>
    <x v="1"/>
    <n v="69609"/>
    <n v="4662"/>
    <n v="6"/>
    <d v="2024-09-16T00:00:00"/>
    <x v="0"/>
    <x v="0"/>
    <x v="1"/>
    <n v="14.931100000000001"/>
    <n v="81"/>
    <n v="2024"/>
    <s v="September"/>
  </r>
  <r>
    <s v="DINS-CLM-100061"/>
    <s v="DINS-CUS-500061"/>
    <s v="DINS-POL-200061"/>
    <x v="5"/>
    <x v="2"/>
    <x v="0"/>
    <x v="1"/>
    <x v="5"/>
    <d v="2023-12-10T00:00:00"/>
    <s v="Monthly"/>
    <d v="2024-08-07T00:00:00"/>
    <x v="0"/>
    <n v="71031"/>
    <n v="2069"/>
    <s v="N/A - Not Settled"/>
    <s v="N/A - Not Settled"/>
    <x v="1"/>
    <x v="0"/>
    <x v="1"/>
    <n v="34.331099999999999"/>
    <n v="241"/>
    <n v="2024"/>
    <s v="August"/>
  </r>
  <r>
    <s v="DINS-CLM-100062"/>
    <s v="DINS-CUS-500062"/>
    <s v="DINS-POL-200062"/>
    <x v="0"/>
    <x v="0"/>
    <x v="4"/>
    <x v="1"/>
    <x v="0"/>
    <d v="2023-06-26T00:00:00"/>
    <s v="Monthly"/>
    <d v="2024-06-03T00:00:00"/>
    <x v="0"/>
    <n v="49633"/>
    <n v="5166"/>
    <s v="N/A - Not Settled"/>
    <s v="N/A - Not Settled"/>
    <x v="0"/>
    <x v="0"/>
    <x v="0"/>
    <n v="9.6075999999999997"/>
    <n v="343"/>
    <n v="2024"/>
    <s v="June"/>
  </r>
  <r>
    <s v="DINS-CLM-100063"/>
    <s v="DINS-CUS-500063"/>
    <s v="DINS-POL-200063"/>
    <x v="3"/>
    <x v="1"/>
    <x v="0"/>
    <x v="0"/>
    <x v="6"/>
    <d v="2024-09-17T00:00:00"/>
    <s v="Monthly"/>
    <d v="2024-12-31T00:00:00"/>
    <x v="1"/>
    <n v="15985"/>
    <n v="6008"/>
    <n v="32"/>
    <d v="2025-02-01T00:00:00"/>
    <x v="0"/>
    <x v="0"/>
    <x v="2"/>
    <n v="2.6606000000000001"/>
    <n v="105"/>
    <n v="2024"/>
    <s v="December"/>
  </r>
  <r>
    <s v="DINS-CLM-100064"/>
    <s v="DINS-CUS-500064"/>
    <s v="DINS-POL-200064"/>
    <x v="2"/>
    <x v="1"/>
    <x v="0"/>
    <x v="1"/>
    <x v="0"/>
    <d v="2024-03-06T00:00:00"/>
    <s v="Monthly"/>
    <d v="2024-07-23T00:00:00"/>
    <x v="1"/>
    <n v="37561"/>
    <n v="3103"/>
    <n v="18"/>
    <d v="2024-08-10T00:00:00"/>
    <x v="1"/>
    <x v="0"/>
    <x v="1"/>
    <n v="12.104699999999999"/>
    <n v="139"/>
    <n v="2024"/>
    <s v="July"/>
  </r>
  <r>
    <s v="DINS-CLM-100065"/>
    <s v="DINS-CUS-500065"/>
    <s v="DINS-POL-200065"/>
    <x v="0"/>
    <x v="0"/>
    <x v="1"/>
    <x v="2"/>
    <x v="6"/>
    <d v="2023-03-19T00:00:00"/>
    <s v="Monthly"/>
    <d v="2024-03-04T00:00:00"/>
    <x v="0"/>
    <n v="47939"/>
    <n v="7746"/>
    <s v="N/A - Not Settled"/>
    <s v="N/A - Not Settled"/>
    <x v="0"/>
    <x v="0"/>
    <x v="1"/>
    <n v="6.1889000000000003"/>
    <n v="351"/>
    <n v="2024"/>
    <s v="March"/>
  </r>
  <r>
    <s v="DINS-CLM-100066"/>
    <s v="DINS-CUS-500066"/>
    <s v="DINS-POL-200066"/>
    <x v="1"/>
    <x v="2"/>
    <x v="2"/>
    <x v="2"/>
    <x v="6"/>
    <d v="2024-01-26T00:00:00"/>
    <s v="Monthly"/>
    <d v="2024-09-23T00:00:00"/>
    <x v="0"/>
    <n v="37829"/>
    <n v="8682"/>
    <s v="N/A - Not Settled"/>
    <s v="N/A - Not Settled"/>
    <x v="0"/>
    <x v="0"/>
    <x v="0"/>
    <n v="4.3571999999999997"/>
    <n v="241"/>
    <n v="2024"/>
    <s v="September"/>
  </r>
  <r>
    <s v="DINS-CLM-100067"/>
    <s v="DINS-CUS-500067"/>
    <s v="DINS-POL-200067"/>
    <x v="4"/>
    <x v="2"/>
    <x v="0"/>
    <x v="2"/>
    <x v="7"/>
    <d v="2024-01-13T00:00:00"/>
    <s v="Annual"/>
    <d v="2024-07-12T00:00:00"/>
    <x v="0"/>
    <n v="13938"/>
    <n v="1986"/>
    <s v="N/A - Not Settled"/>
    <s v="N/A - Not Settled"/>
    <x v="1"/>
    <x v="0"/>
    <x v="2"/>
    <n v="7.0180999999999996"/>
    <n v="181"/>
    <n v="2024"/>
    <s v="July"/>
  </r>
  <r>
    <s v="DINS-CLM-100068"/>
    <s v="DINS-CUS-500068"/>
    <s v="DINS-POL-200068"/>
    <x v="0"/>
    <x v="0"/>
    <x v="2"/>
    <x v="2"/>
    <x v="3"/>
    <d v="2023-05-30T00:00:00"/>
    <s v="Monthly"/>
    <d v="2024-01-06T00:00:00"/>
    <x v="2"/>
    <n v="36041"/>
    <n v="8591"/>
    <s v="N/A - Not Settled"/>
    <s v="N/A - Not Settled"/>
    <x v="0"/>
    <x v="0"/>
    <x v="2"/>
    <n v="4.1951999999999998"/>
    <n v="221"/>
    <n v="2024"/>
    <s v="January"/>
  </r>
  <r>
    <s v="DINS-CLM-100069"/>
    <s v="DINS-CUS-500069"/>
    <s v="DINS-POL-200069"/>
    <x v="5"/>
    <x v="2"/>
    <x v="2"/>
    <x v="2"/>
    <x v="7"/>
    <d v="2023-11-30T00:00:00"/>
    <s v="Monthly"/>
    <d v="2024-05-25T00:00:00"/>
    <x v="1"/>
    <n v="23237"/>
    <n v="3866"/>
    <n v="45"/>
    <d v="2024-07-09T00:00:00"/>
    <x v="0"/>
    <x v="0"/>
    <x v="1"/>
    <n v="6.0106000000000002"/>
    <n v="177"/>
    <n v="2024"/>
    <s v="May"/>
  </r>
  <r>
    <s v="DINS-CLM-100070"/>
    <s v="DINS-CUS-500070"/>
    <s v="DINS-POL-200070"/>
    <x v="3"/>
    <x v="1"/>
    <x v="0"/>
    <x v="0"/>
    <x v="6"/>
    <d v="2023-09-18T00:00:00"/>
    <s v="Monthly"/>
    <d v="2024-05-10T00:00:00"/>
    <x v="2"/>
    <n v="17418"/>
    <n v="2264"/>
    <s v="N/A - Not Settled"/>
    <s v="N/A - Not Settled"/>
    <x v="0"/>
    <x v="0"/>
    <x v="1"/>
    <n v="7.6935000000000002"/>
    <n v="235"/>
    <n v="2024"/>
    <s v="May"/>
  </r>
  <r>
    <s v="DINS-CLM-100071"/>
    <s v="DINS-CUS-500071"/>
    <s v="DINS-POL-200071"/>
    <x v="4"/>
    <x v="1"/>
    <x v="3"/>
    <x v="2"/>
    <x v="4"/>
    <d v="2023-11-19T00:00:00"/>
    <s v="Annual"/>
    <d v="2024-04-10T00:00:00"/>
    <x v="1"/>
    <n v="19756"/>
    <n v="2087"/>
    <n v="23"/>
    <d v="2024-05-03T00:00:00"/>
    <x v="1"/>
    <x v="0"/>
    <x v="1"/>
    <n v="9.4662000000000006"/>
    <n v="143"/>
    <n v="2024"/>
    <s v="April"/>
  </r>
  <r>
    <s v="DINS-CLM-100072"/>
    <s v="DINS-CUS-500072"/>
    <s v="DINS-POL-200072"/>
    <x v="1"/>
    <x v="0"/>
    <x v="0"/>
    <x v="2"/>
    <x v="7"/>
    <d v="2023-12-30T00:00:00"/>
    <s v="Monthly"/>
    <d v="2024-03-14T00:00:00"/>
    <x v="1"/>
    <n v="32786"/>
    <n v="2648"/>
    <n v="6"/>
    <d v="2024-03-20T00:00:00"/>
    <x v="1"/>
    <x v="1"/>
    <x v="0"/>
    <n v="12.381399999999999"/>
    <n v="75"/>
    <n v="2024"/>
    <s v="March"/>
  </r>
  <r>
    <s v="DINS-CLM-100073"/>
    <s v="DINS-CUS-500073"/>
    <s v="DINS-POL-200073"/>
    <x v="2"/>
    <x v="2"/>
    <x v="5"/>
    <x v="0"/>
    <x v="2"/>
    <d v="2024-06-09T00:00:00"/>
    <s v="Monthly"/>
    <d v="2024-11-05T00:00:00"/>
    <x v="1"/>
    <n v="5037"/>
    <n v="8302"/>
    <n v="5"/>
    <d v="2024-11-10T00:00:00"/>
    <x v="0"/>
    <x v="0"/>
    <x v="0"/>
    <n v="0.60670000000000002"/>
    <n v="149"/>
    <n v="2024"/>
    <s v="November"/>
  </r>
  <r>
    <s v="DINS-CLM-100074"/>
    <s v="DINS-CUS-500074"/>
    <s v="DINS-POL-200074"/>
    <x v="1"/>
    <x v="0"/>
    <x v="4"/>
    <x v="1"/>
    <x v="3"/>
    <d v="2023-03-05T00:00:00"/>
    <s v="Monthly"/>
    <d v="2024-02-05T00:00:00"/>
    <x v="2"/>
    <n v="62821"/>
    <n v="8175"/>
    <s v="N/A - Not Settled"/>
    <s v="N/A - Not Settled"/>
    <x v="0"/>
    <x v="0"/>
    <x v="2"/>
    <n v="7.6844999999999999"/>
    <n v="337"/>
    <n v="2024"/>
    <s v="February"/>
  </r>
  <r>
    <s v="DINS-CLM-100075"/>
    <s v="DINS-CUS-500075"/>
    <s v="DINS-POL-200075"/>
    <x v="2"/>
    <x v="1"/>
    <x v="4"/>
    <x v="2"/>
    <x v="1"/>
    <d v="2024-01-30T00:00:00"/>
    <s v="Annual"/>
    <d v="2024-08-10T00:00:00"/>
    <x v="1"/>
    <n v="26310"/>
    <n v="4000"/>
    <n v="17"/>
    <d v="2024-08-27T00:00:00"/>
    <x v="0"/>
    <x v="0"/>
    <x v="2"/>
    <n v="6.5774999999999997"/>
    <n v="193"/>
    <n v="2024"/>
    <s v="August"/>
  </r>
  <r>
    <s v="DINS-CLM-100076"/>
    <s v="DINS-CUS-500076"/>
    <s v="DINS-POL-200076"/>
    <x v="5"/>
    <x v="2"/>
    <x v="4"/>
    <x v="0"/>
    <x v="1"/>
    <d v="2023-09-12T00:00:00"/>
    <s v="Monthly"/>
    <d v="2024-06-30T00:00:00"/>
    <x v="1"/>
    <n v="46366"/>
    <n v="613"/>
    <n v="9"/>
    <d v="2024-07-09T00:00:00"/>
    <x v="0"/>
    <x v="0"/>
    <x v="0"/>
    <n v="75.637799999999999"/>
    <n v="292"/>
    <n v="2024"/>
    <s v="June"/>
  </r>
  <r>
    <s v="DINS-CLM-100077"/>
    <s v="DINS-CUS-500077"/>
    <s v="DINS-POL-200077"/>
    <x v="2"/>
    <x v="2"/>
    <x v="5"/>
    <x v="2"/>
    <x v="1"/>
    <d v="2023-10-09T00:00:00"/>
    <s v="Monthly"/>
    <d v="2024-02-19T00:00:00"/>
    <x v="1"/>
    <n v="36362"/>
    <n v="1902"/>
    <n v="11"/>
    <d v="2024-03-01T00:00:00"/>
    <x v="0"/>
    <x v="0"/>
    <x v="1"/>
    <n v="19.117799999999999"/>
    <n v="133"/>
    <n v="2024"/>
    <s v="February"/>
  </r>
  <r>
    <s v="DINS-CLM-100078"/>
    <s v="DINS-CUS-500078"/>
    <s v="DINS-POL-200078"/>
    <x v="0"/>
    <x v="1"/>
    <x v="2"/>
    <x v="0"/>
    <x v="0"/>
    <d v="2023-09-17T00:00:00"/>
    <s v="Monthly"/>
    <d v="2024-03-03T00:00:00"/>
    <x v="0"/>
    <n v="27328"/>
    <n v="1183"/>
    <s v="N/A - Not Settled"/>
    <s v="N/A - Not Settled"/>
    <x v="0"/>
    <x v="0"/>
    <x v="1"/>
    <n v="23.1006"/>
    <n v="168"/>
    <n v="2024"/>
    <s v="March"/>
  </r>
  <r>
    <s v="DINS-CLM-100079"/>
    <s v="DINS-CUS-500079"/>
    <s v="DINS-POL-200079"/>
    <x v="0"/>
    <x v="1"/>
    <x v="4"/>
    <x v="0"/>
    <x v="4"/>
    <d v="2024-07-16T00:00:00"/>
    <s v="Monthly"/>
    <d v="2024-12-07T00:00:00"/>
    <x v="1"/>
    <n v="38865"/>
    <n v="3222"/>
    <n v="29"/>
    <d v="2025-01-05T00:00:00"/>
    <x v="0"/>
    <x v="0"/>
    <x v="2"/>
    <n v="12.0624"/>
    <n v="144"/>
    <n v="2024"/>
    <s v="December"/>
  </r>
  <r>
    <s v="DINS-CLM-100080"/>
    <s v="DINS-CUS-500080"/>
    <s v="DINS-POL-200080"/>
    <x v="2"/>
    <x v="2"/>
    <x v="5"/>
    <x v="0"/>
    <x v="1"/>
    <d v="2024-05-12T00:00:00"/>
    <s v="Annual"/>
    <d v="2024-08-13T00:00:00"/>
    <x v="1"/>
    <n v="15062"/>
    <n v="622"/>
    <n v="35"/>
    <d v="2024-09-17T00:00:00"/>
    <x v="1"/>
    <x v="1"/>
    <x v="1"/>
    <n v="24.215399999999999"/>
    <n v="93"/>
    <n v="2024"/>
    <s v="August"/>
  </r>
  <r>
    <s v="DINS-CLM-100081"/>
    <s v="DINS-CUS-500081"/>
    <s v="DINS-POL-200081"/>
    <x v="0"/>
    <x v="1"/>
    <x v="4"/>
    <x v="2"/>
    <x v="6"/>
    <d v="2023-11-06T00:00:00"/>
    <s v="Monthly"/>
    <d v="2024-01-08T00:00:00"/>
    <x v="2"/>
    <n v="15056"/>
    <n v="7948"/>
    <s v="N/A - Not Settled"/>
    <s v="N/A - Not Settled"/>
    <x v="0"/>
    <x v="0"/>
    <x v="1"/>
    <n v="1.8943000000000001"/>
    <n v="63"/>
    <n v="2024"/>
    <s v="January"/>
  </r>
  <r>
    <s v="DINS-CLM-100082"/>
    <s v="DINS-CUS-500082"/>
    <s v="DINS-POL-200082"/>
    <x v="3"/>
    <x v="1"/>
    <x v="2"/>
    <x v="0"/>
    <x v="1"/>
    <d v="2024-09-11T00:00:00"/>
    <s v="Annual"/>
    <d v="2024-10-22T00:00:00"/>
    <x v="1"/>
    <n v="60154"/>
    <n v="4278"/>
    <n v="13"/>
    <d v="2024-11-04T00:00:00"/>
    <x v="1"/>
    <x v="1"/>
    <x v="1"/>
    <n v="14.061199999999999"/>
    <n v="41"/>
    <n v="2024"/>
    <s v="October"/>
  </r>
  <r>
    <s v="DINS-CLM-100083"/>
    <s v="DINS-CUS-500083"/>
    <s v="DINS-POL-200083"/>
    <x v="0"/>
    <x v="0"/>
    <x v="2"/>
    <x v="1"/>
    <x v="2"/>
    <d v="2024-10-15T00:00:00"/>
    <s v="Annual"/>
    <d v="2024-11-26T00:00:00"/>
    <x v="1"/>
    <n v="47427"/>
    <n v="5772"/>
    <n v="32"/>
    <d v="2024-12-28T00:00:00"/>
    <x v="0"/>
    <x v="0"/>
    <x v="2"/>
    <n v="8.2166999999999994"/>
    <n v="42"/>
    <n v="2024"/>
    <s v="November"/>
  </r>
  <r>
    <s v="DINS-CLM-100084"/>
    <s v="DINS-CUS-500084"/>
    <s v="DINS-POL-200084"/>
    <x v="4"/>
    <x v="1"/>
    <x v="2"/>
    <x v="1"/>
    <x v="2"/>
    <d v="2024-01-20T00:00:00"/>
    <s v="Monthly"/>
    <d v="2024-10-11T00:00:00"/>
    <x v="1"/>
    <n v="19614"/>
    <n v="5139"/>
    <n v="44"/>
    <d v="2024-11-24T00:00:00"/>
    <x v="1"/>
    <x v="1"/>
    <x v="0"/>
    <n v="3.8167"/>
    <n v="265"/>
    <n v="2024"/>
    <s v="October"/>
  </r>
  <r>
    <s v="DINS-CLM-100085"/>
    <s v="DINS-CUS-500085"/>
    <s v="DINS-POL-200085"/>
    <x v="5"/>
    <x v="0"/>
    <x v="3"/>
    <x v="2"/>
    <x v="1"/>
    <d v="2023-09-09T00:00:00"/>
    <s v="Monthly"/>
    <d v="2024-07-21T00:00:00"/>
    <x v="2"/>
    <n v="56540"/>
    <n v="4821"/>
    <s v="N/A - Not Settled"/>
    <s v="N/A - Not Settled"/>
    <x v="0"/>
    <x v="0"/>
    <x v="1"/>
    <n v="11.7279"/>
    <n v="316"/>
    <n v="2024"/>
    <s v="July"/>
  </r>
  <r>
    <s v="DINS-CLM-100086"/>
    <s v="DINS-CUS-500086"/>
    <s v="DINS-POL-200086"/>
    <x v="3"/>
    <x v="2"/>
    <x v="1"/>
    <x v="0"/>
    <x v="5"/>
    <d v="2023-10-31T00:00:00"/>
    <s v="Annual"/>
    <d v="2024-07-06T00:00:00"/>
    <x v="1"/>
    <n v="83272"/>
    <n v="7452"/>
    <n v="38"/>
    <d v="2024-08-13T00:00:00"/>
    <x v="0"/>
    <x v="0"/>
    <x v="2"/>
    <n v="11.1744"/>
    <n v="249"/>
    <n v="2024"/>
    <s v="July"/>
  </r>
  <r>
    <s v="DINS-CLM-100087"/>
    <s v="DINS-CUS-500087"/>
    <s v="DINS-POL-200087"/>
    <x v="0"/>
    <x v="2"/>
    <x v="5"/>
    <x v="2"/>
    <x v="7"/>
    <d v="2023-12-05T00:00:00"/>
    <s v="Annual"/>
    <d v="2024-05-08T00:00:00"/>
    <x v="1"/>
    <n v="53805"/>
    <n v="5700"/>
    <n v="19"/>
    <d v="2024-05-27T00:00:00"/>
    <x v="0"/>
    <x v="0"/>
    <x v="0"/>
    <n v="9.4395000000000007"/>
    <n v="155"/>
    <n v="2024"/>
    <s v="May"/>
  </r>
  <r>
    <s v="DINS-CLM-100088"/>
    <s v="DINS-CUS-500088"/>
    <s v="DINS-POL-200088"/>
    <x v="1"/>
    <x v="1"/>
    <x v="5"/>
    <x v="2"/>
    <x v="5"/>
    <d v="2024-01-02T00:00:00"/>
    <s v="Monthly"/>
    <d v="2024-08-17T00:00:00"/>
    <x v="1"/>
    <n v="62396"/>
    <n v="5338"/>
    <n v="32"/>
    <d v="2024-09-18T00:00:00"/>
    <x v="0"/>
    <x v="0"/>
    <x v="2"/>
    <n v="11.689"/>
    <n v="228"/>
    <n v="2024"/>
    <s v="August"/>
  </r>
  <r>
    <s v="DINS-CLM-100089"/>
    <s v="DINS-CUS-500089"/>
    <s v="DINS-POL-200089"/>
    <x v="5"/>
    <x v="0"/>
    <x v="1"/>
    <x v="1"/>
    <x v="0"/>
    <d v="2023-09-15T00:00:00"/>
    <s v="Monthly"/>
    <d v="2024-08-14T00:00:00"/>
    <x v="1"/>
    <n v="23720"/>
    <n v="2070"/>
    <n v="36"/>
    <d v="2024-09-19T00:00:00"/>
    <x v="1"/>
    <x v="0"/>
    <x v="0"/>
    <n v="11.4589"/>
    <n v="334"/>
    <n v="2024"/>
    <s v="August"/>
  </r>
  <r>
    <s v="DINS-CLM-100090"/>
    <s v="DINS-CUS-500090"/>
    <s v="DINS-POL-200090"/>
    <x v="2"/>
    <x v="1"/>
    <x v="3"/>
    <x v="0"/>
    <x v="0"/>
    <d v="2024-04-09T00:00:00"/>
    <s v="Annual"/>
    <d v="2024-12-25T00:00:00"/>
    <x v="1"/>
    <n v="17072"/>
    <n v="2027"/>
    <n v="6"/>
    <d v="2024-12-31T00:00:00"/>
    <x v="0"/>
    <x v="0"/>
    <x v="2"/>
    <n v="8.4222999999999999"/>
    <n v="260"/>
    <n v="2024"/>
    <s v="December"/>
  </r>
  <r>
    <s v="DINS-CLM-100091"/>
    <s v="DINS-CUS-500091"/>
    <s v="DINS-POL-200091"/>
    <x v="0"/>
    <x v="2"/>
    <x v="3"/>
    <x v="1"/>
    <x v="7"/>
    <d v="2023-09-27T00:00:00"/>
    <s v="Annual"/>
    <d v="2024-02-03T00:00:00"/>
    <x v="1"/>
    <n v="29113"/>
    <n v="4537"/>
    <n v="2"/>
    <d v="2024-02-05T00:00:00"/>
    <x v="0"/>
    <x v="0"/>
    <x v="2"/>
    <n v="6.4168000000000003"/>
    <n v="129"/>
    <n v="2024"/>
    <s v="February"/>
  </r>
  <r>
    <s v="DINS-CLM-100092"/>
    <s v="DINS-CUS-500092"/>
    <s v="DINS-POL-200092"/>
    <x v="1"/>
    <x v="0"/>
    <x v="2"/>
    <x v="1"/>
    <x v="6"/>
    <d v="2024-02-02T00:00:00"/>
    <s v="Monthly"/>
    <d v="2024-12-11T00:00:00"/>
    <x v="0"/>
    <n v="68089"/>
    <n v="5593"/>
    <s v="N/A - Not Settled"/>
    <s v="N/A - Not Settled"/>
    <x v="0"/>
    <x v="0"/>
    <x v="1"/>
    <n v="12.173999999999999"/>
    <n v="313"/>
    <n v="2024"/>
    <s v="December"/>
  </r>
  <r>
    <s v="DINS-CLM-100093"/>
    <s v="DINS-CUS-500093"/>
    <s v="DINS-POL-200093"/>
    <x v="2"/>
    <x v="1"/>
    <x v="5"/>
    <x v="1"/>
    <x v="5"/>
    <d v="2023-12-20T00:00:00"/>
    <s v="Annual"/>
    <d v="2024-07-29T00:00:00"/>
    <x v="0"/>
    <n v="35128"/>
    <n v="8496"/>
    <s v="N/A - Not Settled"/>
    <s v="N/A - Not Settled"/>
    <x v="0"/>
    <x v="0"/>
    <x v="1"/>
    <n v="4.1346999999999996"/>
    <n v="222"/>
    <n v="2024"/>
    <s v="July"/>
  </r>
  <r>
    <s v="DINS-CLM-100094"/>
    <s v="DINS-CUS-500094"/>
    <s v="DINS-POL-200094"/>
    <x v="2"/>
    <x v="0"/>
    <x v="4"/>
    <x v="2"/>
    <x v="1"/>
    <d v="2023-09-10T00:00:00"/>
    <s v="Annual"/>
    <d v="2024-04-15T00:00:00"/>
    <x v="1"/>
    <n v="5043"/>
    <n v="4988"/>
    <n v="18"/>
    <d v="2024-05-03T00:00:00"/>
    <x v="0"/>
    <x v="0"/>
    <x v="1"/>
    <n v="1.0109999999999999"/>
    <n v="218"/>
    <n v="2024"/>
    <s v="April"/>
  </r>
  <r>
    <s v="DINS-CLM-100095"/>
    <s v="DINS-CUS-500095"/>
    <s v="DINS-POL-200095"/>
    <x v="0"/>
    <x v="2"/>
    <x v="1"/>
    <x v="2"/>
    <x v="0"/>
    <d v="2024-08-26T00:00:00"/>
    <s v="Annual"/>
    <d v="2024-12-05T00:00:00"/>
    <x v="1"/>
    <n v="59930"/>
    <n v="3030"/>
    <n v="36"/>
    <d v="2025-01-10T00:00:00"/>
    <x v="1"/>
    <x v="1"/>
    <x v="2"/>
    <n v="19.7789"/>
    <n v="101"/>
    <n v="2024"/>
    <s v="December"/>
  </r>
  <r>
    <s v="DINS-CLM-100096"/>
    <s v="DINS-CUS-500096"/>
    <s v="DINS-POL-200096"/>
    <x v="2"/>
    <x v="1"/>
    <x v="2"/>
    <x v="0"/>
    <x v="6"/>
    <d v="2024-01-01T00:00:00"/>
    <s v="Annual"/>
    <d v="2024-12-14T00:00:00"/>
    <x v="0"/>
    <n v="14152"/>
    <n v="4984"/>
    <s v="N/A - Not Settled"/>
    <s v="N/A - Not Settled"/>
    <x v="1"/>
    <x v="1"/>
    <x v="1"/>
    <n v="2.8395000000000001"/>
    <n v="348"/>
    <n v="2024"/>
    <s v="December"/>
  </r>
  <r>
    <s v="DINS-CLM-100097"/>
    <s v="DINS-CUS-500097"/>
    <s v="DINS-POL-200097"/>
    <x v="0"/>
    <x v="0"/>
    <x v="1"/>
    <x v="2"/>
    <x v="3"/>
    <d v="2024-06-15T00:00:00"/>
    <s v="Annual"/>
    <d v="2024-12-02T00:00:00"/>
    <x v="1"/>
    <n v="35131"/>
    <n v="1822"/>
    <n v="13"/>
    <d v="2024-12-15T00:00:00"/>
    <x v="0"/>
    <x v="0"/>
    <x v="1"/>
    <n v="19.281600000000001"/>
    <n v="170"/>
    <n v="2024"/>
    <s v="December"/>
  </r>
  <r>
    <s v="DINS-CLM-100098"/>
    <s v="DINS-CUS-500098"/>
    <s v="DINS-POL-200098"/>
    <x v="3"/>
    <x v="1"/>
    <x v="0"/>
    <x v="1"/>
    <x v="0"/>
    <d v="2024-02-05T00:00:00"/>
    <s v="Annual"/>
    <d v="2024-08-10T00:00:00"/>
    <x v="1"/>
    <n v="44431"/>
    <n v="7584"/>
    <n v="29"/>
    <d v="2024-09-08T00:00:00"/>
    <x v="1"/>
    <x v="0"/>
    <x v="1"/>
    <n v="5.8585000000000003"/>
    <n v="187"/>
    <n v="2024"/>
    <s v="August"/>
  </r>
  <r>
    <s v="DINS-CLM-100099"/>
    <s v="DINS-CUS-500099"/>
    <s v="DINS-POL-200099"/>
    <x v="1"/>
    <x v="1"/>
    <x v="5"/>
    <x v="1"/>
    <x v="6"/>
    <d v="2024-03-19T00:00:00"/>
    <s v="Annual"/>
    <d v="2024-11-02T00:00:00"/>
    <x v="2"/>
    <n v="57675"/>
    <n v="4905"/>
    <s v="N/A - Not Settled"/>
    <s v="N/A - Not Settled"/>
    <x v="0"/>
    <x v="0"/>
    <x v="0"/>
    <n v="11.7584"/>
    <n v="228"/>
    <n v="2024"/>
    <s v="November"/>
  </r>
  <r>
    <s v="DINS-CLM-100100"/>
    <s v="DINS-CUS-500100"/>
    <s v="DINS-POL-200100"/>
    <x v="0"/>
    <x v="0"/>
    <x v="2"/>
    <x v="1"/>
    <x v="7"/>
    <d v="2023-09-30T00:00:00"/>
    <s v="Monthly"/>
    <d v="2024-08-27T00:00:00"/>
    <x v="1"/>
    <n v="16384"/>
    <n v="3223"/>
    <n v="42"/>
    <d v="2024-10-08T00:00:00"/>
    <x v="0"/>
    <x v="0"/>
    <x v="0"/>
    <n v="5.0834999999999999"/>
    <n v="332"/>
    <n v="2024"/>
    <s v="August"/>
  </r>
  <r>
    <s v="DINS-CLM-100101"/>
    <s v="DINS-CUS-500101"/>
    <s v="DINS-POL-200101"/>
    <x v="3"/>
    <x v="2"/>
    <x v="4"/>
    <x v="2"/>
    <x v="7"/>
    <d v="2024-03-24T00:00:00"/>
    <s v="Monthly"/>
    <d v="2024-09-02T00:00:00"/>
    <x v="1"/>
    <n v="80879"/>
    <n v="5928"/>
    <n v="30"/>
    <d v="2024-10-02T00:00:00"/>
    <x v="0"/>
    <x v="0"/>
    <x v="1"/>
    <n v="13.643599999999999"/>
    <n v="162"/>
    <n v="2024"/>
    <s v="September"/>
  </r>
  <r>
    <s v="DINS-CLM-100102"/>
    <s v="DINS-CUS-500102"/>
    <s v="DINS-POL-200102"/>
    <x v="0"/>
    <x v="2"/>
    <x v="0"/>
    <x v="2"/>
    <x v="7"/>
    <d v="2024-10-13T00:00:00"/>
    <s v="Annual"/>
    <d v="2024-11-23T00:00:00"/>
    <x v="0"/>
    <n v="49162"/>
    <n v="8045"/>
    <s v="N/A - Not Settled"/>
    <s v="N/A - Not Settled"/>
    <x v="0"/>
    <x v="0"/>
    <x v="2"/>
    <n v="6.1109"/>
    <n v="41"/>
    <n v="2024"/>
    <s v="November"/>
  </r>
  <r>
    <s v="DINS-CLM-100103"/>
    <s v="DINS-CUS-500103"/>
    <s v="DINS-POL-200103"/>
    <x v="3"/>
    <x v="2"/>
    <x v="3"/>
    <x v="0"/>
    <x v="7"/>
    <d v="2023-04-24T00:00:00"/>
    <s v="Monthly"/>
    <d v="2024-01-13T00:00:00"/>
    <x v="1"/>
    <n v="78109"/>
    <n v="4486"/>
    <n v="36"/>
    <d v="2024-02-18T00:00:00"/>
    <x v="0"/>
    <x v="0"/>
    <x v="1"/>
    <n v="17.4117"/>
    <n v="264"/>
    <n v="2024"/>
    <s v="January"/>
  </r>
  <r>
    <s v="DINS-CLM-100104"/>
    <s v="DINS-CUS-500104"/>
    <s v="DINS-POL-200104"/>
    <x v="3"/>
    <x v="1"/>
    <x v="2"/>
    <x v="0"/>
    <x v="0"/>
    <d v="2023-05-22T00:00:00"/>
    <s v="Monthly"/>
    <d v="2024-03-16T00:00:00"/>
    <x v="1"/>
    <n v="66762"/>
    <n v="7933"/>
    <n v="44"/>
    <d v="2024-04-29T00:00:00"/>
    <x v="0"/>
    <x v="0"/>
    <x v="0"/>
    <n v="8.4156999999999993"/>
    <n v="299"/>
    <n v="2024"/>
    <s v="March"/>
  </r>
  <r>
    <s v="DINS-CLM-100105"/>
    <s v="DINS-CUS-500105"/>
    <s v="DINS-POL-200105"/>
    <x v="3"/>
    <x v="0"/>
    <x v="2"/>
    <x v="0"/>
    <x v="0"/>
    <d v="2024-01-14T00:00:00"/>
    <s v="Annual"/>
    <d v="2024-02-23T00:00:00"/>
    <x v="1"/>
    <n v="98982"/>
    <n v="6152"/>
    <n v="10"/>
    <d v="2024-03-04T00:00:00"/>
    <x v="1"/>
    <x v="0"/>
    <x v="2"/>
    <n v="16.089400000000001"/>
    <n v="40"/>
    <n v="2024"/>
    <s v="February"/>
  </r>
  <r>
    <s v="DINS-CLM-100106"/>
    <s v="DINS-CUS-500106"/>
    <s v="DINS-POL-200106"/>
    <x v="5"/>
    <x v="1"/>
    <x v="2"/>
    <x v="0"/>
    <x v="0"/>
    <d v="2023-07-20T00:00:00"/>
    <s v="Monthly"/>
    <d v="2024-04-04T00:00:00"/>
    <x v="2"/>
    <n v="79030"/>
    <n v="8740"/>
    <s v="N/A - Not Settled"/>
    <s v="N/A - Not Settled"/>
    <x v="0"/>
    <x v="0"/>
    <x v="2"/>
    <n v="9.0422999999999991"/>
    <n v="259"/>
    <n v="2024"/>
    <s v="April"/>
  </r>
  <r>
    <s v="DINS-CLM-100107"/>
    <s v="DINS-CUS-500107"/>
    <s v="DINS-POL-200107"/>
    <x v="3"/>
    <x v="1"/>
    <x v="1"/>
    <x v="1"/>
    <x v="2"/>
    <d v="2024-07-03T00:00:00"/>
    <s v="Annual"/>
    <d v="2024-10-04T00:00:00"/>
    <x v="1"/>
    <n v="89623"/>
    <n v="6298"/>
    <n v="45"/>
    <d v="2024-11-18T00:00:00"/>
    <x v="1"/>
    <x v="0"/>
    <x v="0"/>
    <n v="14.230399999999999"/>
    <n v="93"/>
    <n v="2024"/>
    <s v="October"/>
  </r>
  <r>
    <s v="DINS-CLM-100108"/>
    <s v="DINS-CUS-500108"/>
    <s v="DINS-POL-200108"/>
    <x v="2"/>
    <x v="1"/>
    <x v="5"/>
    <x v="0"/>
    <x v="0"/>
    <d v="2023-05-02T00:00:00"/>
    <s v="Annual"/>
    <d v="2024-02-28T00:00:00"/>
    <x v="1"/>
    <n v="7770"/>
    <n v="4826"/>
    <n v="2"/>
    <d v="2024-03-01T00:00:00"/>
    <x v="0"/>
    <x v="0"/>
    <x v="0"/>
    <n v="1.61"/>
    <n v="302"/>
    <n v="2024"/>
    <s v="February"/>
  </r>
  <r>
    <s v="DINS-CLM-100109"/>
    <s v="DINS-CUS-500109"/>
    <s v="DINS-POL-200109"/>
    <x v="3"/>
    <x v="1"/>
    <x v="4"/>
    <x v="1"/>
    <x v="0"/>
    <d v="2023-03-14T00:00:00"/>
    <s v="Monthly"/>
    <d v="2024-01-30T00:00:00"/>
    <x v="0"/>
    <n v="27772"/>
    <n v="3932"/>
    <s v="N/A - Not Settled"/>
    <s v="N/A - Not Settled"/>
    <x v="0"/>
    <x v="0"/>
    <x v="1"/>
    <n v="7.0631000000000004"/>
    <n v="322"/>
    <n v="2024"/>
    <s v="January"/>
  </r>
  <r>
    <s v="DINS-CLM-100110"/>
    <s v="DINS-CUS-500110"/>
    <s v="DINS-POL-200110"/>
    <x v="1"/>
    <x v="1"/>
    <x v="5"/>
    <x v="2"/>
    <x v="2"/>
    <d v="2024-08-27T00:00:00"/>
    <s v="Monthly"/>
    <d v="2024-12-23T00:00:00"/>
    <x v="0"/>
    <n v="67076"/>
    <n v="5813"/>
    <s v="N/A - Not Settled"/>
    <s v="N/A - Not Settled"/>
    <x v="0"/>
    <x v="0"/>
    <x v="2"/>
    <n v="11.539"/>
    <n v="118"/>
    <n v="2024"/>
    <s v="December"/>
  </r>
  <r>
    <s v="DINS-CLM-100111"/>
    <s v="DINS-CUS-500111"/>
    <s v="DINS-POL-200111"/>
    <x v="4"/>
    <x v="0"/>
    <x v="3"/>
    <x v="1"/>
    <x v="5"/>
    <d v="2023-06-02T00:00:00"/>
    <s v="Annual"/>
    <d v="2024-02-24T00:00:00"/>
    <x v="0"/>
    <n v="2671"/>
    <n v="1737"/>
    <s v="N/A - Not Settled"/>
    <s v="N/A - Not Settled"/>
    <x v="1"/>
    <x v="0"/>
    <x v="0"/>
    <n v="1.5377000000000001"/>
    <n v="267"/>
    <n v="2024"/>
    <s v="February"/>
  </r>
  <r>
    <s v="DINS-CLM-100112"/>
    <s v="DINS-CUS-500112"/>
    <s v="DINS-POL-200112"/>
    <x v="5"/>
    <x v="0"/>
    <x v="2"/>
    <x v="0"/>
    <x v="3"/>
    <d v="2023-04-25T00:00:00"/>
    <s v="Monthly"/>
    <d v="2024-03-04T00:00:00"/>
    <x v="0"/>
    <n v="43605"/>
    <n v="1713"/>
    <s v="N/A - Not Settled"/>
    <s v="N/A - Not Settled"/>
    <x v="1"/>
    <x v="0"/>
    <x v="2"/>
    <n v="25.455300000000001"/>
    <n v="314"/>
    <n v="2024"/>
    <s v="March"/>
  </r>
  <r>
    <s v="DINS-CLM-100113"/>
    <s v="DINS-CUS-500113"/>
    <s v="DINS-POL-200113"/>
    <x v="0"/>
    <x v="2"/>
    <x v="3"/>
    <x v="1"/>
    <x v="2"/>
    <d v="2023-08-02T00:00:00"/>
    <s v="Monthly"/>
    <d v="2024-06-23T00:00:00"/>
    <x v="1"/>
    <n v="3846"/>
    <n v="2954"/>
    <n v="25"/>
    <d v="2024-07-18T00:00:00"/>
    <x v="0"/>
    <x v="0"/>
    <x v="0"/>
    <n v="1.302"/>
    <n v="326"/>
    <n v="2024"/>
    <s v="June"/>
  </r>
  <r>
    <s v="DINS-CLM-100114"/>
    <s v="DINS-CUS-500114"/>
    <s v="DINS-POL-200114"/>
    <x v="5"/>
    <x v="0"/>
    <x v="2"/>
    <x v="0"/>
    <x v="7"/>
    <d v="2023-12-23T00:00:00"/>
    <s v="Monthly"/>
    <d v="2024-05-11T00:00:00"/>
    <x v="0"/>
    <n v="34428"/>
    <n v="559"/>
    <s v="N/A - Not Settled"/>
    <s v="N/A - Not Settled"/>
    <x v="0"/>
    <x v="0"/>
    <x v="1"/>
    <n v="61.5886"/>
    <n v="140"/>
    <n v="2024"/>
    <s v="May"/>
  </r>
  <r>
    <s v="DINS-CLM-100115"/>
    <s v="DINS-CUS-500115"/>
    <s v="DINS-POL-200115"/>
    <x v="5"/>
    <x v="0"/>
    <x v="1"/>
    <x v="1"/>
    <x v="6"/>
    <d v="2024-09-03T00:00:00"/>
    <s v="Monthly"/>
    <d v="2024-12-14T00:00:00"/>
    <x v="2"/>
    <n v="17501"/>
    <n v="3465"/>
    <s v="N/A - Not Settled"/>
    <s v="N/A - Not Settled"/>
    <x v="0"/>
    <x v="0"/>
    <x v="2"/>
    <n v="5.0507999999999997"/>
    <n v="102"/>
    <n v="2024"/>
    <s v="December"/>
  </r>
  <r>
    <s v="DINS-CLM-100116"/>
    <s v="DINS-CUS-500116"/>
    <s v="DINS-POL-200116"/>
    <x v="2"/>
    <x v="2"/>
    <x v="5"/>
    <x v="0"/>
    <x v="0"/>
    <d v="2023-05-17T00:00:00"/>
    <s v="Monthly"/>
    <d v="2024-03-18T00:00:00"/>
    <x v="1"/>
    <n v="26333"/>
    <n v="2080"/>
    <n v="4"/>
    <d v="2024-03-22T00:00:00"/>
    <x v="1"/>
    <x v="0"/>
    <x v="2"/>
    <n v="12.6601"/>
    <n v="306"/>
    <n v="2024"/>
    <s v="March"/>
  </r>
  <r>
    <s v="DINS-CLM-100117"/>
    <s v="DINS-CUS-500117"/>
    <s v="DINS-POL-200117"/>
    <x v="5"/>
    <x v="1"/>
    <x v="2"/>
    <x v="0"/>
    <x v="4"/>
    <d v="2024-05-20T00:00:00"/>
    <s v="Monthly"/>
    <d v="2024-12-23T00:00:00"/>
    <x v="1"/>
    <n v="49945"/>
    <n v="1534"/>
    <n v="29"/>
    <d v="2025-01-21T00:00:00"/>
    <x v="0"/>
    <x v="0"/>
    <x v="1"/>
    <n v="32.558700000000002"/>
    <n v="217"/>
    <n v="2024"/>
    <s v="December"/>
  </r>
  <r>
    <s v="DINS-CLM-100118"/>
    <s v="DINS-CUS-500118"/>
    <s v="DINS-POL-200118"/>
    <x v="0"/>
    <x v="1"/>
    <x v="2"/>
    <x v="0"/>
    <x v="1"/>
    <d v="2023-08-11T00:00:00"/>
    <s v="Annual"/>
    <d v="2024-01-30T00:00:00"/>
    <x v="2"/>
    <n v="30024"/>
    <n v="6113"/>
    <s v="N/A - Not Settled"/>
    <s v="N/A - Not Settled"/>
    <x v="0"/>
    <x v="0"/>
    <x v="0"/>
    <n v="4.9115000000000002"/>
    <n v="172"/>
    <n v="2024"/>
    <s v="January"/>
  </r>
  <r>
    <s v="DINS-CLM-100119"/>
    <s v="DINS-CUS-500119"/>
    <s v="DINS-POL-200119"/>
    <x v="4"/>
    <x v="0"/>
    <x v="3"/>
    <x v="0"/>
    <x v="7"/>
    <d v="2024-02-23T00:00:00"/>
    <s v="Annual"/>
    <d v="2024-10-18T00:00:00"/>
    <x v="2"/>
    <n v="7346"/>
    <n v="2427"/>
    <s v="N/A - Not Settled"/>
    <s v="N/A - Not Settled"/>
    <x v="1"/>
    <x v="1"/>
    <x v="2"/>
    <n v="3.0268000000000002"/>
    <n v="238"/>
    <n v="2024"/>
    <s v="October"/>
  </r>
  <r>
    <s v="DINS-CLM-100120"/>
    <s v="DINS-CUS-500120"/>
    <s v="DINS-POL-200120"/>
    <x v="1"/>
    <x v="1"/>
    <x v="5"/>
    <x v="0"/>
    <x v="2"/>
    <d v="2023-05-03T00:00:00"/>
    <s v="Annual"/>
    <d v="2024-02-26T00:00:00"/>
    <x v="1"/>
    <n v="10299"/>
    <n v="5021"/>
    <n v="29"/>
    <d v="2024-03-26T00:00:00"/>
    <x v="0"/>
    <x v="0"/>
    <x v="1"/>
    <n v="2.0512000000000001"/>
    <n v="299"/>
    <n v="2024"/>
    <s v="February"/>
  </r>
  <r>
    <s v="DINS-CLM-100121"/>
    <s v="DINS-CUS-500121"/>
    <s v="DINS-POL-200121"/>
    <x v="2"/>
    <x v="1"/>
    <x v="1"/>
    <x v="2"/>
    <x v="2"/>
    <d v="2023-11-07T00:00:00"/>
    <s v="Annual"/>
    <d v="2024-03-07T00:00:00"/>
    <x v="2"/>
    <n v="4349"/>
    <n v="594"/>
    <s v="N/A - Not Settled"/>
    <s v="N/A - Not Settled"/>
    <x v="0"/>
    <x v="0"/>
    <x v="2"/>
    <n v="7.3215000000000003"/>
    <n v="121"/>
    <n v="2024"/>
    <s v="March"/>
  </r>
  <r>
    <s v="DINS-CLM-100122"/>
    <s v="DINS-CUS-500122"/>
    <s v="DINS-POL-200122"/>
    <x v="2"/>
    <x v="2"/>
    <x v="4"/>
    <x v="0"/>
    <x v="0"/>
    <d v="2024-04-24T00:00:00"/>
    <s v="Annual"/>
    <d v="2024-09-27T00:00:00"/>
    <x v="1"/>
    <n v="38474"/>
    <n v="8894"/>
    <n v="39"/>
    <d v="2024-11-05T00:00:00"/>
    <x v="0"/>
    <x v="0"/>
    <x v="1"/>
    <n v="4.3258000000000001"/>
    <n v="156"/>
    <n v="2024"/>
    <s v="September"/>
  </r>
  <r>
    <s v="DINS-CLM-100123"/>
    <s v="DINS-CUS-500123"/>
    <s v="DINS-POL-200123"/>
    <x v="0"/>
    <x v="2"/>
    <x v="5"/>
    <x v="0"/>
    <x v="7"/>
    <d v="2023-09-26T00:00:00"/>
    <s v="Monthly"/>
    <d v="2024-03-02T00:00:00"/>
    <x v="1"/>
    <n v="40982"/>
    <n v="7986"/>
    <n v="41"/>
    <d v="2024-04-12T00:00:00"/>
    <x v="1"/>
    <x v="0"/>
    <x v="1"/>
    <n v="5.1317000000000004"/>
    <n v="158"/>
    <n v="2024"/>
    <s v="March"/>
  </r>
  <r>
    <s v="DINS-CLM-100124"/>
    <s v="DINS-CUS-500124"/>
    <s v="DINS-POL-200124"/>
    <x v="1"/>
    <x v="1"/>
    <x v="0"/>
    <x v="0"/>
    <x v="1"/>
    <d v="2024-05-02T00:00:00"/>
    <s v="Annual"/>
    <d v="2024-06-10T00:00:00"/>
    <x v="0"/>
    <n v="35614"/>
    <n v="8117"/>
    <s v="N/A - Not Settled"/>
    <s v="N/A - Not Settled"/>
    <x v="1"/>
    <x v="0"/>
    <x v="2"/>
    <n v="4.3875999999999999"/>
    <n v="39"/>
    <n v="2024"/>
    <s v="June"/>
  </r>
  <r>
    <s v="DINS-CLM-100125"/>
    <s v="DINS-CUS-500125"/>
    <s v="DINS-POL-200125"/>
    <x v="0"/>
    <x v="2"/>
    <x v="5"/>
    <x v="2"/>
    <x v="1"/>
    <d v="2023-06-19T00:00:00"/>
    <s v="Annual"/>
    <d v="2024-06-17T00:00:00"/>
    <x v="1"/>
    <n v="38042"/>
    <n v="2592"/>
    <n v="12"/>
    <d v="2024-06-29T00:00:00"/>
    <x v="1"/>
    <x v="0"/>
    <x v="2"/>
    <n v="14.6767"/>
    <n v="364"/>
    <n v="2024"/>
    <s v="June"/>
  </r>
  <r>
    <s v="DINS-CLM-100126"/>
    <s v="DINS-CUS-500126"/>
    <s v="DINS-POL-200126"/>
    <x v="1"/>
    <x v="0"/>
    <x v="1"/>
    <x v="1"/>
    <x v="5"/>
    <d v="2023-05-05T00:00:00"/>
    <s v="Monthly"/>
    <d v="2024-03-15T00:00:00"/>
    <x v="1"/>
    <n v="29102"/>
    <n v="1965"/>
    <n v="10"/>
    <d v="2024-03-25T00:00:00"/>
    <x v="1"/>
    <x v="1"/>
    <x v="1"/>
    <n v="14.8102"/>
    <n v="315"/>
    <n v="2024"/>
    <s v="March"/>
  </r>
  <r>
    <s v="DINS-CLM-100127"/>
    <s v="DINS-CUS-500127"/>
    <s v="DINS-POL-200127"/>
    <x v="1"/>
    <x v="1"/>
    <x v="2"/>
    <x v="1"/>
    <x v="4"/>
    <d v="2024-05-06T00:00:00"/>
    <s v="Annual"/>
    <d v="2024-12-01T00:00:00"/>
    <x v="1"/>
    <n v="33366"/>
    <n v="5582"/>
    <n v="9"/>
    <d v="2024-12-10T00:00:00"/>
    <x v="0"/>
    <x v="0"/>
    <x v="2"/>
    <n v="5.9774000000000003"/>
    <n v="209"/>
    <n v="2024"/>
    <s v="December"/>
  </r>
  <r>
    <s v="DINS-CLM-100128"/>
    <s v="DINS-CUS-500128"/>
    <s v="DINS-POL-200128"/>
    <x v="0"/>
    <x v="1"/>
    <x v="3"/>
    <x v="0"/>
    <x v="0"/>
    <d v="2024-02-19T00:00:00"/>
    <s v="Annual"/>
    <d v="2024-11-27T00:00:00"/>
    <x v="0"/>
    <n v="31137"/>
    <n v="1452"/>
    <s v="N/A - Not Settled"/>
    <s v="N/A - Not Settled"/>
    <x v="0"/>
    <x v="0"/>
    <x v="0"/>
    <n v="21.444199999999999"/>
    <n v="282"/>
    <n v="2024"/>
    <s v="November"/>
  </r>
  <r>
    <s v="DINS-CLM-100129"/>
    <s v="DINS-CUS-500129"/>
    <s v="DINS-POL-200129"/>
    <x v="0"/>
    <x v="0"/>
    <x v="5"/>
    <x v="2"/>
    <x v="5"/>
    <d v="2024-01-02T00:00:00"/>
    <s v="Monthly"/>
    <d v="2024-09-05T00:00:00"/>
    <x v="1"/>
    <n v="45960"/>
    <n v="6334"/>
    <n v="13"/>
    <d v="2024-09-18T00:00:00"/>
    <x v="0"/>
    <x v="0"/>
    <x v="2"/>
    <n v="7.2561"/>
    <n v="247"/>
    <n v="2024"/>
    <s v="September"/>
  </r>
  <r>
    <s v="DINS-CLM-100130"/>
    <s v="DINS-CUS-500130"/>
    <s v="DINS-POL-200130"/>
    <x v="2"/>
    <x v="1"/>
    <x v="4"/>
    <x v="2"/>
    <x v="4"/>
    <d v="2023-06-06T00:00:00"/>
    <s v="Annual"/>
    <d v="2024-05-28T00:00:00"/>
    <x v="1"/>
    <n v="12072"/>
    <n v="5187"/>
    <n v="20"/>
    <d v="2024-06-17T00:00:00"/>
    <x v="0"/>
    <x v="0"/>
    <x v="0"/>
    <n v="2.3273999999999999"/>
    <n v="357"/>
    <n v="2024"/>
    <s v="May"/>
  </r>
  <r>
    <s v="DINS-CLM-100131"/>
    <s v="DINS-CUS-500131"/>
    <s v="DINS-POL-200131"/>
    <x v="2"/>
    <x v="2"/>
    <x v="0"/>
    <x v="0"/>
    <x v="5"/>
    <d v="2024-02-04T00:00:00"/>
    <s v="Annual"/>
    <d v="2024-11-10T00:00:00"/>
    <x v="1"/>
    <n v="18352"/>
    <n v="3119"/>
    <n v="26"/>
    <d v="2024-12-06T00:00:00"/>
    <x v="0"/>
    <x v="0"/>
    <x v="0"/>
    <n v="5.8838999999999997"/>
    <n v="280"/>
    <n v="2024"/>
    <s v="November"/>
  </r>
  <r>
    <s v="DINS-CLM-100132"/>
    <s v="DINS-CUS-500132"/>
    <s v="DINS-POL-200132"/>
    <x v="3"/>
    <x v="0"/>
    <x v="2"/>
    <x v="1"/>
    <x v="4"/>
    <d v="2024-02-06T00:00:00"/>
    <s v="Monthly"/>
    <d v="2024-08-09T00:00:00"/>
    <x v="1"/>
    <n v="38170"/>
    <n v="3995"/>
    <n v="6"/>
    <d v="2024-08-15T00:00:00"/>
    <x v="0"/>
    <x v="0"/>
    <x v="0"/>
    <n v="9.5543999999999993"/>
    <n v="185"/>
    <n v="2024"/>
    <s v="August"/>
  </r>
  <r>
    <s v="DINS-CLM-100133"/>
    <s v="DINS-CUS-500133"/>
    <s v="DINS-POL-200133"/>
    <x v="0"/>
    <x v="0"/>
    <x v="0"/>
    <x v="1"/>
    <x v="0"/>
    <d v="2024-02-29T00:00:00"/>
    <s v="Annual"/>
    <d v="2024-06-12T00:00:00"/>
    <x v="1"/>
    <n v="27939"/>
    <n v="3068"/>
    <n v="12"/>
    <d v="2024-06-24T00:00:00"/>
    <x v="0"/>
    <x v="0"/>
    <x v="1"/>
    <n v="9.1066000000000003"/>
    <n v="104"/>
    <n v="2024"/>
    <s v="June"/>
  </r>
  <r>
    <s v="DINS-CLM-100134"/>
    <s v="DINS-CUS-500134"/>
    <s v="DINS-POL-200134"/>
    <x v="2"/>
    <x v="1"/>
    <x v="1"/>
    <x v="0"/>
    <x v="3"/>
    <d v="2024-04-24T00:00:00"/>
    <s v="Monthly"/>
    <d v="2024-09-16T00:00:00"/>
    <x v="0"/>
    <n v="35749"/>
    <n v="3292"/>
    <s v="N/A - Not Settled"/>
    <s v="N/A - Not Settled"/>
    <x v="0"/>
    <x v="0"/>
    <x v="1"/>
    <n v="10.859400000000001"/>
    <n v="145"/>
    <n v="2024"/>
    <s v="September"/>
  </r>
  <r>
    <s v="DINS-CLM-100135"/>
    <s v="DINS-CUS-500135"/>
    <s v="DINS-POL-200135"/>
    <x v="3"/>
    <x v="2"/>
    <x v="0"/>
    <x v="0"/>
    <x v="5"/>
    <d v="2023-12-02T00:00:00"/>
    <s v="Monthly"/>
    <d v="2024-08-12T00:00:00"/>
    <x v="1"/>
    <n v="23565"/>
    <n v="2078"/>
    <n v="18"/>
    <d v="2024-08-30T00:00:00"/>
    <x v="1"/>
    <x v="1"/>
    <x v="0"/>
    <n v="11.340199999999999"/>
    <n v="254"/>
    <n v="2024"/>
    <s v="August"/>
  </r>
  <r>
    <s v="DINS-CLM-100136"/>
    <s v="DINS-CUS-500136"/>
    <s v="DINS-POL-200136"/>
    <x v="0"/>
    <x v="1"/>
    <x v="2"/>
    <x v="1"/>
    <x v="1"/>
    <d v="2024-05-12T00:00:00"/>
    <s v="Monthly"/>
    <d v="2024-09-04T00:00:00"/>
    <x v="1"/>
    <n v="3288"/>
    <n v="4309"/>
    <n v="26"/>
    <d v="2024-09-30T00:00:00"/>
    <x v="1"/>
    <x v="1"/>
    <x v="2"/>
    <n v="0.7631"/>
    <n v="115"/>
    <n v="2024"/>
    <s v="September"/>
  </r>
  <r>
    <s v="DINS-CLM-100137"/>
    <s v="DINS-CUS-500137"/>
    <s v="DINS-POL-200137"/>
    <x v="3"/>
    <x v="1"/>
    <x v="5"/>
    <x v="0"/>
    <x v="2"/>
    <d v="2023-10-18T00:00:00"/>
    <s v="Annual"/>
    <d v="2024-06-14T00:00:00"/>
    <x v="0"/>
    <n v="97703"/>
    <n v="3469"/>
    <s v="N/A - Not Settled"/>
    <s v="N/A - Not Settled"/>
    <x v="1"/>
    <x v="0"/>
    <x v="0"/>
    <n v="28.1646"/>
    <n v="240"/>
    <n v="2024"/>
    <s v="June"/>
  </r>
  <r>
    <s v="DINS-CLM-100138"/>
    <s v="DINS-CUS-500138"/>
    <s v="DINS-POL-200138"/>
    <x v="1"/>
    <x v="1"/>
    <x v="5"/>
    <x v="0"/>
    <x v="3"/>
    <d v="2023-11-03T00:00:00"/>
    <s v="Monthly"/>
    <d v="2024-02-10T00:00:00"/>
    <x v="1"/>
    <n v="51255"/>
    <n v="1330"/>
    <n v="18"/>
    <d v="2024-02-28T00:00:00"/>
    <x v="0"/>
    <x v="0"/>
    <x v="0"/>
    <n v="38.537599999999998"/>
    <n v="99"/>
    <n v="2024"/>
    <s v="February"/>
  </r>
  <r>
    <s v="DINS-CLM-100139"/>
    <s v="DINS-CUS-500139"/>
    <s v="DINS-POL-200139"/>
    <x v="5"/>
    <x v="1"/>
    <x v="5"/>
    <x v="1"/>
    <x v="1"/>
    <d v="2023-05-24T00:00:00"/>
    <s v="Annual"/>
    <d v="2024-03-31T00:00:00"/>
    <x v="1"/>
    <n v="22439"/>
    <n v="1228"/>
    <n v="3"/>
    <d v="2024-04-03T00:00:00"/>
    <x v="1"/>
    <x v="1"/>
    <x v="2"/>
    <n v="18.2728"/>
    <n v="312"/>
    <n v="2024"/>
    <s v="March"/>
  </r>
  <r>
    <s v="DINS-CLM-100140"/>
    <s v="DINS-CUS-500140"/>
    <s v="DINS-POL-200140"/>
    <x v="2"/>
    <x v="2"/>
    <x v="4"/>
    <x v="2"/>
    <x v="3"/>
    <d v="2023-10-28T00:00:00"/>
    <s v="Annual"/>
    <d v="2024-09-27T00:00:00"/>
    <x v="1"/>
    <n v="38715"/>
    <n v="5885"/>
    <n v="23"/>
    <d v="2024-10-20T00:00:00"/>
    <x v="0"/>
    <x v="0"/>
    <x v="0"/>
    <n v="6.5785999999999998"/>
    <n v="335"/>
    <n v="2024"/>
    <s v="September"/>
  </r>
  <r>
    <s v="DINS-CLM-100141"/>
    <s v="DINS-CUS-500141"/>
    <s v="DINS-POL-200141"/>
    <x v="2"/>
    <x v="0"/>
    <x v="3"/>
    <x v="2"/>
    <x v="1"/>
    <d v="2023-06-14T00:00:00"/>
    <s v="Monthly"/>
    <d v="2024-04-14T00:00:00"/>
    <x v="1"/>
    <n v="21012"/>
    <n v="2894"/>
    <n v="17"/>
    <d v="2024-05-01T00:00:00"/>
    <x v="1"/>
    <x v="0"/>
    <x v="0"/>
    <n v="7.2605000000000004"/>
    <n v="305"/>
    <n v="2024"/>
    <s v="April"/>
  </r>
  <r>
    <s v="DINS-CLM-100142"/>
    <s v="DINS-CUS-500142"/>
    <s v="DINS-POL-200142"/>
    <x v="0"/>
    <x v="1"/>
    <x v="2"/>
    <x v="2"/>
    <x v="0"/>
    <d v="2024-05-15T00:00:00"/>
    <s v="Annual"/>
    <d v="2024-12-03T00:00:00"/>
    <x v="1"/>
    <n v="34478"/>
    <n v="4909"/>
    <n v="4"/>
    <d v="2024-12-07T00:00:00"/>
    <x v="0"/>
    <x v="0"/>
    <x v="0"/>
    <n v="7.0233999999999996"/>
    <n v="202"/>
    <n v="2024"/>
    <s v="December"/>
  </r>
  <r>
    <s v="DINS-CLM-100143"/>
    <s v="DINS-CUS-500143"/>
    <s v="DINS-POL-200143"/>
    <x v="3"/>
    <x v="0"/>
    <x v="5"/>
    <x v="0"/>
    <x v="2"/>
    <d v="2024-06-24T00:00:00"/>
    <s v="Monthly"/>
    <d v="2024-09-02T00:00:00"/>
    <x v="1"/>
    <n v="97773"/>
    <n v="2187"/>
    <n v="38"/>
    <d v="2024-10-10T00:00:00"/>
    <x v="0"/>
    <x v="0"/>
    <x v="1"/>
    <n v="44.706400000000002"/>
    <n v="70"/>
    <n v="2024"/>
    <s v="September"/>
  </r>
  <r>
    <s v="DINS-CLM-100144"/>
    <s v="DINS-CUS-500144"/>
    <s v="DINS-POL-200144"/>
    <x v="2"/>
    <x v="2"/>
    <x v="0"/>
    <x v="2"/>
    <x v="5"/>
    <d v="2023-07-07T00:00:00"/>
    <s v="Annual"/>
    <d v="2024-07-02T00:00:00"/>
    <x v="0"/>
    <n v="15249"/>
    <n v="1674"/>
    <s v="N/A - Not Settled"/>
    <s v="N/A - Not Settled"/>
    <x v="0"/>
    <x v="0"/>
    <x v="0"/>
    <n v="9.1092999999999993"/>
    <n v="361"/>
    <n v="2024"/>
    <s v="July"/>
  </r>
  <r>
    <s v="DINS-CLM-100145"/>
    <s v="DINS-CUS-500145"/>
    <s v="DINS-POL-200145"/>
    <x v="2"/>
    <x v="0"/>
    <x v="3"/>
    <x v="1"/>
    <x v="6"/>
    <d v="2023-09-16T00:00:00"/>
    <s v="Annual"/>
    <d v="2024-03-24T00:00:00"/>
    <x v="1"/>
    <n v="20659"/>
    <n v="6167"/>
    <n v="8"/>
    <d v="2024-04-01T00:00:00"/>
    <x v="0"/>
    <x v="0"/>
    <x v="1"/>
    <n v="3.3498999999999999"/>
    <n v="190"/>
    <n v="2024"/>
    <s v="March"/>
  </r>
  <r>
    <s v="DINS-CLM-100146"/>
    <s v="DINS-CUS-500146"/>
    <s v="DINS-POL-200146"/>
    <x v="2"/>
    <x v="0"/>
    <x v="3"/>
    <x v="1"/>
    <x v="7"/>
    <d v="2023-12-07T00:00:00"/>
    <s v="Monthly"/>
    <d v="2024-11-26T00:00:00"/>
    <x v="1"/>
    <n v="19981"/>
    <n v="1978"/>
    <n v="36"/>
    <d v="2025-01-01T00:00:00"/>
    <x v="0"/>
    <x v="0"/>
    <x v="2"/>
    <n v="10.101599999999999"/>
    <n v="355"/>
    <n v="2024"/>
    <s v="November"/>
  </r>
  <r>
    <s v="DINS-CLM-100147"/>
    <s v="DINS-CUS-500147"/>
    <s v="DINS-POL-200147"/>
    <x v="4"/>
    <x v="0"/>
    <x v="2"/>
    <x v="0"/>
    <x v="1"/>
    <d v="2023-08-15T00:00:00"/>
    <s v="Annual"/>
    <d v="2024-01-23T00:00:00"/>
    <x v="2"/>
    <n v="9071"/>
    <n v="8145"/>
    <s v="N/A - Not Settled"/>
    <s v="N/A - Not Settled"/>
    <x v="0"/>
    <x v="0"/>
    <x v="0"/>
    <n v="1.1136999999999999"/>
    <n v="161"/>
    <n v="2024"/>
    <s v="January"/>
  </r>
  <r>
    <s v="DINS-CLM-100148"/>
    <s v="DINS-CUS-500148"/>
    <s v="DINS-POL-200148"/>
    <x v="0"/>
    <x v="2"/>
    <x v="2"/>
    <x v="0"/>
    <x v="5"/>
    <d v="2024-04-05T00:00:00"/>
    <s v="Annual"/>
    <d v="2024-08-23T00:00:00"/>
    <x v="1"/>
    <n v="57466"/>
    <n v="4250"/>
    <n v="18"/>
    <d v="2024-09-10T00:00:00"/>
    <x v="0"/>
    <x v="0"/>
    <x v="1"/>
    <n v="13.5214"/>
    <n v="140"/>
    <n v="2024"/>
    <s v="August"/>
  </r>
  <r>
    <s v="DINS-CLM-100149"/>
    <s v="DINS-CUS-500149"/>
    <s v="DINS-POL-200149"/>
    <x v="2"/>
    <x v="2"/>
    <x v="5"/>
    <x v="2"/>
    <x v="4"/>
    <d v="2024-06-06T00:00:00"/>
    <s v="Annual"/>
    <d v="2024-10-03T00:00:00"/>
    <x v="1"/>
    <n v="32386"/>
    <n v="3280"/>
    <n v="17"/>
    <d v="2024-10-20T00:00:00"/>
    <x v="1"/>
    <x v="0"/>
    <x v="2"/>
    <n v="9.8737999999999992"/>
    <n v="119"/>
    <n v="2024"/>
    <s v="October"/>
  </r>
  <r>
    <s v="DINS-CLM-100150"/>
    <s v="DINS-CUS-500150"/>
    <s v="DINS-POL-200150"/>
    <x v="2"/>
    <x v="2"/>
    <x v="0"/>
    <x v="2"/>
    <x v="5"/>
    <d v="2024-03-24T00:00:00"/>
    <s v="Annual"/>
    <d v="2024-05-10T00:00:00"/>
    <x v="2"/>
    <n v="7813"/>
    <n v="6601"/>
    <s v="N/A - Not Settled"/>
    <s v="N/A - Not Settled"/>
    <x v="0"/>
    <x v="0"/>
    <x v="2"/>
    <n v="1.1836"/>
    <n v="47"/>
    <n v="2024"/>
    <s v="May"/>
  </r>
  <r>
    <s v="DINS-CLM-100151"/>
    <s v="DINS-CUS-500151"/>
    <s v="DINS-POL-200151"/>
    <x v="1"/>
    <x v="2"/>
    <x v="1"/>
    <x v="0"/>
    <x v="5"/>
    <d v="2023-11-11T00:00:00"/>
    <s v="Annual"/>
    <d v="2024-11-05T00:00:00"/>
    <x v="1"/>
    <n v="29336"/>
    <n v="7404"/>
    <n v="28"/>
    <d v="2024-12-03T00:00:00"/>
    <x v="0"/>
    <x v="0"/>
    <x v="0"/>
    <n v="3.9622000000000002"/>
    <n v="360"/>
    <n v="2024"/>
    <s v="November"/>
  </r>
  <r>
    <s v="DINS-CLM-100152"/>
    <s v="DINS-CUS-500152"/>
    <s v="DINS-POL-200152"/>
    <x v="0"/>
    <x v="2"/>
    <x v="1"/>
    <x v="1"/>
    <x v="7"/>
    <d v="2024-01-23T00:00:00"/>
    <s v="Monthly"/>
    <d v="2024-04-15T00:00:00"/>
    <x v="2"/>
    <n v="18993"/>
    <n v="552"/>
    <s v="N/A - Not Settled"/>
    <s v="N/A - Not Settled"/>
    <x v="0"/>
    <x v="0"/>
    <x v="2"/>
    <n v="34.407600000000002"/>
    <n v="83"/>
    <n v="2024"/>
    <s v="April"/>
  </r>
  <r>
    <s v="DINS-CLM-100153"/>
    <s v="DINS-CUS-500153"/>
    <s v="DINS-POL-200153"/>
    <x v="3"/>
    <x v="2"/>
    <x v="2"/>
    <x v="0"/>
    <x v="7"/>
    <d v="2024-03-28T00:00:00"/>
    <s v="Annual"/>
    <d v="2024-06-02T00:00:00"/>
    <x v="1"/>
    <n v="96553"/>
    <n v="8977"/>
    <n v="21"/>
    <d v="2024-06-23T00:00:00"/>
    <x v="0"/>
    <x v="0"/>
    <x v="1"/>
    <n v="10.755599999999999"/>
    <n v="66"/>
    <n v="2024"/>
    <s v="June"/>
  </r>
  <r>
    <s v="DINS-CLM-100154"/>
    <s v="DINS-CUS-500154"/>
    <s v="DINS-POL-200154"/>
    <x v="2"/>
    <x v="2"/>
    <x v="2"/>
    <x v="2"/>
    <x v="6"/>
    <d v="2024-02-09T00:00:00"/>
    <s v="Annual"/>
    <d v="2024-12-30T00:00:00"/>
    <x v="0"/>
    <n v="34211"/>
    <n v="613"/>
    <s v="N/A - Not Settled"/>
    <s v="N/A - Not Settled"/>
    <x v="0"/>
    <x v="0"/>
    <x v="2"/>
    <n v="55.809100000000001"/>
    <n v="325"/>
    <n v="2024"/>
    <s v="December"/>
  </r>
  <r>
    <s v="DINS-CLM-100155"/>
    <s v="DINS-CUS-500155"/>
    <s v="DINS-POL-200155"/>
    <x v="3"/>
    <x v="1"/>
    <x v="1"/>
    <x v="0"/>
    <x v="3"/>
    <d v="2024-05-24T00:00:00"/>
    <s v="Monthly"/>
    <d v="2024-07-19T00:00:00"/>
    <x v="1"/>
    <n v="75339"/>
    <n v="5611"/>
    <n v="37"/>
    <d v="2024-08-25T00:00:00"/>
    <x v="0"/>
    <x v="0"/>
    <x v="2"/>
    <n v="13.427"/>
    <n v="56"/>
    <n v="2024"/>
    <s v="July"/>
  </r>
  <r>
    <s v="DINS-CLM-100156"/>
    <s v="DINS-CUS-500156"/>
    <s v="DINS-POL-200156"/>
    <x v="2"/>
    <x v="2"/>
    <x v="4"/>
    <x v="2"/>
    <x v="0"/>
    <d v="2023-06-07T00:00:00"/>
    <s v="Annual"/>
    <d v="2024-03-10T00:00:00"/>
    <x v="1"/>
    <n v="8260"/>
    <n v="7152"/>
    <n v="36"/>
    <d v="2024-04-15T00:00:00"/>
    <x v="1"/>
    <x v="0"/>
    <x v="2"/>
    <n v="1.1549"/>
    <n v="277"/>
    <n v="2024"/>
    <s v="March"/>
  </r>
  <r>
    <s v="DINS-CLM-100157"/>
    <s v="DINS-CUS-500157"/>
    <s v="DINS-POL-200157"/>
    <x v="5"/>
    <x v="2"/>
    <x v="1"/>
    <x v="2"/>
    <x v="6"/>
    <d v="2023-07-30T00:00:00"/>
    <s v="Monthly"/>
    <d v="2024-02-15T00:00:00"/>
    <x v="1"/>
    <n v="53753"/>
    <n v="1934"/>
    <n v="3"/>
    <d v="2024-02-18T00:00:00"/>
    <x v="0"/>
    <x v="0"/>
    <x v="0"/>
    <n v="27.793700000000001"/>
    <n v="200"/>
    <n v="2024"/>
    <s v="February"/>
  </r>
  <r>
    <s v="DINS-CLM-100158"/>
    <s v="DINS-CUS-500158"/>
    <s v="DINS-POL-200158"/>
    <x v="1"/>
    <x v="1"/>
    <x v="0"/>
    <x v="2"/>
    <x v="5"/>
    <d v="2023-10-26T00:00:00"/>
    <s v="Monthly"/>
    <d v="2024-06-13T00:00:00"/>
    <x v="1"/>
    <n v="36772"/>
    <n v="4770"/>
    <n v="40"/>
    <d v="2024-07-23T00:00:00"/>
    <x v="0"/>
    <x v="0"/>
    <x v="2"/>
    <n v="7.7089999999999996"/>
    <n v="231"/>
    <n v="2024"/>
    <s v="June"/>
  </r>
  <r>
    <s v="DINS-CLM-100159"/>
    <s v="DINS-CUS-500159"/>
    <s v="DINS-POL-200159"/>
    <x v="2"/>
    <x v="2"/>
    <x v="1"/>
    <x v="0"/>
    <x v="6"/>
    <d v="2024-08-18T00:00:00"/>
    <s v="Annual"/>
    <d v="2024-11-24T00:00:00"/>
    <x v="2"/>
    <n v="25220"/>
    <n v="3419"/>
    <s v="N/A - Not Settled"/>
    <s v="N/A - Not Settled"/>
    <x v="0"/>
    <x v="0"/>
    <x v="2"/>
    <n v="7.3764000000000003"/>
    <n v="98"/>
    <n v="2024"/>
    <s v="November"/>
  </r>
  <r>
    <s v="DINS-CLM-100160"/>
    <s v="DINS-CUS-500160"/>
    <s v="DINS-POL-200160"/>
    <x v="0"/>
    <x v="0"/>
    <x v="0"/>
    <x v="1"/>
    <x v="3"/>
    <d v="2023-09-26T00:00:00"/>
    <s v="Monthly"/>
    <d v="2024-04-09T00:00:00"/>
    <x v="1"/>
    <n v="52570"/>
    <n v="5310"/>
    <n v="14"/>
    <d v="2024-04-23T00:00:00"/>
    <x v="0"/>
    <x v="0"/>
    <x v="1"/>
    <n v="9.9001999999999999"/>
    <n v="196"/>
    <n v="2024"/>
    <s v="April"/>
  </r>
  <r>
    <s v="DINS-CLM-100161"/>
    <s v="DINS-CUS-500161"/>
    <s v="DINS-POL-200161"/>
    <x v="3"/>
    <x v="2"/>
    <x v="0"/>
    <x v="0"/>
    <x v="0"/>
    <d v="2024-07-07T00:00:00"/>
    <s v="Annual"/>
    <d v="2024-10-31T00:00:00"/>
    <x v="1"/>
    <n v="24856"/>
    <n v="5278"/>
    <n v="25"/>
    <d v="2024-11-25T00:00:00"/>
    <x v="1"/>
    <x v="0"/>
    <x v="0"/>
    <n v="4.7093999999999996"/>
    <n v="116"/>
    <n v="2024"/>
    <s v="October"/>
  </r>
  <r>
    <s v="DINS-CLM-100162"/>
    <s v="DINS-CUS-500162"/>
    <s v="DINS-POL-200162"/>
    <x v="2"/>
    <x v="1"/>
    <x v="0"/>
    <x v="1"/>
    <x v="6"/>
    <d v="2023-12-10T00:00:00"/>
    <s v="Monthly"/>
    <d v="2024-05-14T00:00:00"/>
    <x v="1"/>
    <n v="24933"/>
    <n v="4196"/>
    <n v="29"/>
    <d v="2024-06-12T00:00:00"/>
    <x v="0"/>
    <x v="0"/>
    <x v="1"/>
    <n v="5.9420999999999999"/>
    <n v="156"/>
    <n v="2024"/>
    <s v="May"/>
  </r>
  <r>
    <s v="DINS-CLM-100163"/>
    <s v="DINS-CUS-500163"/>
    <s v="DINS-POL-200163"/>
    <x v="2"/>
    <x v="0"/>
    <x v="5"/>
    <x v="2"/>
    <x v="7"/>
    <d v="2024-01-14T00:00:00"/>
    <s v="Annual"/>
    <d v="2024-04-21T00:00:00"/>
    <x v="1"/>
    <n v="4294"/>
    <n v="6813"/>
    <n v="39"/>
    <d v="2024-05-30T00:00:00"/>
    <x v="1"/>
    <x v="0"/>
    <x v="2"/>
    <n v="0.63029999999999997"/>
    <n v="98"/>
    <n v="2024"/>
    <s v="April"/>
  </r>
  <r>
    <s v="DINS-CLM-100164"/>
    <s v="DINS-CUS-500164"/>
    <s v="DINS-POL-200164"/>
    <x v="0"/>
    <x v="1"/>
    <x v="3"/>
    <x v="1"/>
    <x v="6"/>
    <d v="2024-04-08T00:00:00"/>
    <s v="Monthly"/>
    <d v="2024-10-20T00:00:00"/>
    <x v="0"/>
    <n v="54890"/>
    <n v="3628"/>
    <s v="N/A - Not Settled"/>
    <s v="N/A - Not Settled"/>
    <x v="0"/>
    <x v="0"/>
    <x v="0"/>
    <n v="15.1295"/>
    <n v="195"/>
    <n v="2024"/>
    <s v="October"/>
  </r>
  <r>
    <s v="DINS-CLM-100165"/>
    <s v="DINS-CUS-500165"/>
    <s v="DINS-POL-200165"/>
    <x v="3"/>
    <x v="1"/>
    <x v="1"/>
    <x v="0"/>
    <x v="2"/>
    <d v="2023-03-22T00:00:00"/>
    <s v="Monthly"/>
    <d v="2024-01-12T00:00:00"/>
    <x v="1"/>
    <n v="42975"/>
    <n v="906"/>
    <n v="26"/>
    <d v="2024-02-07T00:00:00"/>
    <x v="0"/>
    <x v="0"/>
    <x v="2"/>
    <n v="47.433799999999998"/>
    <n v="296"/>
    <n v="2024"/>
    <s v="January"/>
  </r>
  <r>
    <s v="DINS-CLM-100166"/>
    <s v="DINS-CUS-500166"/>
    <s v="DINS-POL-200166"/>
    <x v="5"/>
    <x v="2"/>
    <x v="4"/>
    <x v="1"/>
    <x v="7"/>
    <d v="2023-10-27T00:00:00"/>
    <s v="Monthly"/>
    <d v="2024-05-27T00:00:00"/>
    <x v="1"/>
    <n v="39900"/>
    <n v="6565"/>
    <n v="42"/>
    <d v="2024-07-08T00:00:00"/>
    <x v="0"/>
    <x v="0"/>
    <x v="0"/>
    <n v="6.0777000000000001"/>
    <n v="213"/>
    <n v="2024"/>
    <s v="May"/>
  </r>
  <r>
    <s v="DINS-CLM-100167"/>
    <s v="DINS-CUS-500167"/>
    <s v="DINS-POL-200167"/>
    <x v="3"/>
    <x v="1"/>
    <x v="3"/>
    <x v="2"/>
    <x v="5"/>
    <d v="2024-04-03T00:00:00"/>
    <s v="Monthly"/>
    <d v="2024-11-06T00:00:00"/>
    <x v="1"/>
    <n v="69605"/>
    <n v="2253"/>
    <n v="4"/>
    <d v="2024-11-10T00:00:00"/>
    <x v="0"/>
    <x v="0"/>
    <x v="2"/>
    <n v="30.894400000000001"/>
    <n v="217"/>
    <n v="2024"/>
    <s v="November"/>
  </r>
  <r>
    <s v="DINS-CLM-100168"/>
    <s v="DINS-CUS-500168"/>
    <s v="DINS-POL-200168"/>
    <x v="0"/>
    <x v="0"/>
    <x v="4"/>
    <x v="1"/>
    <x v="5"/>
    <d v="2023-05-02T00:00:00"/>
    <s v="Annual"/>
    <d v="2024-03-20T00:00:00"/>
    <x v="1"/>
    <n v="36611"/>
    <n v="5934"/>
    <n v="32"/>
    <d v="2024-04-21T00:00:00"/>
    <x v="1"/>
    <x v="0"/>
    <x v="0"/>
    <n v="6.1696999999999997"/>
    <n v="323"/>
    <n v="2024"/>
    <s v="March"/>
  </r>
  <r>
    <s v="DINS-CLM-100169"/>
    <s v="DINS-CUS-500169"/>
    <s v="DINS-POL-200169"/>
    <x v="2"/>
    <x v="1"/>
    <x v="0"/>
    <x v="1"/>
    <x v="5"/>
    <d v="2024-05-12T00:00:00"/>
    <s v="Annual"/>
    <d v="2024-10-11T00:00:00"/>
    <x v="1"/>
    <n v="4164"/>
    <n v="1261"/>
    <n v="5"/>
    <d v="2024-10-16T00:00:00"/>
    <x v="0"/>
    <x v="0"/>
    <x v="0"/>
    <n v="3.3020999999999998"/>
    <n v="152"/>
    <n v="2024"/>
    <s v="October"/>
  </r>
  <r>
    <s v="DINS-CLM-100170"/>
    <s v="DINS-CUS-500170"/>
    <s v="DINS-POL-200170"/>
    <x v="4"/>
    <x v="0"/>
    <x v="3"/>
    <x v="1"/>
    <x v="5"/>
    <d v="2024-05-04T00:00:00"/>
    <s v="Annual"/>
    <d v="2024-07-26T00:00:00"/>
    <x v="0"/>
    <n v="9003"/>
    <n v="6715"/>
    <s v="N/A - Not Settled"/>
    <s v="N/A - Not Settled"/>
    <x v="1"/>
    <x v="0"/>
    <x v="0"/>
    <n v="1.3407"/>
    <n v="83"/>
    <n v="2024"/>
    <s v="July"/>
  </r>
  <r>
    <s v="DINS-CLM-100171"/>
    <s v="DINS-CUS-500171"/>
    <s v="DINS-POL-200171"/>
    <x v="4"/>
    <x v="1"/>
    <x v="0"/>
    <x v="0"/>
    <x v="4"/>
    <d v="2023-01-11T00:00:00"/>
    <s v="Monthly"/>
    <d v="2024-01-03T00:00:00"/>
    <x v="1"/>
    <n v="6063"/>
    <n v="1580"/>
    <n v="39"/>
    <d v="2024-02-11T00:00:00"/>
    <x v="0"/>
    <x v="0"/>
    <x v="1"/>
    <n v="3.8372999999999999"/>
    <n v="357"/>
    <n v="2024"/>
    <s v="January"/>
  </r>
  <r>
    <s v="DINS-CLM-100172"/>
    <s v="DINS-CUS-500172"/>
    <s v="DINS-POL-200172"/>
    <x v="4"/>
    <x v="2"/>
    <x v="3"/>
    <x v="0"/>
    <x v="1"/>
    <d v="2023-07-28T00:00:00"/>
    <s v="Monthly"/>
    <d v="2024-02-24T00:00:00"/>
    <x v="0"/>
    <n v="11114"/>
    <n v="6833"/>
    <s v="N/A - Not Settled"/>
    <s v="N/A - Not Settled"/>
    <x v="0"/>
    <x v="0"/>
    <x v="1"/>
    <n v="1.6265000000000001"/>
    <n v="211"/>
    <n v="2024"/>
    <s v="February"/>
  </r>
  <r>
    <s v="DINS-CLM-100173"/>
    <s v="DINS-CUS-500173"/>
    <s v="DINS-POL-200173"/>
    <x v="5"/>
    <x v="1"/>
    <x v="2"/>
    <x v="0"/>
    <x v="2"/>
    <d v="2023-09-28T00:00:00"/>
    <s v="Monthly"/>
    <d v="2024-05-10T00:00:00"/>
    <x v="1"/>
    <n v="28045"/>
    <n v="1963"/>
    <n v="31"/>
    <d v="2024-06-10T00:00:00"/>
    <x v="0"/>
    <x v="0"/>
    <x v="0"/>
    <n v="14.286799999999999"/>
    <n v="225"/>
    <n v="2024"/>
    <s v="May"/>
  </r>
  <r>
    <s v="DINS-CLM-100174"/>
    <s v="DINS-CUS-500174"/>
    <s v="DINS-POL-200174"/>
    <x v="4"/>
    <x v="1"/>
    <x v="2"/>
    <x v="0"/>
    <x v="4"/>
    <d v="2024-01-12T00:00:00"/>
    <s v="Monthly"/>
    <d v="2024-11-09T00:00:00"/>
    <x v="0"/>
    <n v="4190"/>
    <n v="4535"/>
    <s v="N/A - Not Settled"/>
    <s v="N/A - Not Settled"/>
    <x v="0"/>
    <x v="0"/>
    <x v="2"/>
    <n v="0.92390000000000005"/>
    <n v="302"/>
    <n v="2024"/>
    <s v="November"/>
  </r>
  <r>
    <s v="DINS-CLM-100175"/>
    <s v="DINS-CUS-500175"/>
    <s v="DINS-POL-200175"/>
    <x v="5"/>
    <x v="0"/>
    <x v="0"/>
    <x v="0"/>
    <x v="1"/>
    <d v="2023-04-20T00:00:00"/>
    <s v="Monthly"/>
    <d v="2024-04-12T00:00:00"/>
    <x v="1"/>
    <n v="19721"/>
    <n v="5845"/>
    <n v="12"/>
    <d v="2024-04-24T00:00:00"/>
    <x v="1"/>
    <x v="0"/>
    <x v="2"/>
    <n v="3.3740000000000001"/>
    <n v="358"/>
    <n v="2024"/>
    <s v="April"/>
  </r>
  <r>
    <s v="DINS-CLM-100176"/>
    <s v="DINS-CUS-500176"/>
    <s v="DINS-POL-200176"/>
    <x v="0"/>
    <x v="1"/>
    <x v="4"/>
    <x v="1"/>
    <x v="3"/>
    <d v="2023-07-30T00:00:00"/>
    <s v="Annual"/>
    <d v="2024-06-22T00:00:00"/>
    <x v="1"/>
    <n v="29080"/>
    <n v="8691"/>
    <n v="39"/>
    <d v="2024-07-31T00:00:00"/>
    <x v="0"/>
    <x v="0"/>
    <x v="1"/>
    <n v="3.3460000000000001"/>
    <n v="328"/>
    <n v="2024"/>
    <s v="June"/>
  </r>
  <r>
    <s v="DINS-CLM-100177"/>
    <s v="DINS-CUS-500177"/>
    <s v="DINS-POL-200177"/>
    <x v="3"/>
    <x v="0"/>
    <x v="3"/>
    <x v="2"/>
    <x v="6"/>
    <d v="2023-10-09T00:00:00"/>
    <s v="Monthly"/>
    <d v="2024-01-20T00:00:00"/>
    <x v="1"/>
    <n v="79344"/>
    <n v="3583"/>
    <n v="5"/>
    <d v="2024-01-25T00:00:00"/>
    <x v="0"/>
    <x v="0"/>
    <x v="0"/>
    <n v="22.144600000000001"/>
    <n v="103"/>
    <n v="2024"/>
    <s v="January"/>
  </r>
  <r>
    <s v="DINS-CLM-100178"/>
    <s v="DINS-CUS-500178"/>
    <s v="DINS-POL-200178"/>
    <x v="0"/>
    <x v="0"/>
    <x v="5"/>
    <x v="1"/>
    <x v="7"/>
    <d v="2024-07-09T00:00:00"/>
    <s v="Monthly"/>
    <d v="2024-10-31T00:00:00"/>
    <x v="0"/>
    <n v="23432"/>
    <n v="2859"/>
    <s v="N/A - Not Settled"/>
    <s v="N/A - Not Settled"/>
    <x v="1"/>
    <x v="0"/>
    <x v="0"/>
    <n v="8.1959"/>
    <n v="114"/>
    <n v="2024"/>
    <s v="October"/>
  </r>
  <r>
    <s v="DINS-CLM-100179"/>
    <s v="DINS-CUS-500179"/>
    <s v="DINS-POL-200179"/>
    <x v="1"/>
    <x v="0"/>
    <x v="0"/>
    <x v="0"/>
    <x v="0"/>
    <d v="2024-01-01T00:00:00"/>
    <s v="Annual"/>
    <d v="2024-02-02T00:00:00"/>
    <x v="1"/>
    <n v="51665"/>
    <n v="3789"/>
    <n v="3"/>
    <d v="2024-02-05T00:00:00"/>
    <x v="0"/>
    <x v="0"/>
    <x v="2"/>
    <n v="13.6355"/>
    <n v="32"/>
    <n v="2024"/>
    <s v="February"/>
  </r>
  <r>
    <s v="DINS-CLM-100180"/>
    <s v="DINS-CUS-500180"/>
    <s v="DINS-POL-200180"/>
    <x v="0"/>
    <x v="2"/>
    <x v="1"/>
    <x v="1"/>
    <x v="4"/>
    <d v="2024-01-24T00:00:00"/>
    <s v="Monthly"/>
    <d v="2024-11-24T00:00:00"/>
    <x v="1"/>
    <n v="28091"/>
    <n v="2731"/>
    <n v="8"/>
    <d v="2024-12-02T00:00:00"/>
    <x v="0"/>
    <x v="0"/>
    <x v="0"/>
    <n v="10.286"/>
    <n v="305"/>
    <n v="2024"/>
    <s v="November"/>
  </r>
  <r>
    <s v="DINS-CLM-100181"/>
    <s v="DINS-CUS-500181"/>
    <s v="DINS-POL-200181"/>
    <x v="2"/>
    <x v="2"/>
    <x v="4"/>
    <x v="2"/>
    <x v="0"/>
    <d v="2024-04-03T00:00:00"/>
    <s v="Annual"/>
    <d v="2024-12-16T00:00:00"/>
    <x v="1"/>
    <n v="10453"/>
    <n v="1733"/>
    <n v="44"/>
    <d v="2025-01-29T00:00:00"/>
    <x v="1"/>
    <x v="1"/>
    <x v="2"/>
    <n v="6.0316999999999998"/>
    <n v="257"/>
    <n v="2024"/>
    <s v="December"/>
  </r>
  <r>
    <s v="DINS-CLM-100182"/>
    <s v="DINS-CUS-500182"/>
    <s v="DINS-POL-200182"/>
    <x v="0"/>
    <x v="1"/>
    <x v="0"/>
    <x v="2"/>
    <x v="4"/>
    <d v="2023-10-24T00:00:00"/>
    <s v="Annual"/>
    <d v="2024-04-10T00:00:00"/>
    <x v="0"/>
    <n v="19400"/>
    <n v="5739"/>
    <s v="N/A - Not Settled"/>
    <s v="N/A - Not Settled"/>
    <x v="0"/>
    <x v="0"/>
    <x v="0"/>
    <n v="3.3803999999999998"/>
    <n v="169"/>
    <n v="2024"/>
    <s v="April"/>
  </r>
  <r>
    <s v="DINS-CLM-100183"/>
    <s v="DINS-CUS-500183"/>
    <s v="DINS-POL-200183"/>
    <x v="2"/>
    <x v="0"/>
    <x v="2"/>
    <x v="0"/>
    <x v="7"/>
    <d v="2024-04-04T00:00:00"/>
    <s v="Annual"/>
    <d v="2024-12-20T00:00:00"/>
    <x v="2"/>
    <n v="2689"/>
    <n v="3035"/>
    <s v="N/A - Not Settled"/>
    <s v="N/A - Not Settled"/>
    <x v="0"/>
    <x v="0"/>
    <x v="2"/>
    <n v="0.88600000000000001"/>
    <n v="260"/>
    <n v="2024"/>
    <s v="December"/>
  </r>
  <r>
    <s v="DINS-CLM-100184"/>
    <s v="DINS-CUS-500184"/>
    <s v="DINS-POL-200184"/>
    <x v="2"/>
    <x v="2"/>
    <x v="1"/>
    <x v="1"/>
    <x v="0"/>
    <d v="2023-10-05T00:00:00"/>
    <s v="Monthly"/>
    <d v="2024-02-14T00:00:00"/>
    <x v="0"/>
    <n v="22902"/>
    <n v="8907"/>
    <s v="N/A - Not Settled"/>
    <s v="N/A - Not Settled"/>
    <x v="0"/>
    <x v="0"/>
    <x v="1"/>
    <n v="2.5712000000000002"/>
    <n v="132"/>
    <n v="2024"/>
    <s v="February"/>
  </r>
  <r>
    <s v="DINS-CLM-100185"/>
    <s v="DINS-CUS-500185"/>
    <s v="DINS-POL-200185"/>
    <x v="3"/>
    <x v="2"/>
    <x v="0"/>
    <x v="1"/>
    <x v="7"/>
    <d v="2024-06-07T00:00:00"/>
    <s v="Annual"/>
    <d v="2024-12-12T00:00:00"/>
    <x v="2"/>
    <n v="82851"/>
    <n v="6051"/>
    <s v="N/A - Not Settled"/>
    <s v="N/A - Not Settled"/>
    <x v="0"/>
    <x v="0"/>
    <x v="0"/>
    <n v="13.6921"/>
    <n v="188"/>
    <n v="2024"/>
    <s v="December"/>
  </r>
  <r>
    <s v="DINS-CLM-100186"/>
    <s v="DINS-CUS-500186"/>
    <s v="DINS-POL-200186"/>
    <x v="3"/>
    <x v="2"/>
    <x v="1"/>
    <x v="1"/>
    <x v="3"/>
    <d v="2023-07-22T00:00:00"/>
    <s v="Monthly"/>
    <d v="2024-04-06T00:00:00"/>
    <x v="1"/>
    <n v="59118"/>
    <n v="8519"/>
    <n v="45"/>
    <d v="2024-05-21T00:00:00"/>
    <x v="0"/>
    <x v="0"/>
    <x v="2"/>
    <n v="6.9394999999999998"/>
    <n v="259"/>
    <n v="2024"/>
    <s v="April"/>
  </r>
  <r>
    <s v="DINS-CLM-100187"/>
    <s v="DINS-CUS-500187"/>
    <s v="DINS-POL-200187"/>
    <x v="0"/>
    <x v="2"/>
    <x v="4"/>
    <x v="2"/>
    <x v="6"/>
    <d v="2024-01-08T00:00:00"/>
    <s v="Monthly"/>
    <d v="2024-08-02T00:00:00"/>
    <x v="0"/>
    <n v="39769"/>
    <n v="7024"/>
    <s v="N/A - Not Settled"/>
    <s v="N/A - Not Settled"/>
    <x v="0"/>
    <x v="0"/>
    <x v="0"/>
    <n v="5.6619000000000002"/>
    <n v="207"/>
    <n v="2024"/>
    <s v="August"/>
  </r>
  <r>
    <s v="DINS-CLM-100188"/>
    <s v="DINS-CUS-500188"/>
    <s v="DINS-POL-200188"/>
    <x v="0"/>
    <x v="1"/>
    <x v="2"/>
    <x v="0"/>
    <x v="1"/>
    <d v="2023-09-29T00:00:00"/>
    <s v="Monthly"/>
    <d v="2024-03-20T00:00:00"/>
    <x v="1"/>
    <n v="15637"/>
    <n v="8168"/>
    <n v="41"/>
    <d v="2024-04-30T00:00:00"/>
    <x v="0"/>
    <x v="0"/>
    <x v="0"/>
    <n v="1.9144000000000001"/>
    <n v="173"/>
    <n v="2024"/>
    <s v="March"/>
  </r>
  <r>
    <s v="DINS-CLM-100189"/>
    <s v="DINS-CUS-500189"/>
    <s v="DINS-POL-200189"/>
    <x v="4"/>
    <x v="2"/>
    <x v="3"/>
    <x v="2"/>
    <x v="2"/>
    <d v="2023-06-21T00:00:00"/>
    <s v="Monthly"/>
    <d v="2024-05-22T00:00:00"/>
    <x v="1"/>
    <n v="13180"/>
    <n v="8374"/>
    <n v="28"/>
    <d v="2024-06-19T00:00:00"/>
    <x v="1"/>
    <x v="0"/>
    <x v="1"/>
    <n v="1.5739000000000001"/>
    <n v="336"/>
    <n v="2024"/>
    <s v="May"/>
  </r>
  <r>
    <s v="DINS-CLM-100190"/>
    <s v="DINS-CUS-500190"/>
    <s v="DINS-POL-200190"/>
    <x v="1"/>
    <x v="1"/>
    <x v="4"/>
    <x v="1"/>
    <x v="4"/>
    <d v="2023-06-15T00:00:00"/>
    <s v="Annual"/>
    <d v="2024-03-13T00:00:00"/>
    <x v="2"/>
    <n v="44652"/>
    <n v="3431"/>
    <s v="N/A - Not Settled"/>
    <s v="N/A - Not Settled"/>
    <x v="1"/>
    <x v="1"/>
    <x v="1"/>
    <n v="13.0143"/>
    <n v="272"/>
    <n v="2024"/>
    <s v="March"/>
  </r>
  <r>
    <s v="DINS-CLM-100191"/>
    <s v="DINS-CUS-500191"/>
    <s v="DINS-POL-200191"/>
    <x v="1"/>
    <x v="0"/>
    <x v="4"/>
    <x v="0"/>
    <x v="2"/>
    <d v="2024-02-11T00:00:00"/>
    <s v="Monthly"/>
    <d v="2024-12-23T00:00:00"/>
    <x v="1"/>
    <n v="10866"/>
    <n v="3226"/>
    <n v="26"/>
    <d v="2025-01-18T00:00:00"/>
    <x v="0"/>
    <x v="0"/>
    <x v="1"/>
    <n v="3.3683000000000001"/>
    <n v="316"/>
    <n v="2024"/>
    <s v="December"/>
  </r>
  <r>
    <s v="DINS-CLM-100192"/>
    <s v="DINS-CUS-500192"/>
    <s v="DINS-POL-200192"/>
    <x v="2"/>
    <x v="1"/>
    <x v="2"/>
    <x v="0"/>
    <x v="0"/>
    <d v="2023-12-12T00:00:00"/>
    <s v="Monthly"/>
    <d v="2024-05-31T00:00:00"/>
    <x v="1"/>
    <n v="20795"/>
    <n v="2600"/>
    <n v="24"/>
    <d v="2024-06-24T00:00:00"/>
    <x v="0"/>
    <x v="0"/>
    <x v="0"/>
    <n v="7.9981"/>
    <n v="171"/>
    <n v="2024"/>
    <s v="May"/>
  </r>
  <r>
    <s v="DINS-CLM-100193"/>
    <s v="DINS-CUS-500193"/>
    <s v="DINS-POL-200193"/>
    <x v="3"/>
    <x v="0"/>
    <x v="3"/>
    <x v="2"/>
    <x v="1"/>
    <d v="2023-04-05T00:00:00"/>
    <s v="Annual"/>
    <d v="2024-01-13T00:00:00"/>
    <x v="1"/>
    <n v="69609"/>
    <n v="895"/>
    <n v="22"/>
    <d v="2024-02-04T00:00:00"/>
    <x v="0"/>
    <x v="0"/>
    <x v="2"/>
    <n v="77.775400000000005"/>
    <n v="283"/>
    <n v="2024"/>
    <s v="January"/>
  </r>
  <r>
    <s v="DINS-CLM-100194"/>
    <s v="DINS-CUS-500194"/>
    <s v="DINS-POL-200194"/>
    <x v="2"/>
    <x v="1"/>
    <x v="1"/>
    <x v="0"/>
    <x v="2"/>
    <d v="2023-07-10T00:00:00"/>
    <s v="Monthly"/>
    <d v="2024-05-16T00:00:00"/>
    <x v="1"/>
    <n v="25550"/>
    <n v="1599"/>
    <n v="3"/>
    <d v="2024-05-19T00:00:00"/>
    <x v="0"/>
    <x v="0"/>
    <x v="1"/>
    <n v="15.9787"/>
    <n v="311"/>
    <n v="2024"/>
    <s v="May"/>
  </r>
  <r>
    <s v="DINS-CLM-100195"/>
    <s v="DINS-CUS-500195"/>
    <s v="DINS-POL-200195"/>
    <x v="5"/>
    <x v="2"/>
    <x v="1"/>
    <x v="1"/>
    <x v="7"/>
    <d v="2023-06-05T00:00:00"/>
    <s v="Annual"/>
    <d v="2024-02-08T00:00:00"/>
    <x v="1"/>
    <n v="59936"/>
    <n v="6403"/>
    <n v="44"/>
    <d v="2024-03-23T00:00:00"/>
    <x v="0"/>
    <x v="0"/>
    <x v="1"/>
    <n v="9.3605999999999998"/>
    <n v="248"/>
    <n v="2024"/>
    <s v="February"/>
  </r>
  <r>
    <s v="DINS-CLM-100196"/>
    <s v="DINS-CUS-500196"/>
    <s v="DINS-POL-200196"/>
    <x v="3"/>
    <x v="1"/>
    <x v="1"/>
    <x v="0"/>
    <x v="2"/>
    <d v="2024-05-01T00:00:00"/>
    <s v="Annual"/>
    <d v="2024-09-12T00:00:00"/>
    <x v="1"/>
    <n v="93090"/>
    <n v="7344"/>
    <n v="26"/>
    <d v="2024-10-08T00:00:00"/>
    <x v="0"/>
    <x v="0"/>
    <x v="2"/>
    <n v="12.675700000000001"/>
    <n v="134"/>
    <n v="2024"/>
    <s v="September"/>
  </r>
  <r>
    <s v="DINS-CLM-100197"/>
    <s v="DINS-CUS-500197"/>
    <s v="DINS-POL-200197"/>
    <x v="2"/>
    <x v="0"/>
    <x v="0"/>
    <x v="1"/>
    <x v="4"/>
    <d v="2023-11-22T00:00:00"/>
    <s v="Annual"/>
    <d v="2024-08-11T00:00:00"/>
    <x v="1"/>
    <n v="32562"/>
    <n v="1369"/>
    <n v="19"/>
    <d v="2024-08-30T00:00:00"/>
    <x v="0"/>
    <x v="0"/>
    <x v="1"/>
    <n v="23.7852"/>
    <n v="263"/>
    <n v="2024"/>
    <s v="August"/>
  </r>
  <r>
    <s v="DINS-CLM-100198"/>
    <s v="DINS-CUS-500198"/>
    <s v="DINS-POL-200198"/>
    <x v="0"/>
    <x v="0"/>
    <x v="3"/>
    <x v="0"/>
    <x v="2"/>
    <d v="2023-10-03T00:00:00"/>
    <s v="Annual"/>
    <d v="2024-09-13T00:00:00"/>
    <x v="1"/>
    <n v="31515"/>
    <n v="8896"/>
    <n v="41"/>
    <d v="2024-10-24T00:00:00"/>
    <x v="0"/>
    <x v="0"/>
    <x v="2"/>
    <n v="3.5426000000000002"/>
    <n v="346"/>
    <n v="2024"/>
    <s v="September"/>
  </r>
  <r>
    <s v="DINS-CLM-100199"/>
    <s v="DINS-CUS-500199"/>
    <s v="DINS-POL-200199"/>
    <x v="0"/>
    <x v="0"/>
    <x v="1"/>
    <x v="1"/>
    <x v="0"/>
    <d v="2023-07-19T00:00:00"/>
    <s v="Monthly"/>
    <d v="2024-01-04T00:00:00"/>
    <x v="1"/>
    <n v="18154"/>
    <n v="5277"/>
    <n v="22"/>
    <d v="2024-01-26T00:00:00"/>
    <x v="0"/>
    <x v="0"/>
    <x v="0"/>
    <n v="3.4401999999999999"/>
    <n v="169"/>
    <n v="2024"/>
    <s v="January"/>
  </r>
  <r>
    <s v="DINS-CLM-100200"/>
    <s v="DINS-CUS-500200"/>
    <s v="DINS-POL-200200"/>
    <x v="4"/>
    <x v="2"/>
    <x v="4"/>
    <x v="0"/>
    <x v="1"/>
    <d v="2023-11-25T00:00:00"/>
    <s v="Annual"/>
    <d v="2024-06-10T00:00:00"/>
    <x v="1"/>
    <n v="5405"/>
    <n v="8144"/>
    <n v="30"/>
    <d v="2024-07-10T00:00:00"/>
    <x v="0"/>
    <x v="0"/>
    <x v="2"/>
    <n v="0.66369999999999996"/>
    <n v="198"/>
    <n v="2024"/>
    <s v="June"/>
  </r>
  <r>
    <s v="DINS-CLM-100201"/>
    <s v="DINS-CUS-500201"/>
    <s v="DINS-POL-200201"/>
    <x v="3"/>
    <x v="2"/>
    <x v="2"/>
    <x v="0"/>
    <x v="3"/>
    <d v="2023-10-15T00:00:00"/>
    <s v="Monthly"/>
    <d v="2024-09-19T00:00:00"/>
    <x v="0"/>
    <n v="48818"/>
    <n v="4324"/>
    <s v="N/A - Not Settled"/>
    <s v="N/A - Not Settled"/>
    <x v="0"/>
    <x v="0"/>
    <x v="1"/>
    <n v="11.29"/>
    <n v="340"/>
    <n v="2024"/>
    <s v="September"/>
  </r>
  <r>
    <s v="DINS-CLM-100202"/>
    <s v="DINS-CUS-500202"/>
    <s v="DINS-POL-200202"/>
    <x v="2"/>
    <x v="1"/>
    <x v="4"/>
    <x v="0"/>
    <x v="1"/>
    <d v="2023-12-17T00:00:00"/>
    <s v="Annual"/>
    <d v="2024-05-24T00:00:00"/>
    <x v="0"/>
    <n v="34901"/>
    <n v="4769"/>
    <s v="N/A - Not Settled"/>
    <s v="N/A - Not Settled"/>
    <x v="0"/>
    <x v="0"/>
    <x v="0"/>
    <n v="7.3182999999999998"/>
    <n v="159"/>
    <n v="2024"/>
    <s v="May"/>
  </r>
  <r>
    <s v="DINS-CLM-100203"/>
    <s v="DINS-CUS-500203"/>
    <s v="DINS-POL-200203"/>
    <x v="1"/>
    <x v="2"/>
    <x v="5"/>
    <x v="0"/>
    <x v="6"/>
    <d v="2023-10-20T00:00:00"/>
    <s v="Annual"/>
    <d v="2024-01-01T00:00:00"/>
    <x v="1"/>
    <n v="30605"/>
    <n v="1143"/>
    <n v="8"/>
    <d v="2024-01-09T00:00:00"/>
    <x v="0"/>
    <x v="0"/>
    <x v="2"/>
    <n v="26.776"/>
    <n v="73"/>
    <n v="2024"/>
    <s v="January"/>
  </r>
  <r>
    <s v="DINS-CLM-100204"/>
    <s v="DINS-CUS-500204"/>
    <s v="DINS-POL-200204"/>
    <x v="0"/>
    <x v="0"/>
    <x v="1"/>
    <x v="0"/>
    <x v="0"/>
    <d v="2024-05-29T00:00:00"/>
    <s v="Monthly"/>
    <d v="2024-08-04T00:00:00"/>
    <x v="2"/>
    <n v="10211"/>
    <n v="8860"/>
    <s v="N/A - Not Settled"/>
    <s v="N/A - Not Settled"/>
    <x v="1"/>
    <x v="0"/>
    <x v="1"/>
    <n v="1.1525000000000001"/>
    <n v="67"/>
    <n v="2024"/>
    <s v="August"/>
  </r>
  <r>
    <s v="DINS-CLM-100205"/>
    <s v="DINS-CUS-500205"/>
    <s v="DINS-POL-200205"/>
    <x v="0"/>
    <x v="2"/>
    <x v="3"/>
    <x v="0"/>
    <x v="5"/>
    <d v="2024-03-15T00:00:00"/>
    <s v="Monthly"/>
    <d v="2024-04-15T00:00:00"/>
    <x v="1"/>
    <n v="38667"/>
    <n v="2135"/>
    <n v="7"/>
    <d v="2024-04-22T00:00:00"/>
    <x v="0"/>
    <x v="0"/>
    <x v="2"/>
    <n v="18.111000000000001"/>
    <n v="31"/>
    <n v="2024"/>
    <s v="April"/>
  </r>
  <r>
    <s v="DINS-CLM-100206"/>
    <s v="DINS-CUS-500206"/>
    <s v="DINS-POL-200206"/>
    <x v="1"/>
    <x v="1"/>
    <x v="3"/>
    <x v="2"/>
    <x v="2"/>
    <d v="2023-06-07T00:00:00"/>
    <s v="Monthly"/>
    <d v="2024-03-02T00:00:00"/>
    <x v="1"/>
    <n v="18873"/>
    <n v="2469"/>
    <n v="11"/>
    <d v="2024-03-13T00:00:00"/>
    <x v="0"/>
    <x v="0"/>
    <x v="2"/>
    <n v="7.6440000000000001"/>
    <n v="269"/>
    <n v="2024"/>
    <s v="March"/>
  </r>
  <r>
    <s v="DINS-CLM-100207"/>
    <s v="DINS-CUS-500207"/>
    <s v="DINS-POL-200207"/>
    <x v="0"/>
    <x v="1"/>
    <x v="3"/>
    <x v="2"/>
    <x v="2"/>
    <d v="2024-09-01T00:00:00"/>
    <s v="Annual"/>
    <d v="2024-12-26T00:00:00"/>
    <x v="1"/>
    <n v="21171"/>
    <n v="5778"/>
    <n v="11"/>
    <d v="2025-01-06T00:00:00"/>
    <x v="0"/>
    <x v="0"/>
    <x v="1"/>
    <n v="3.6640999999999999"/>
    <n v="116"/>
    <n v="2024"/>
    <s v="December"/>
  </r>
  <r>
    <s v="DINS-CLM-100208"/>
    <s v="DINS-CUS-500208"/>
    <s v="DINS-POL-200208"/>
    <x v="0"/>
    <x v="2"/>
    <x v="5"/>
    <x v="0"/>
    <x v="3"/>
    <d v="2024-04-14T00:00:00"/>
    <s v="Annual"/>
    <d v="2024-10-21T00:00:00"/>
    <x v="1"/>
    <n v="5302"/>
    <n v="1390"/>
    <n v="37"/>
    <d v="2024-11-27T00:00:00"/>
    <x v="0"/>
    <x v="0"/>
    <x v="2"/>
    <n v="3.8144"/>
    <n v="190"/>
    <n v="2024"/>
    <s v="October"/>
  </r>
  <r>
    <s v="DINS-CLM-100209"/>
    <s v="DINS-CUS-500209"/>
    <s v="DINS-POL-200209"/>
    <x v="1"/>
    <x v="0"/>
    <x v="4"/>
    <x v="2"/>
    <x v="0"/>
    <d v="2023-09-11T00:00:00"/>
    <s v="Annual"/>
    <d v="2024-08-10T00:00:00"/>
    <x v="1"/>
    <n v="39438"/>
    <n v="1602"/>
    <n v="24"/>
    <d v="2024-09-03T00:00:00"/>
    <x v="0"/>
    <x v="0"/>
    <x v="0"/>
    <n v="24.617999999999999"/>
    <n v="334"/>
    <n v="2024"/>
    <s v="August"/>
  </r>
  <r>
    <s v="DINS-CLM-100210"/>
    <s v="DINS-CUS-500210"/>
    <s v="DINS-POL-200210"/>
    <x v="0"/>
    <x v="0"/>
    <x v="2"/>
    <x v="2"/>
    <x v="0"/>
    <d v="2023-10-09T00:00:00"/>
    <s v="Annual"/>
    <d v="2024-09-28T00:00:00"/>
    <x v="2"/>
    <n v="34027"/>
    <n v="3283"/>
    <s v="N/A - Not Settled"/>
    <s v="N/A - Not Settled"/>
    <x v="0"/>
    <x v="0"/>
    <x v="1"/>
    <n v="10.364599999999999"/>
    <n v="355"/>
    <n v="2024"/>
    <s v="September"/>
  </r>
  <r>
    <s v="DINS-CLM-100211"/>
    <s v="DINS-CUS-500211"/>
    <s v="DINS-POL-200211"/>
    <x v="2"/>
    <x v="0"/>
    <x v="4"/>
    <x v="0"/>
    <x v="6"/>
    <d v="2023-09-27T00:00:00"/>
    <s v="Annual"/>
    <d v="2024-02-12T00:00:00"/>
    <x v="1"/>
    <n v="19843"/>
    <n v="3318"/>
    <n v="12"/>
    <d v="2024-02-24T00:00:00"/>
    <x v="0"/>
    <x v="0"/>
    <x v="1"/>
    <n v="5.9804000000000004"/>
    <n v="138"/>
    <n v="2024"/>
    <s v="February"/>
  </r>
  <r>
    <s v="DINS-CLM-100212"/>
    <s v="DINS-CUS-500212"/>
    <s v="DINS-POL-200212"/>
    <x v="2"/>
    <x v="2"/>
    <x v="3"/>
    <x v="0"/>
    <x v="2"/>
    <d v="2023-08-31T00:00:00"/>
    <s v="Monthly"/>
    <d v="2024-02-05T00:00:00"/>
    <x v="2"/>
    <n v="30714"/>
    <n v="7193"/>
    <s v="N/A - Not Settled"/>
    <s v="N/A - Not Settled"/>
    <x v="0"/>
    <x v="0"/>
    <x v="0"/>
    <n v="4.2699999999999996"/>
    <n v="158"/>
    <n v="2024"/>
    <s v="February"/>
  </r>
  <r>
    <s v="DINS-CLM-100213"/>
    <s v="DINS-CUS-500213"/>
    <s v="DINS-POL-200213"/>
    <x v="3"/>
    <x v="2"/>
    <x v="5"/>
    <x v="2"/>
    <x v="5"/>
    <d v="2024-02-01T00:00:00"/>
    <s v="Annual"/>
    <d v="2024-07-31T00:00:00"/>
    <x v="1"/>
    <n v="42671"/>
    <n v="5437"/>
    <n v="30"/>
    <d v="2024-08-30T00:00:00"/>
    <x v="0"/>
    <x v="0"/>
    <x v="2"/>
    <n v="7.8483000000000001"/>
    <n v="181"/>
    <n v="2024"/>
    <s v="July"/>
  </r>
  <r>
    <s v="DINS-CLM-100214"/>
    <s v="DINS-CUS-500214"/>
    <s v="DINS-POL-200214"/>
    <x v="2"/>
    <x v="1"/>
    <x v="1"/>
    <x v="2"/>
    <x v="3"/>
    <d v="2023-09-15T00:00:00"/>
    <s v="Monthly"/>
    <d v="2024-03-18T00:00:00"/>
    <x v="2"/>
    <n v="36141"/>
    <n v="4670"/>
    <s v="N/A - Not Settled"/>
    <s v="N/A - Not Settled"/>
    <x v="0"/>
    <x v="0"/>
    <x v="1"/>
    <n v="7.7389999999999999"/>
    <n v="185"/>
    <n v="2024"/>
    <s v="March"/>
  </r>
  <r>
    <s v="DINS-CLM-100215"/>
    <s v="DINS-CUS-500215"/>
    <s v="DINS-POL-200215"/>
    <x v="5"/>
    <x v="1"/>
    <x v="0"/>
    <x v="2"/>
    <x v="6"/>
    <d v="2023-11-10T00:00:00"/>
    <s v="Monthly"/>
    <d v="2024-06-19T00:00:00"/>
    <x v="1"/>
    <n v="28786"/>
    <n v="5590"/>
    <n v="36"/>
    <d v="2024-07-25T00:00:00"/>
    <x v="0"/>
    <x v="0"/>
    <x v="0"/>
    <n v="5.1496000000000004"/>
    <n v="222"/>
    <n v="2024"/>
    <s v="June"/>
  </r>
  <r>
    <s v="DINS-CLM-100216"/>
    <s v="DINS-CUS-500216"/>
    <s v="DINS-POL-200216"/>
    <x v="1"/>
    <x v="2"/>
    <x v="4"/>
    <x v="1"/>
    <x v="6"/>
    <d v="2023-10-06T00:00:00"/>
    <s v="Monthly"/>
    <d v="2024-03-18T00:00:00"/>
    <x v="1"/>
    <n v="24271"/>
    <n v="6380"/>
    <n v="40"/>
    <d v="2024-04-27T00:00:00"/>
    <x v="0"/>
    <x v="0"/>
    <x v="0"/>
    <n v="3.8041999999999998"/>
    <n v="164"/>
    <n v="2024"/>
    <s v="March"/>
  </r>
  <r>
    <s v="DINS-CLM-100217"/>
    <s v="DINS-CUS-500217"/>
    <s v="DINS-POL-200217"/>
    <x v="5"/>
    <x v="2"/>
    <x v="5"/>
    <x v="2"/>
    <x v="5"/>
    <d v="2024-06-15T00:00:00"/>
    <s v="Monthly"/>
    <d v="2024-09-08T00:00:00"/>
    <x v="2"/>
    <n v="43306"/>
    <n v="3549"/>
    <s v="N/A - Not Settled"/>
    <s v="N/A - Not Settled"/>
    <x v="1"/>
    <x v="0"/>
    <x v="1"/>
    <n v="12.202299999999999"/>
    <n v="85"/>
    <n v="2024"/>
    <s v="September"/>
  </r>
  <r>
    <s v="DINS-CLM-100218"/>
    <s v="DINS-CUS-500218"/>
    <s v="DINS-POL-200218"/>
    <x v="0"/>
    <x v="1"/>
    <x v="1"/>
    <x v="1"/>
    <x v="6"/>
    <d v="2023-05-19T00:00:00"/>
    <s v="Monthly"/>
    <d v="2024-01-01T00:00:00"/>
    <x v="1"/>
    <n v="56412"/>
    <n v="639"/>
    <n v="39"/>
    <d v="2024-02-09T00:00:00"/>
    <x v="1"/>
    <x v="0"/>
    <x v="0"/>
    <n v="88.281700000000001"/>
    <n v="227"/>
    <n v="2024"/>
    <s v="January"/>
  </r>
  <r>
    <s v="DINS-CLM-100219"/>
    <s v="DINS-CUS-500219"/>
    <s v="DINS-POL-200219"/>
    <x v="5"/>
    <x v="0"/>
    <x v="3"/>
    <x v="0"/>
    <x v="7"/>
    <d v="2024-05-29T00:00:00"/>
    <s v="Annual"/>
    <d v="2024-09-14T00:00:00"/>
    <x v="1"/>
    <n v="78952"/>
    <n v="4173"/>
    <n v="17"/>
    <d v="2024-10-01T00:00:00"/>
    <x v="0"/>
    <x v="0"/>
    <x v="0"/>
    <n v="18.919699999999999"/>
    <n v="108"/>
    <n v="2024"/>
    <s v="September"/>
  </r>
  <r>
    <s v="DINS-CLM-100220"/>
    <s v="DINS-CUS-500220"/>
    <s v="DINS-POL-200220"/>
    <x v="5"/>
    <x v="1"/>
    <x v="3"/>
    <x v="2"/>
    <x v="2"/>
    <d v="2024-03-08T00:00:00"/>
    <s v="Annual"/>
    <d v="2024-07-03T00:00:00"/>
    <x v="1"/>
    <n v="10660"/>
    <n v="1094"/>
    <n v="23"/>
    <d v="2024-07-26T00:00:00"/>
    <x v="1"/>
    <x v="0"/>
    <x v="0"/>
    <n v="9.7440999999999995"/>
    <n v="117"/>
    <n v="2024"/>
    <s v="July"/>
  </r>
  <r>
    <s v="DINS-CLM-100221"/>
    <s v="DINS-CUS-500221"/>
    <s v="DINS-POL-200221"/>
    <x v="3"/>
    <x v="2"/>
    <x v="1"/>
    <x v="2"/>
    <x v="6"/>
    <d v="2024-01-22T00:00:00"/>
    <s v="Monthly"/>
    <d v="2024-12-08T00:00:00"/>
    <x v="1"/>
    <n v="64343"/>
    <n v="5751"/>
    <n v="27"/>
    <d v="2025-01-04T00:00:00"/>
    <x v="0"/>
    <x v="0"/>
    <x v="2"/>
    <n v="11.1881"/>
    <n v="321"/>
    <n v="2024"/>
    <s v="December"/>
  </r>
  <r>
    <s v="DINS-CLM-100222"/>
    <s v="DINS-CUS-500222"/>
    <s v="DINS-POL-200222"/>
    <x v="4"/>
    <x v="2"/>
    <x v="2"/>
    <x v="2"/>
    <x v="7"/>
    <d v="2024-03-02T00:00:00"/>
    <s v="Annual"/>
    <d v="2024-09-28T00:00:00"/>
    <x v="2"/>
    <n v="15642"/>
    <n v="5527"/>
    <s v="N/A - Not Settled"/>
    <s v="N/A - Not Settled"/>
    <x v="0"/>
    <x v="0"/>
    <x v="2"/>
    <n v="2.8300999999999998"/>
    <n v="210"/>
    <n v="2024"/>
    <s v="September"/>
  </r>
  <r>
    <s v="DINS-CLM-100223"/>
    <s v="DINS-CUS-500223"/>
    <s v="DINS-POL-200223"/>
    <x v="0"/>
    <x v="2"/>
    <x v="5"/>
    <x v="1"/>
    <x v="2"/>
    <d v="2023-11-21T00:00:00"/>
    <s v="Monthly"/>
    <d v="2024-07-29T00:00:00"/>
    <x v="2"/>
    <n v="22370"/>
    <n v="3833"/>
    <s v="N/A - Not Settled"/>
    <s v="N/A - Not Settled"/>
    <x v="0"/>
    <x v="0"/>
    <x v="1"/>
    <n v="5.8361999999999998"/>
    <n v="251"/>
    <n v="2024"/>
    <s v="July"/>
  </r>
  <r>
    <s v="DINS-CLM-100224"/>
    <s v="DINS-CUS-500224"/>
    <s v="DINS-POL-200224"/>
    <x v="2"/>
    <x v="2"/>
    <x v="5"/>
    <x v="2"/>
    <x v="3"/>
    <d v="2023-05-16T00:00:00"/>
    <s v="Annual"/>
    <d v="2024-05-15T00:00:00"/>
    <x v="1"/>
    <n v="30723"/>
    <n v="1044"/>
    <n v="36"/>
    <d v="2024-06-20T00:00:00"/>
    <x v="0"/>
    <x v="0"/>
    <x v="0"/>
    <n v="29.4282"/>
    <n v="365"/>
    <n v="2024"/>
    <s v="May"/>
  </r>
  <r>
    <s v="DINS-CLM-100225"/>
    <s v="DINS-CUS-500225"/>
    <s v="DINS-POL-200225"/>
    <x v="0"/>
    <x v="1"/>
    <x v="1"/>
    <x v="2"/>
    <x v="0"/>
    <d v="2024-05-30T00:00:00"/>
    <s v="Annual"/>
    <d v="2024-07-14T00:00:00"/>
    <x v="1"/>
    <n v="49874"/>
    <n v="7406"/>
    <n v="12"/>
    <d v="2024-07-26T00:00:00"/>
    <x v="0"/>
    <x v="0"/>
    <x v="2"/>
    <n v="6.7343000000000002"/>
    <n v="45"/>
    <n v="2024"/>
    <s v="July"/>
  </r>
  <r>
    <s v="DINS-CLM-100226"/>
    <s v="DINS-CUS-500226"/>
    <s v="DINS-POL-200226"/>
    <x v="0"/>
    <x v="0"/>
    <x v="3"/>
    <x v="2"/>
    <x v="4"/>
    <d v="2023-10-19T00:00:00"/>
    <s v="Annual"/>
    <d v="2024-07-12T00:00:00"/>
    <x v="1"/>
    <n v="23959"/>
    <n v="7152"/>
    <n v="36"/>
    <d v="2024-08-17T00:00:00"/>
    <x v="0"/>
    <x v="0"/>
    <x v="2"/>
    <n v="3.35"/>
    <n v="267"/>
    <n v="2024"/>
    <s v="July"/>
  </r>
  <r>
    <s v="DINS-CLM-100227"/>
    <s v="DINS-CUS-500227"/>
    <s v="DINS-POL-200227"/>
    <x v="0"/>
    <x v="2"/>
    <x v="3"/>
    <x v="0"/>
    <x v="4"/>
    <d v="2024-02-23T00:00:00"/>
    <s v="Annual"/>
    <d v="2024-12-25T00:00:00"/>
    <x v="1"/>
    <n v="11150"/>
    <n v="1980"/>
    <n v="16"/>
    <d v="2025-01-10T00:00:00"/>
    <x v="0"/>
    <x v="0"/>
    <x v="1"/>
    <n v="5.6313000000000004"/>
    <n v="306"/>
    <n v="2024"/>
    <s v="December"/>
  </r>
  <r>
    <s v="DINS-CLM-100228"/>
    <s v="DINS-CUS-500228"/>
    <s v="DINS-POL-200228"/>
    <x v="0"/>
    <x v="0"/>
    <x v="2"/>
    <x v="1"/>
    <x v="6"/>
    <d v="2023-05-24T00:00:00"/>
    <s v="Monthly"/>
    <d v="2024-01-19T00:00:00"/>
    <x v="1"/>
    <n v="23399"/>
    <n v="2341"/>
    <n v="3"/>
    <d v="2024-01-22T00:00:00"/>
    <x v="0"/>
    <x v="0"/>
    <x v="2"/>
    <n v="9.9953000000000003"/>
    <n v="240"/>
    <n v="2024"/>
    <s v="January"/>
  </r>
  <r>
    <s v="DINS-CLM-100229"/>
    <s v="DINS-CUS-500229"/>
    <s v="DINS-POL-200229"/>
    <x v="1"/>
    <x v="1"/>
    <x v="5"/>
    <x v="0"/>
    <x v="6"/>
    <d v="2023-08-11T00:00:00"/>
    <s v="Annual"/>
    <d v="2024-04-05T00:00:00"/>
    <x v="0"/>
    <n v="21746"/>
    <n v="6363"/>
    <s v="N/A - Not Settled"/>
    <s v="N/A - Not Settled"/>
    <x v="0"/>
    <x v="0"/>
    <x v="0"/>
    <n v="3.4176000000000002"/>
    <n v="238"/>
    <n v="2024"/>
    <s v="April"/>
  </r>
  <r>
    <s v="DINS-CLM-100230"/>
    <s v="DINS-CUS-500230"/>
    <s v="DINS-POL-200230"/>
    <x v="1"/>
    <x v="1"/>
    <x v="3"/>
    <x v="0"/>
    <x v="5"/>
    <d v="2023-06-08T00:00:00"/>
    <s v="Monthly"/>
    <d v="2024-03-24T00:00:00"/>
    <x v="1"/>
    <n v="48644"/>
    <n v="6337"/>
    <n v="9"/>
    <d v="2024-04-02T00:00:00"/>
    <x v="1"/>
    <x v="0"/>
    <x v="1"/>
    <n v="7.6761999999999997"/>
    <n v="290"/>
    <n v="2024"/>
    <s v="March"/>
  </r>
  <r>
    <s v="DINS-CLM-100231"/>
    <s v="DINS-CUS-500231"/>
    <s v="DINS-POL-200231"/>
    <x v="2"/>
    <x v="2"/>
    <x v="5"/>
    <x v="2"/>
    <x v="3"/>
    <d v="2024-06-08T00:00:00"/>
    <s v="Monthly"/>
    <d v="2024-09-11T00:00:00"/>
    <x v="1"/>
    <n v="18158"/>
    <n v="5142"/>
    <n v="25"/>
    <d v="2024-10-06T00:00:00"/>
    <x v="0"/>
    <x v="0"/>
    <x v="2"/>
    <n v="3.5312999999999999"/>
    <n v="95"/>
    <n v="2024"/>
    <s v="September"/>
  </r>
  <r>
    <s v="DINS-CLM-100232"/>
    <s v="DINS-CUS-500232"/>
    <s v="DINS-POL-200232"/>
    <x v="5"/>
    <x v="2"/>
    <x v="5"/>
    <x v="0"/>
    <x v="2"/>
    <d v="2024-04-17T00:00:00"/>
    <s v="Annual"/>
    <d v="2024-07-11T00:00:00"/>
    <x v="1"/>
    <n v="52218"/>
    <n v="2091"/>
    <n v="8"/>
    <d v="2024-07-19T00:00:00"/>
    <x v="0"/>
    <x v="0"/>
    <x v="2"/>
    <n v="24.9727"/>
    <n v="85"/>
    <n v="2024"/>
    <s v="July"/>
  </r>
  <r>
    <s v="DINS-CLM-100233"/>
    <s v="DINS-CUS-500233"/>
    <s v="DINS-POL-200233"/>
    <x v="0"/>
    <x v="1"/>
    <x v="2"/>
    <x v="0"/>
    <x v="2"/>
    <d v="2023-11-09T00:00:00"/>
    <s v="Monthly"/>
    <d v="2024-04-14T00:00:00"/>
    <x v="1"/>
    <n v="59371"/>
    <n v="6577"/>
    <n v="35"/>
    <d v="2024-05-19T00:00:00"/>
    <x v="0"/>
    <x v="0"/>
    <x v="1"/>
    <n v="9.0271000000000008"/>
    <n v="157"/>
    <n v="2024"/>
    <s v="April"/>
  </r>
  <r>
    <s v="DINS-CLM-100234"/>
    <s v="DINS-CUS-500234"/>
    <s v="DINS-POL-200234"/>
    <x v="4"/>
    <x v="0"/>
    <x v="0"/>
    <x v="1"/>
    <x v="4"/>
    <d v="2023-10-22T00:00:00"/>
    <s v="Annual"/>
    <d v="2024-09-05T00:00:00"/>
    <x v="1"/>
    <n v="16021"/>
    <n v="4130"/>
    <n v="4"/>
    <d v="2024-09-09T00:00:00"/>
    <x v="0"/>
    <x v="0"/>
    <x v="0"/>
    <n v="3.8792"/>
    <n v="319"/>
    <n v="2024"/>
    <s v="September"/>
  </r>
  <r>
    <s v="DINS-CLM-100235"/>
    <s v="DINS-CUS-500235"/>
    <s v="DINS-POL-200235"/>
    <x v="2"/>
    <x v="1"/>
    <x v="3"/>
    <x v="1"/>
    <x v="6"/>
    <d v="2024-07-08T00:00:00"/>
    <s v="Monthly"/>
    <d v="2024-11-01T00:00:00"/>
    <x v="1"/>
    <n v="4534"/>
    <n v="2879"/>
    <n v="7"/>
    <d v="2024-11-08T00:00:00"/>
    <x v="0"/>
    <x v="0"/>
    <x v="2"/>
    <n v="1.5749"/>
    <n v="116"/>
    <n v="2024"/>
    <s v="November"/>
  </r>
  <r>
    <s v="DINS-CLM-100236"/>
    <s v="DINS-CUS-500236"/>
    <s v="DINS-POL-200236"/>
    <x v="5"/>
    <x v="0"/>
    <x v="2"/>
    <x v="1"/>
    <x v="5"/>
    <d v="2024-10-20T00:00:00"/>
    <s v="Annual"/>
    <d v="2024-12-18T00:00:00"/>
    <x v="1"/>
    <n v="19128"/>
    <n v="3405"/>
    <n v="23"/>
    <d v="2025-01-10T00:00:00"/>
    <x v="0"/>
    <x v="0"/>
    <x v="2"/>
    <n v="5.6176000000000004"/>
    <n v="59"/>
    <n v="2024"/>
    <s v="December"/>
  </r>
  <r>
    <s v="DINS-CLM-100237"/>
    <s v="DINS-CUS-500237"/>
    <s v="DINS-POL-200237"/>
    <x v="0"/>
    <x v="0"/>
    <x v="2"/>
    <x v="0"/>
    <x v="7"/>
    <d v="2024-01-01T00:00:00"/>
    <s v="Annual"/>
    <d v="2024-08-19T00:00:00"/>
    <x v="1"/>
    <n v="36724"/>
    <n v="2910"/>
    <n v="41"/>
    <d v="2024-09-29T00:00:00"/>
    <x v="0"/>
    <x v="0"/>
    <x v="2"/>
    <n v="12.619899999999999"/>
    <n v="231"/>
    <n v="2024"/>
    <s v="August"/>
  </r>
  <r>
    <s v="DINS-CLM-100238"/>
    <s v="DINS-CUS-500238"/>
    <s v="DINS-POL-200238"/>
    <x v="1"/>
    <x v="0"/>
    <x v="2"/>
    <x v="1"/>
    <x v="5"/>
    <d v="2024-05-29T00:00:00"/>
    <s v="Annual"/>
    <d v="2024-12-05T00:00:00"/>
    <x v="1"/>
    <n v="21543"/>
    <n v="7586"/>
    <n v="44"/>
    <d v="2025-01-18T00:00:00"/>
    <x v="0"/>
    <x v="0"/>
    <x v="1"/>
    <n v="2.8397999999999999"/>
    <n v="190"/>
    <n v="2024"/>
    <s v="December"/>
  </r>
  <r>
    <s v="DINS-CLM-100239"/>
    <s v="DINS-CUS-500239"/>
    <s v="DINS-POL-200239"/>
    <x v="2"/>
    <x v="2"/>
    <x v="0"/>
    <x v="1"/>
    <x v="6"/>
    <d v="2023-10-07T00:00:00"/>
    <s v="Annual"/>
    <d v="2024-03-26T00:00:00"/>
    <x v="1"/>
    <n v="33194"/>
    <n v="3849"/>
    <n v="39"/>
    <d v="2024-05-04T00:00:00"/>
    <x v="1"/>
    <x v="1"/>
    <x v="0"/>
    <n v="8.6241000000000003"/>
    <n v="171"/>
    <n v="2024"/>
    <s v="March"/>
  </r>
  <r>
    <s v="DINS-CLM-100240"/>
    <s v="DINS-CUS-500240"/>
    <s v="DINS-POL-200240"/>
    <x v="0"/>
    <x v="0"/>
    <x v="1"/>
    <x v="1"/>
    <x v="6"/>
    <d v="2023-10-24T00:00:00"/>
    <s v="Annual"/>
    <d v="2024-01-14T00:00:00"/>
    <x v="1"/>
    <n v="9018"/>
    <n v="4078"/>
    <n v="33"/>
    <d v="2024-02-16T00:00:00"/>
    <x v="0"/>
    <x v="0"/>
    <x v="2"/>
    <n v="2.2113999999999998"/>
    <n v="82"/>
    <n v="2024"/>
    <s v="January"/>
  </r>
  <r>
    <s v="DINS-CLM-100241"/>
    <s v="DINS-CUS-500241"/>
    <s v="DINS-POL-200241"/>
    <x v="0"/>
    <x v="2"/>
    <x v="3"/>
    <x v="1"/>
    <x v="0"/>
    <d v="2023-12-02T00:00:00"/>
    <s v="Annual"/>
    <d v="2024-02-18T00:00:00"/>
    <x v="1"/>
    <n v="53608"/>
    <n v="1533"/>
    <n v="34"/>
    <d v="2024-03-23T00:00:00"/>
    <x v="0"/>
    <x v="0"/>
    <x v="2"/>
    <n v="34.969299999999997"/>
    <n v="78"/>
    <n v="2024"/>
    <s v="February"/>
  </r>
  <r>
    <s v="DINS-CLM-100242"/>
    <s v="DINS-CUS-500242"/>
    <s v="DINS-POL-200242"/>
    <x v="1"/>
    <x v="2"/>
    <x v="2"/>
    <x v="1"/>
    <x v="2"/>
    <d v="2024-02-23T00:00:00"/>
    <s v="Annual"/>
    <d v="2024-12-15T00:00:00"/>
    <x v="1"/>
    <n v="48934"/>
    <n v="6670"/>
    <n v="43"/>
    <d v="2025-01-27T00:00:00"/>
    <x v="0"/>
    <x v="0"/>
    <x v="0"/>
    <n v="7.3364000000000003"/>
    <n v="296"/>
    <n v="2024"/>
    <s v="December"/>
  </r>
  <r>
    <s v="DINS-CLM-100243"/>
    <s v="DINS-CUS-500243"/>
    <s v="DINS-POL-200243"/>
    <x v="1"/>
    <x v="0"/>
    <x v="4"/>
    <x v="1"/>
    <x v="0"/>
    <d v="2023-09-17T00:00:00"/>
    <s v="Annual"/>
    <d v="2024-02-26T00:00:00"/>
    <x v="0"/>
    <n v="27117"/>
    <n v="5070"/>
    <s v="N/A - Not Settled"/>
    <s v="N/A - Not Settled"/>
    <x v="0"/>
    <x v="0"/>
    <x v="0"/>
    <n v="5.3484999999999996"/>
    <n v="162"/>
    <n v="2024"/>
    <s v="February"/>
  </r>
  <r>
    <s v="DINS-CLM-100244"/>
    <s v="DINS-CUS-500244"/>
    <s v="DINS-POL-200244"/>
    <x v="0"/>
    <x v="1"/>
    <x v="0"/>
    <x v="2"/>
    <x v="1"/>
    <d v="2024-05-17T00:00:00"/>
    <s v="Annual"/>
    <d v="2024-09-21T00:00:00"/>
    <x v="1"/>
    <n v="15801"/>
    <n v="2974"/>
    <n v="44"/>
    <d v="2024-11-04T00:00:00"/>
    <x v="0"/>
    <x v="0"/>
    <x v="1"/>
    <n v="5.3129999999999997"/>
    <n v="127"/>
    <n v="2024"/>
    <s v="September"/>
  </r>
  <r>
    <s v="DINS-CLM-100245"/>
    <s v="DINS-CUS-500245"/>
    <s v="DINS-POL-200245"/>
    <x v="1"/>
    <x v="2"/>
    <x v="4"/>
    <x v="2"/>
    <x v="2"/>
    <d v="2023-10-30T00:00:00"/>
    <s v="Monthly"/>
    <d v="2024-05-11T00:00:00"/>
    <x v="0"/>
    <n v="41673"/>
    <n v="608"/>
    <s v="N/A - Not Settled"/>
    <s v="N/A - Not Settled"/>
    <x v="0"/>
    <x v="0"/>
    <x v="1"/>
    <n v="68.5411"/>
    <n v="194"/>
    <n v="2024"/>
    <s v="May"/>
  </r>
  <r>
    <s v="DINS-CLM-100246"/>
    <s v="DINS-CUS-500246"/>
    <s v="DINS-POL-200246"/>
    <x v="4"/>
    <x v="0"/>
    <x v="3"/>
    <x v="1"/>
    <x v="0"/>
    <d v="2023-04-27T00:00:00"/>
    <s v="Annual"/>
    <d v="2024-02-16T00:00:00"/>
    <x v="2"/>
    <n v="19243"/>
    <n v="2351"/>
    <s v="N/A - Not Settled"/>
    <s v="N/A - Not Settled"/>
    <x v="0"/>
    <x v="0"/>
    <x v="1"/>
    <n v="8.1850000000000005"/>
    <n v="295"/>
    <n v="2024"/>
    <s v="February"/>
  </r>
  <r>
    <s v="DINS-CLM-100247"/>
    <s v="DINS-CUS-500247"/>
    <s v="DINS-POL-200247"/>
    <x v="3"/>
    <x v="0"/>
    <x v="3"/>
    <x v="1"/>
    <x v="0"/>
    <d v="2023-09-06T00:00:00"/>
    <s v="Annual"/>
    <d v="2024-06-17T00:00:00"/>
    <x v="1"/>
    <n v="50508"/>
    <n v="1646"/>
    <n v="32"/>
    <d v="2024-07-19T00:00:00"/>
    <x v="0"/>
    <x v="0"/>
    <x v="0"/>
    <n v="30.685300000000002"/>
    <n v="285"/>
    <n v="2024"/>
    <s v="June"/>
  </r>
  <r>
    <s v="DINS-CLM-100248"/>
    <s v="DINS-CUS-500248"/>
    <s v="DINS-POL-200248"/>
    <x v="2"/>
    <x v="1"/>
    <x v="5"/>
    <x v="2"/>
    <x v="6"/>
    <d v="2023-12-08T00:00:00"/>
    <s v="Monthly"/>
    <d v="2024-04-04T00:00:00"/>
    <x v="1"/>
    <n v="2945"/>
    <n v="1043"/>
    <n v="18"/>
    <d v="2024-04-22T00:00:00"/>
    <x v="0"/>
    <x v="0"/>
    <x v="2"/>
    <n v="2.8235999999999999"/>
    <n v="118"/>
    <n v="2024"/>
    <s v="April"/>
  </r>
  <r>
    <s v="DINS-CLM-100249"/>
    <s v="DINS-CUS-500249"/>
    <s v="DINS-POL-200249"/>
    <x v="5"/>
    <x v="0"/>
    <x v="5"/>
    <x v="0"/>
    <x v="4"/>
    <d v="2023-11-10T00:00:00"/>
    <s v="Annual"/>
    <d v="2024-11-06T00:00:00"/>
    <x v="0"/>
    <n v="63635"/>
    <n v="4673"/>
    <s v="N/A - Not Settled"/>
    <s v="N/A - Not Settled"/>
    <x v="0"/>
    <x v="0"/>
    <x v="0"/>
    <n v="13.617599999999999"/>
    <n v="362"/>
    <n v="2024"/>
    <s v="November"/>
  </r>
  <r>
    <s v="DINS-CLM-100250"/>
    <s v="DINS-CUS-500250"/>
    <s v="DINS-POL-200250"/>
    <x v="0"/>
    <x v="0"/>
    <x v="1"/>
    <x v="0"/>
    <x v="7"/>
    <d v="2023-10-02T00:00:00"/>
    <s v="Annual"/>
    <d v="2024-09-17T00:00:00"/>
    <x v="1"/>
    <n v="3684"/>
    <n v="1323"/>
    <n v="17"/>
    <d v="2024-10-04T00:00:00"/>
    <x v="0"/>
    <x v="0"/>
    <x v="2"/>
    <n v="2.7846000000000002"/>
    <n v="351"/>
    <n v="2024"/>
    <s v="September"/>
  </r>
  <r>
    <s v="DINS-CLM-100251"/>
    <s v="DINS-CUS-500251"/>
    <s v="DINS-POL-200251"/>
    <x v="3"/>
    <x v="0"/>
    <x v="0"/>
    <x v="0"/>
    <x v="5"/>
    <d v="2024-04-16T00:00:00"/>
    <s v="Monthly"/>
    <d v="2024-05-19T00:00:00"/>
    <x v="1"/>
    <n v="54679"/>
    <n v="7516"/>
    <n v="35"/>
    <d v="2024-06-23T00:00:00"/>
    <x v="0"/>
    <x v="0"/>
    <x v="2"/>
    <n v="7.2750000000000004"/>
    <n v="33"/>
    <n v="2024"/>
    <s v="May"/>
  </r>
  <r>
    <s v="DINS-CLM-100252"/>
    <s v="DINS-CUS-500252"/>
    <s v="DINS-POL-200252"/>
    <x v="5"/>
    <x v="0"/>
    <x v="5"/>
    <x v="0"/>
    <x v="4"/>
    <d v="2024-01-16T00:00:00"/>
    <s v="Annual"/>
    <d v="2024-07-12T00:00:00"/>
    <x v="2"/>
    <n v="37610"/>
    <n v="2131"/>
    <s v="N/A - Not Settled"/>
    <s v="N/A - Not Settled"/>
    <x v="0"/>
    <x v="0"/>
    <x v="1"/>
    <n v="17.649000000000001"/>
    <n v="178"/>
    <n v="2024"/>
    <s v="July"/>
  </r>
  <r>
    <s v="DINS-CLM-100253"/>
    <s v="DINS-CUS-500253"/>
    <s v="DINS-POL-200253"/>
    <x v="5"/>
    <x v="2"/>
    <x v="5"/>
    <x v="2"/>
    <x v="3"/>
    <d v="2023-10-12T00:00:00"/>
    <s v="Annual"/>
    <d v="2024-09-16T00:00:00"/>
    <x v="1"/>
    <n v="48150"/>
    <n v="7506"/>
    <n v="19"/>
    <d v="2024-10-05T00:00:00"/>
    <x v="1"/>
    <x v="0"/>
    <x v="2"/>
    <n v="6.4149000000000003"/>
    <n v="340"/>
    <n v="2024"/>
    <s v="September"/>
  </r>
  <r>
    <s v="DINS-CLM-100254"/>
    <s v="DINS-CUS-500254"/>
    <s v="DINS-POL-200254"/>
    <x v="2"/>
    <x v="0"/>
    <x v="0"/>
    <x v="1"/>
    <x v="1"/>
    <d v="2023-04-21T00:00:00"/>
    <s v="Monthly"/>
    <d v="2024-03-09T00:00:00"/>
    <x v="1"/>
    <n v="32988"/>
    <n v="807"/>
    <n v="43"/>
    <d v="2024-04-21T00:00:00"/>
    <x v="1"/>
    <x v="0"/>
    <x v="2"/>
    <n v="40.877299999999998"/>
    <n v="323"/>
    <n v="2024"/>
    <s v="March"/>
  </r>
  <r>
    <s v="DINS-CLM-100255"/>
    <s v="DINS-CUS-500255"/>
    <s v="DINS-POL-200255"/>
    <x v="2"/>
    <x v="0"/>
    <x v="5"/>
    <x v="1"/>
    <x v="4"/>
    <d v="2023-07-09T00:00:00"/>
    <s v="Annual"/>
    <d v="2024-05-15T00:00:00"/>
    <x v="0"/>
    <n v="36317"/>
    <n v="8247"/>
    <s v="N/A - Not Settled"/>
    <s v="N/A - Not Settled"/>
    <x v="0"/>
    <x v="0"/>
    <x v="2"/>
    <n v="4.4036999999999997"/>
    <n v="311"/>
    <n v="2024"/>
    <s v="May"/>
  </r>
  <r>
    <s v="DINS-CLM-100256"/>
    <s v="DINS-CUS-500256"/>
    <s v="DINS-POL-200256"/>
    <x v="2"/>
    <x v="0"/>
    <x v="3"/>
    <x v="0"/>
    <x v="2"/>
    <d v="2023-08-27T00:00:00"/>
    <s v="Monthly"/>
    <d v="2024-04-13T00:00:00"/>
    <x v="2"/>
    <n v="17042"/>
    <n v="4960"/>
    <s v="N/A - Not Settled"/>
    <s v="N/A - Not Settled"/>
    <x v="1"/>
    <x v="1"/>
    <x v="0"/>
    <n v="3.4359000000000002"/>
    <n v="230"/>
    <n v="2024"/>
    <s v="April"/>
  </r>
  <r>
    <s v="DINS-CLM-100257"/>
    <s v="DINS-CUS-500257"/>
    <s v="DINS-POL-200257"/>
    <x v="1"/>
    <x v="2"/>
    <x v="0"/>
    <x v="0"/>
    <x v="5"/>
    <d v="2023-09-06T00:00:00"/>
    <s v="Monthly"/>
    <d v="2024-07-25T00:00:00"/>
    <x v="0"/>
    <n v="51052"/>
    <n v="5947"/>
    <s v="N/A - Not Settled"/>
    <s v="N/A - Not Settled"/>
    <x v="0"/>
    <x v="0"/>
    <x v="2"/>
    <n v="8.5845000000000002"/>
    <n v="323"/>
    <n v="2024"/>
    <s v="July"/>
  </r>
  <r>
    <s v="DINS-CLM-100258"/>
    <s v="DINS-CUS-500258"/>
    <s v="DINS-POL-200258"/>
    <x v="3"/>
    <x v="2"/>
    <x v="1"/>
    <x v="1"/>
    <x v="2"/>
    <d v="2023-05-10T00:00:00"/>
    <s v="Monthly"/>
    <d v="2024-02-19T00:00:00"/>
    <x v="1"/>
    <n v="84170"/>
    <n v="3577"/>
    <n v="42"/>
    <d v="2024-04-01T00:00:00"/>
    <x v="0"/>
    <x v="0"/>
    <x v="2"/>
    <n v="23.530899999999999"/>
    <n v="285"/>
    <n v="2024"/>
    <s v="February"/>
  </r>
  <r>
    <s v="DINS-CLM-100259"/>
    <s v="DINS-CUS-500259"/>
    <s v="DINS-POL-200259"/>
    <x v="5"/>
    <x v="2"/>
    <x v="4"/>
    <x v="2"/>
    <x v="3"/>
    <d v="2024-01-31T00:00:00"/>
    <s v="Annual"/>
    <d v="2024-06-05T00:00:00"/>
    <x v="1"/>
    <n v="13135"/>
    <n v="6305"/>
    <n v="13"/>
    <d v="2024-06-18T00:00:00"/>
    <x v="0"/>
    <x v="0"/>
    <x v="2"/>
    <n v="2.0832999999999999"/>
    <n v="126"/>
    <n v="2024"/>
    <s v="June"/>
  </r>
  <r>
    <s v="DINS-CLM-100260"/>
    <s v="DINS-CUS-500260"/>
    <s v="DINS-POL-200260"/>
    <x v="3"/>
    <x v="2"/>
    <x v="5"/>
    <x v="2"/>
    <x v="3"/>
    <d v="2023-09-10T00:00:00"/>
    <s v="Annual"/>
    <d v="2024-04-04T00:00:00"/>
    <x v="1"/>
    <n v="63671"/>
    <n v="4837"/>
    <n v="14"/>
    <d v="2024-04-18T00:00:00"/>
    <x v="0"/>
    <x v="0"/>
    <x v="0"/>
    <n v="13.1633"/>
    <n v="207"/>
    <n v="2024"/>
    <s v="April"/>
  </r>
  <r>
    <s v="DINS-CLM-100261"/>
    <s v="DINS-CUS-500261"/>
    <s v="DINS-POL-200261"/>
    <x v="5"/>
    <x v="2"/>
    <x v="2"/>
    <x v="2"/>
    <x v="0"/>
    <d v="2023-11-24T00:00:00"/>
    <s v="Monthly"/>
    <d v="2024-06-21T00:00:00"/>
    <x v="1"/>
    <n v="50860"/>
    <n v="1694"/>
    <n v="35"/>
    <d v="2024-07-26T00:00:00"/>
    <x v="0"/>
    <x v="0"/>
    <x v="1"/>
    <n v="30.023599999999998"/>
    <n v="210"/>
    <n v="2024"/>
    <s v="June"/>
  </r>
  <r>
    <s v="DINS-CLM-100262"/>
    <s v="DINS-CUS-500262"/>
    <s v="DINS-POL-200262"/>
    <x v="3"/>
    <x v="0"/>
    <x v="1"/>
    <x v="1"/>
    <x v="0"/>
    <d v="2023-10-05T00:00:00"/>
    <s v="Annual"/>
    <d v="2024-05-29T00:00:00"/>
    <x v="0"/>
    <n v="29500"/>
    <n v="8552"/>
    <s v="N/A - Not Settled"/>
    <s v="N/A - Not Settled"/>
    <x v="0"/>
    <x v="0"/>
    <x v="2"/>
    <n v="3.4495"/>
    <n v="237"/>
    <n v="2024"/>
    <s v="May"/>
  </r>
  <r>
    <s v="DINS-CLM-100263"/>
    <s v="DINS-CUS-500263"/>
    <s v="DINS-POL-200263"/>
    <x v="5"/>
    <x v="1"/>
    <x v="1"/>
    <x v="2"/>
    <x v="4"/>
    <d v="2024-09-19T00:00:00"/>
    <s v="Annual"/>
    <d v="2024-11-18T00:00:00"/>
    <x v="1"/>
    <n v="31361"/>
    <n v="7506"/>
    <n v="14"/>
    <d v="2024-12-02T00:00:00"/>
    <x v="0"/>
    <x v="0"/>
    <x v="1"/>
    <n v="4.1780999999999997"/>
    <n v="60"/>
    <n v="2024"/>
    <s v="November"/>
  </r>
  <r>
    <s v="DINS-CLM-100264"/>
    <s v="DINS-CUS-500264"/>
    <s v="DINS-POL-200264"/>
    <x v="5"/>
    <x v="1"/>
    <x v="1"/>
    <x v="0"/>
    <x v="3"/>
    <d v="2023-12-30T00:00:00"/>
    <s v="Annual"/>
    <d v="2024-07-12T00:00:00"/>
    <x v="2"/>
    <n v="65031"/>
    <n v="2642"/>
    <s v="N/A - Not Settled"/>
    <s v="N/A - Not Settled"/>
    <x v="0"/>
    <x v="0"/>
    <x v="0"/>
    <n v="24.6143"/>
    <n v="195"/>
    <n v="2024"/>
    <s v="July"/>
  </r>
  <r>
    <s v="DINS-CLM-100265"/>
    <s v="DINS-CUS-500265"/>
    <s v="DINS-POL-200265"/>
    <x v="3"/>
    <x v="1"/>
    <x v="3"/>
    <x v="0"/>
    <x v="2"/>
    <d v="2023-09-27T00:00:00"/>
    <s v="Monthly"/>
    <d v="2024-05-27T00:00:00"/>
    <x v="1"/>
    <n v="96222"/>
    <n v="5865"/>
    <n v="19"/>
    <d v="2024-06-15T00:00:00"/>
    <x v="0"/>
    <x v="0"/>
    <x v="1"/>
    <n v="16.406099999999999"/>
    <n v="243"/>
    <n v="2024"/>
    <s v="May"/>
  </r>
  <r>
    <s v="DINS-CLM-100266"/>
    <s v="DINS-CUS-500266"/>
    <s v="DINS-POL-200266"/>
    <x v="3"/>
    <x v="0"/>
    <x v="1"/>
    <x v="1"/>
    <x v="6"/>
    <d v="2024-08-27T00:00:00"/>
    <s v="Monthly"/>
    <d v="2024-12-09T00:00:00"/>
    <x v="2"/>
    <n v="97479"/>
    <n v="3554"/>
    <s v="N/A - Not Settled"/>
    <s v="N/A - Not Settled"/>
    <x v="0"/>
    <x v="0"/>
    <x v="2"/>
    <n v="27.428000000000001"/>
    <n v="104"/>
    <n v="2024"/>
    <s v="December"/>
  </r>
  <r>
    <s v="DINS-CLM-100267"/>
    <s v="DINS-CUS-500267"/>
    <s v="DINS-POL-200267"/>
    <x v="4"/>
    <x v="1"/>
    <x v="3"/>
    <x v="0"/>
    <x v="4"/>
    <d v="2023-04-12T00:00:00"/>
    <s v="Annual"/>
    <d v="2024-04-07T00:00:00"/>
    <x v="2"/>
    <n v="4019"/>
    <n v="2223"/>
    <s v="N/A - Not Settled"/>
    <s v="N/A - Not Settled"/>
    <x v="0"/>
    <x v="0"/>
    <x v="1"/>
    <n v="1.8079000000000001"/>
    <n v="361"/>
    <n v="2024"/>
    <s v="April"/>
  </r>
  <r>
    <s v="DINS-CLM-100268"/>
    <s v="DINS-CUS-500268"/>
    <s v="DINS-POL-200268"/>
    <x v="1"/>
    <x v="0"/>
    <x v="2"/>
    <x v="1"/>
    <x v="2"/>
    <d v="2023-08-31T00:00:00"/>
    <s v="Monthly"/>
    <d v="2024-06-17T00:00:00"/>
    <x v="1"/>
    <n v="20593"/>
    <n v="7888"/>
    <n v="26"/>
    <d v="2024-07-13T00:00:00"/>
    <x v="0"/>
    <x v="0"/>
    <x v="1"/>
    <n v="2.6107"/>
    <n v="291"/>
    <n v="2024"/>
    <s v="June"/>
  </r>
  <r>
    <s v="DINS-CLM-100269"/>
    <s v="DINS-CUS-500269"/>
    <s v="DINS-POL-200269"/>
    <x v="0"/>
    <x v="2"/>
    <x v="3"/>
    <x v="2"/>
    <x v="1"/>
    <d v="2024-01-29T00:00:00"/>
    <s v="Monthly"/>
    <d v="2024-06-13T00:00:00"/>
    <x v="2"/>
    <n v="5459"/>
    <n v="7123"/>
    <s v="N/A - Not Settled"/>
    <s v="N/A - Not Settled"/>
    <x v="0"/>
    <x v="0"/>
    <x v="1"/>
    <n v="0.76639999999999997"/>
    <n v="136"/>
    <n v="2024"/>
    <s v="June"/>
  </r>
  <r>
    <s v="DINS-CLM-100270"/>
    <s v="DINS-CUS-500270"/>
    <s v="DINS-POL-200270"/>
    <x v="0"/>
    <x v="2"/>
    <x v="4"/>
    <x v="1"/>
    <x v="4"/>
    <d v="2024-03-28T00:00:00"/>
    <s v="Annual"/>
    <d v="2024-12-17T00:00:00"/>
    <x v="2"/>
    <n v="39868"/>
    <n v="5517"/>
    <s v="N/A - Not Settled"/>
    <s v="N/A - Not Settled"/>
    <x v="0"/>
    <x v="0"/>
    <x v="2"/>
    <n v="7.2263999999999999"/>
    <n v="264"/>
    <n v="2024"/>
    <s v="December"/>
  </r>
  <r>
    <s v="DINS-CLM-100271"/>
    <s v="DINS-CUS-500271"/>
    <s v="DINS-POL-200271"/>
    <x v="0"/>
    <x v="0"/>
    <x v="0"/>
    <x v="1"/>
    <x v="1"/>
    <d v="2023-11-03T00:00:00"/>
    <s v="Monthly"/>
    <d v="2024-08-12T00:00:00"/>
    <x v="1"/>
    <n v="54144"/>
    <n v="2647"/>
    <n v="38"/>
    <d v="2024-09-19T00:00:00"/>
    <x v="0"/>
    <x v="0"/>
    <x v="2"/>
    <n v="20.454899999999999"/>
    <n v="283"/>
    <n v="2024"/>
    <s v="August"/>
  </r>
  <r>
    <s v="DINS-CLM-100272"/>
    <s v="DINS-CUS-500272"/>
    <s v="DINS-POL-200272"/>
    <x v="0"/>
    <x v="1"/>
    <x v="2"/>
    <x v="1"/>
    <x v="0"/>
    <d v="2024-04-17T00:00:00"/>
    <s v="Monthly"/>
    <d v="2024-11-07T00:00:00"/>
    <x v="1"/>
    <n v="39979"/>
    <n v="8710"/>
    <n v="11"/>
    <d v="2024-11-18T00:00:00"/>
    <x v="0"/>
    <x v="0"/>
    <x v="1"/>
    <n v="4.59"/>
    <n v="204"/>
    <n v="2024"/>
    <s v="November"/>
  </r>
  <r>
    <s v="DINS-CLM-100273"/>
    <s v="DINS-CUS-500273"/>
    <s v="DINS-POL-200273"/>
    <x v="5"/>
    <x v="1"/>
    <x v="2"/>
    <x v="0"/>
    <x v="0"/>
    <d v="2024-03-28T00:00:00"/>
    <s v="Monthly"/>
    <d v="2024-08-18T00:00:00"/>
    <x v="1"/>
    <n v="52507"/>
    <n v="6599"/>
    <n v="19"/>
    <d v="2024-09-06T00:00:00"/>
    <x v="0"/>
    <x v="0"/>
    <x v="1"/>
    <n v="7.9568000000000003"/>
    <n v="143"/>
    <n v="2024"/>
    <s v="August"/>
  </r>
  <r>
    <s v="DINS-CLM-100274"/>
    <s v="DINS-CUS-500274"/>
    <s v="DINS-POL-200274"/>
    <x v="4"/>
    <x v="0"/>
    <x v="0"/>
    <x v="2"/>
    <x v="4"/>
    <d v="2023-09-24T00:00:00"/>
    <s v="Annual"/>
    <d v="2024-01-07T00:00:00"/>
    <x v="1"/>
    <n v="12514"/>
    <n v="821"/>
    <n v="45"/>
    <d v="2024-02-21T00:00:00"/>
    <x v="0"/>
    <x v="0"/>
    <x v="1"/>
    <n v="15.2424"/>
    <n v="105"/>
    <n v="2024"/>
    <s v="January"/>
  </r>
  <r>
    <s v="DINS-CLM-100275"/>
    <s v="DINS-CUS-500275"/>
    <s v="DINS-POL-200275"/>
    <x v="5"/>
    <x v="2"/>
    <x v="2"/>
    <x v="2"/>
    <x v="0"/>
    <d v="2023-08-15T00:00:00"/>
    <s v="Annual"/>
    <d v="2024-03-11T00:00:00"/>
    <x v="1"/>
    <n v="39191"/>
    <n v="8897"/>
    <n v="45"/>
    <d v="2024-04-25T00:00:00"/>
    <x v="0"/>
    <x v="0"/>
    <x v="2"/>
    <n v="4.4050000000000002"/>
    <n v="209"/>
    <n v="2024"/>
    <s v="March"/>
  </r>
  <r>
    <s v="DINS-CLM-100276"/>
    <s v="DINS-CUS-500276"/>
    <s v="DINS-POL-200276"/>
    <x v="3"/>
    <x v="2"/>
    <x v="3"/>
    <x v="1"/>
    <x v="3"/>
    <d v="2024-01-10T00:00:00"/>
    <s v="Annual"/>
    <d v="2024-02-18T00:00:00"/>
    <x v="1"/>
    <n v="35987"/>
    <n v="2602"/>
    <n v="26"/>
    <d v="2024-03-15T00:00:00"/>
    <x v="0"/>
    <x v="0"/>
    <x v="2"/>
    <n v="13.830500000000001"/>
    <n v="39"/>
    <n v="2024"/>
    <s v="February"/>
  </r>
  <r>
    <s v="DINS-CLM-100277"/>
    <s v="DINS-CUS-500277"/>
    <s v="DINS-POL-200277"/>
    <x v="2"/>
    <x v="2"/>
    <x v="4"/>
    <x v="0"/>
    <x v="2"/>
    <d v="2024-03-07T00:00:00"/>
    <s v="Annual"/>
    <d v="2024-10-22T00:00:00"/>
    <x v="1"/>
    <n v="8359"/>
    <n v="7346"/>
    <n v="32"/>
    <d v="2024-11-23T00:00:00"/>
    <x v="0"/>
    <x v="0"/>
    <x v="0"/>
    <n v="1.1378999999999999"/>
    <n v="229"/>
    <n v="2024"/>
    <s v="October"/>
  </r>
  <r>
    <s v="DINS-CLM-100278"/>
    <s v="DINS-CUS-500278"/>
    <s v="DINS-POL-200278"/>
    <x v="3"/>
    <x v="0"/>
    <x v="1"/>
    <x v="0"/>
    <x v="2"/>
    <d v="2023-12-07T00:00:00"/>
    <s v="Monthly"/>
    <d v="2024-08-06T00:00:00"/>
    <x v="0"/>
    <n v="22273"/>
    <n v="810"/>
    <s v="N/A - Not Settled"/>
    <s v="N/A - Not Settled"/>
    <x v="0"/>
    <x v="0"/>
    <x v="0"/>
    <n v="27.497499999999999"/>
    <n v="243"/>
    <n v="2024"/>
    <s v="August"/>
  </r>
  <r>
    <s v="DINS-CLM-100279"/>
    <s v="DINS-CUS-500279"/>
    <s v="DINS-POL-200279"/>
    <x v="3"/>
    <x v="1"/>
    <x v="5"/>
    <x v="0"/>
    <x v="6"/>
    <d v="2023-04-13T00:00:00"/>
    <s v="Annual"/>
    <d v="2024-01-22T00:00:00"/>
    <x v="1"/>
    <n v="37093"/>
    <n v="5927"/>
    <n v="29"/>
    <d v="2024-02-20T00:00:00"/>
    <x v="0"/>
    <x v="0"/>
    <x v="2"/>
    <n v="6.2583000000000002"/>
    <n v="284"/>
    <n v="2024"/>
    <s v="January"/>
  </r>
  <r>
    <s v="DINS-CLM-100280"/>
    <s v="DINS-CUS-500280"/>
    <s v="DINS-POL-200280"/>
    <x v="4"/>
    <x v="1"/>
    <x v="5"/>
    <x v="1"/>
    <x v="6"/>
    <d v="2023-11-29T00:00:00"/>
    <s v="Monthly"/>
    <d v="2024-10-26T00:00:00"/>
    <x v="1"/>
    <n v="14833"/>
    <n v="6914"/>
    <n v="3"/>
    <d v="2024-10-29T00:00:00"/>
    <x v="1"/>
    <x v="0"/>
    <x v="1"/>
    <n v="2.1454"/>
    <n v="332"/>
    <n v="2024"/>
    <s v="October"/>
  </r>
  <r>
    <s v="DINS-CLM-100281"/>
    <s v="DINS-CUS-500281"/>
    <s v="DINS-POL-200281"/>
    <x v="0"/>
    <x v="0"/>
    <x v="2"/>
    <x v="2"/>
    <x v="4"/>
    <d v="2023-11-06T00:00:00"/>
    <s v="Monthly"/>
    <d v="2024-08-08T00:00:00"/>
    <x v="1"/>
    <n v="54132"/>
    <n v="1054"/>
    <n v="8"/>
    <d v="2024-08-16T00:00:00"/>
    <x v="0"/>
    <x v="0"/>
    <x v="1"/>
    <n v="51.358600000000003"/>
    <n v="276"/>
    <n v="2024"/>
    <s v="August"/>
  </r>
  <r>
    <s v="DINS-CLM-100282"/>
    <s v="DINS-CUS-500282"/>
    <s v="DINS-POL-200282"/>
    <x v="4"/>
    <x v="0"/>
    <x v="0"/>
    <x v="2"/>
    <x v="2"/>
    <d v="2023-10-06T00:00:00"/>
    <s v="Monthly"/>
    <d v="2024-07-04T00:00:00"/>
    <x v="2"/>
    <n v="4815"/>
    <n v="955"/>
    <s v="N/A - Not Settled"/>
    <s v="N/A - Not Settled"/>
    <x v="0"/>
    <x v="0"/>
    <x v="2"/>
    <n v="5.0419"/>
    <n v="272"/>
    <n v="2024"/>
    <s v="July"/>
  </r>
  <r>
    <s v="DINS-CLM-100283"/>
    <s v="DINS-CUS-500283"/>
    <s v="DINS-POL-200283"/>
    <x v="1"/>
    <x v="0"/>
    <x v="1"/>
    <x v="2"/>
    <x v="4"/>
    <d v="2024-05-05T00:00:00"/>
    <s v="Annual"/>
    <d v="2024-09-13T00:00:00"/>
    <x v="1"/>
    <n v="14494"/>
    <n v="2816"/>
    <n v="9"/>
    <d v="2024-09-22T00:00:00"/>
    <x v="1"/>
    <x v="0"/>
    <x v="1"/>
    <n v="5.1470000000000002"/>
    <n v="131"/>
    <n v="2024"/>
    <s v="September"/>
  </r>
  <r>
    <s v="DINS-CLM-100284"/>
    <s v="DINS-CUS-500284"/>
    <s v="DINS-POL-200284"/>
    <x v="3"/>
    <x v="1"/>
    <x v="5"/>
    <x v="2"/>
    <x v="3"/>
    <d v="2024-04-18T00:00:00"/>
    <s v="Annual"/>
    <d v="2024-10-22T00:00:00"/>
    <x v="1"/>
    <n v="32423"/>
    <n v="2429"/>
    <n v="22"/>
    <d v="2024-11-13T00:00:00"/>
    <x v="0"/>
    <x v="0"/>
    <x v="0"/>
    <n v="13.3483"/>
    <n v="187"/>
    <n v="2024"/>
    <s v="October"/>
  </r>
  <r>
    <s v="DINS-CLM-100285"/>
    <s v="DINS-CUS-500285"/>
    <s v="DINS-POL-200285"/>
    <x v="5"/>
    <x v="1"/>
    <x v="3"/>
    <x v="1"/>
    <x v="7"/>
    <d v="2023-09-26T00:00:00"/>
    <s v="Annual"/>
    <d v="2024-05-11T00:00:00"/>
    <x v="1"/>
    <n v="40422"/>
    <n v="4430"/>
    <n v="23"/>
    <d v="2024-06-03T00:00:00"/>
    <x v="0"/>
    <x v="0"/>
    <x v="1"/>
    <n v="9.1245999999999992"/>
    <n v="228"/>
    <n v="2024"/>
    <s v="May"/>
  </r>
  <r>
    <s v="DINS-CLM-100286"/>
    <s v="DINS-CUS-500286"/>
    <s v="DINS-POL-200286"/>
    <x v="0"/>
    <x v="0"/>
    <x v="5"/>
    <x v="0"/>
    <x v="6"/>
    <d v="2024-08-24T00:00:00"/>
    <s v="Annual"/>
    <d v="2024-12-21T00:00:00"/>
    <x v="0"/>
    <n v="58711"/>
    <n v="2046"/>
    <s v="N/A - Not Settled"/>
    <s v="N/A - Not Settled"/>
    <x v="0"/>
    <x v="0"/>
    <x v="2"/>
    <n v="28.695499999999999"/>
    <n v="119"/>
    <n v="2024"/>
    <s v="December"/>
  </r>
  <r>
    <s v="DINS-CLM-100287"/>
    <s v="DINS-CUS-500287"/>
    <s v="DINS-POL-200287"/>
    <x v="5"/>
    <x v="0"/>
    <x v="2"/>
    <x v="0"/>
    <x v="1"/>
    <d v="2023-09-23T00:00:00"/>
    <s v="Monthly"/>
    <d v="2024-08-28T00:00:00"/>
    <x v="0"/>
    <n v="16280"/>
    <n v="1701"/>
    <s v="N/A - Not Settled"/>
    <s v="N/A - Not Settled"/>
    <x v="0"/>
    <x v="0"/>
    <x v="2"/>
    <n v="9.5708000000000002"/>
    <n v="340"/>
    <n v="2024"/>
    <s v="August"/>
  </r>
  <r>
    <s v="DINS-CLM-100288"/>
    <s v="DINS-CUS-500288"/>
    <s v="DINS-POL-200288"/>
    <x v="2"/>
    <x v="2"/>
    <x v="2"/>
    <x v="0"/>
    <x v="6"/>
    <d v="2023-10-14T00:00:00"/>
    <s v="Monthly"/>
    <d v="2024-06-05T00:00:00"/>
    <x v="1"/>
    <n v="39528"/>
    <n v="6178"/>
    <n v="13"/>
    <d v="2024-06-18T00:00:00"/>
    <x v="1"/>
    <x v="0"/>
    <x v="2"/>
    <n v="6.3982000000000001"/>
    <n v="235"/>
    <n v="2024"/>
    <s v="June"/>
  </r>
  <r>
    <s v="DINS-CLM-100289"/>
    <s v="DINS-CUS-500289"/>
    <s v="DINS-POL-200289"/>
    <x v="2"/>
    <x v="2"/>
    <x v="3"/>
    <x v="1"/>
    <x v="4"/>
    <d v="2023-08-06T00:00:00"/>
    <s v="Annual"/>
    <d v="2024-06-27T00:00:00"/>
    <x v="1"/>
    <n v="11989"/>
    <n v="2993"/>
    <n v="34"/>
    <d v="2024-07-31T00:00:00"/>
    <x v="0"/>
    <x v="0"/>
    <x v="1"/>
    <n v="4.0057"/>
    <n v="326"/>
    <n v="2024"/>
    <s v="June"/>
  </r>
  <r>
    <s v="DINS-CLM-100290"/>
    <s v="DINS-CUS-500290"/>
    <s v="DINS-POL-200290"/>
    <x v="0"/>
    <x v="2"/>
    <x v="3"/>
    <x v="0"/>
    <x v="7"/>
    <d v="2023-12-21T00:00:00"/>
    <s v="Monthly"/>
    <d v="2024-04-22T00:00:00"/>
    <x v="2"/>
    <n v="41153"/>
    <n v="2274"/>
    <s v="N/A - Not Settled"/>
    <s v="N/A - Not Settled"/>
    <x v="0"/>
    <x v="0"/>
    <x v="0"/>
    <n v="18.097200000000001"/>
    <n v="123"/>
    <n v="2024"/>
    <s v="April"/>
  </r>
  <r>
    <s v="DINS-CLM-100291"/>
    <s v="DINS-CUS-500291"/>
    <s v="DINS-POL-200291"/>
    <x v="3"/>
    <x v="2"/>
    <x v="5"/>
    <x v="1"/>
    <x v="3"/>
    <d v="2024-04-08T00:00:00"/>
    <s v="Monthly"/>
    <d v="2024-05-25T00:00:00"/>
    <x v="2"/>
    <n v="75116"/>
    <n v="8882"/>
    <s v="N/A - Not Settled"/>
    <s v="N/A - Not Settled"/>
    <x v="0"/>
    <x v="0"/>
    <x v="2"/>
    <n v="8.4571000000000005"/>
    <n v="47"/>
    <n v="2024"/>
    <s v="May"/>
  </r>
  <r>
    <s v="DINS-CLM-100292"/>
    <s v="DINS-CUS-500292"/>
    <s v="DINS-POL-200292"/>
    <x v="0"/>
    <x v="0"/>
    <x v="1"/>
    <x v="1"/>
    <x v="5"/>
    <d v="2023-07-28T00:00:00"/>
    <s v="Monthly"/>
    <d v="2024-05-13T00:00:00"/>
    <x v="1"/>
    <n v="17362"/>
    <n v="7282"/>
    <n v="21"/>
    <d v="2024-06-03T00:00:00"/>
    <x v="0"/>
    <x v="0"/>
    <x v="2"/>
    <n v="2.3841999999999999"/>
    <n v="290"/>
    <n v="2024"/>
    <s v="May"/>
  </r>
  <r>
    <s v="DINS-CLM-100293"/>
    <s v="DINS-CUS-500293"/>
    <s v="DINS-POL-200293"/>
    <x v="3"/>
    <x v="2"/>
    <x v="3"/>
    <x v="1"/>
    <x v="6"/>
    <d v="2024-06-16T00:00:00"/>
    <s v="Monthly"/>
    <d v="2024-09-28T00:00:00"/>
    <x v="1"/>
    <n v="29882"/>
    <n v="8192"/>
    <n v="3"/>
    <d v="2024-10-01T00:00:00"/>
    <x v="0"/>
    <x v="0"/>
    <x v="1"/>
    <n v="3.6476999999999999"/>
    <n v="104"/>
    <n v="2024"/>
    <s v="September"/>
  </r>
  <r>
    <s v="DINS-CLM-100294"/>
    <s v="DINS-CUS-500294"/>
    <s v="DINS-POL-200294"/>
    <x v="2"/>
    <x v="0"/>
    <x v="0"/>
    <x v="1"/>
    <x v="0"/>
    <d v="2023-07-22T00:00:00"/>
    <s v="Annual"/>
    <d v="2024-05-28T00:00:00"/>
    <x v="0"/>
    <n v="22199"/>
    <n v="4360"/>
    <s v="N/A - Not Settled"/>
    <s v="N/A - Not Settled"/>
    <x v="0"/>
    <x v="0"/>
    <x v="2"/>
    <n v="5.0914999999999999"/>
    <n v="311"/>
    <n v="2024"/>
    <s v="May"/>
  </r>
  <r>
    <s v="DINS-CLM-100295"/>
    <s v="DINS-CUS-500295"/>
    <s v="DINS-POL-200295"/>
    <x v="0"/>
    <x v="2"/>
    <x v="3"/>
    <x v="1"/>
    <x v="7"/>
    <d v="2023-06-03T00:00:00"/>
    <s v="Annual"/>
    <d v="2024-04-30T00:00:00"/>
    <x v="1"/>
    <n v="4697"/>
    <n v="684"/>
    <n v="25"/>
    <d v="2024-05-25T00:00:00"/>
    <x v="0"/>
    <x v="0"/>
    <x v="0"/>
    <n v="6.867"/>
    <n v="332"/>
    <n v="2024"/>
    <s v="April"/>
  </r>
  <r>
    <s v="DINS-CLM-100296"/>
    <s v="DINS-CUS-500296"/>
    <s v="DINS-POL-200296"/>
    <x v="4"/>
    <x v="2"/>
    <x v="1"/>
    <x v="0"/>
    <x v="4"/>
    <d v="2024-02-06T00:00:00"/>
    <s v="Annual"/>
    <d v="2024-06-04T00:00:00"/>
    <x v="1"/>
    <n v="17797"/>
    <n v="8858"/>
    <n v="23"/>
    <d v="2024-06-27T00:00:00"/>
    <x v="0"/>
    <x v="0"/>
    <x v="0"/>
    <n v="2.0091000000000001"/>
    <n v="119"/>
    <n v="2024"/>
    <s v="June"/>
  </r>
  <r>
    <s v="DINS-CLM-100297"/>
    <s v="DINS-CUS-500297"/>
    <s v="DINS-POL-200297"/>
    <x v="4"/>
    <x v="1"/>
    <x v="1"/>
    <x v="2"/>
    <x v="1"/>
    <d v="2024-02-26T00:00:00"/>
    <s v="Monthly"/>
    <d v="2024-11-26T00:00:00"/>
    <x v="1"/>
    <n v="12152"/>
    <n v="8107"/>
    <n v="4"/>
    <d v="2024-11-30T00:00:00"/>
    <x v="0"/>
    <x v="0"/>
    <x v="0"/>
    <n v="1.4990000000000001"/>
    <n v="274"/>
    <n v="2024"/>
    <s v="November"/>
  </r>
  <r>
    <s v="DINS-CLM-100298"/>
    <s v="DINS-CUS-500298"/>
    <s v="DINS-POL-200298"/>
    <x v="3"/>
    <x v="2"/>
    <x v="5"/>
    <x v="1"/>
    <x v="2"/>
    <d v="2023-12-14T00:00:00"/>
    <s v="Monthly"/>
    <d v="2024-02-18T00:00:00"/>
    <x v="1"/>
    <n v="23052"/>
    <n v="3362"/>
    <n v="24"/>
    <d v="2024-03-13T00:00:00"/>
    <x v="0"/>
    <x v="0"/>
    <x v="2"/>
    <n v="6.8566000000000003"/>
    <n v="66"/>
    <n v="2024"/>
    <s v="February"/>
  </r>
  <r>
    <s v="DINS-CLM-100299"/>
    <s v="DINS-CUS-500299"/>
    <s v="DINS-POL-200299"/>
    <x v="5"/>
    <x v="2"/>
    <x v="0"/>
    <x v="0"/>
    <x v="1"/>
    <d v="2024-01-15T00:00:00"/>
    <s v="Annual"/>
    <d v="2024-05-27T00:00:00"/>
    <x v="1"/>
    <n v="61443"/>
    <n v="4474"/>
    <n v="30"/>
    <d v="2024-06-26T00:00:00"/>
    <x v="0"/>
    <x v="0"/>
    <x v="0"/>
    <n v="13.7333"/>
    <n v="133"/>
    <n v="2024"/>
    <s v="May"/>
  </r>
  <r>
    <s v="DINS-CLM-100300"/>
    <s v="DINS-CUS-500300"/>
    <s v="DINS-POL-200300"/>
    <x v="4"/>
    <x v="0"/>
    <x v="2"/>
    <x v="0"/>
    <x v="3"/>
    <d v="2024-02-12T00:00:00"/>
    <s v="Monthly"/>
    <d v="2024-11-13T00:00:00"/>
    <x v="1"/>
    <n v="3763"/>
    <n v="5523"/>
    <n v="34"/>
    <d v="2024-12-17T00:00:00"/>
    <x v="0"/>
    <x v="0"/>
    <x v="0"/>
    <n v="0.68130000000000002"/>
    <n v="275"/>
    <n v="2024"/>
    <s v="November"/>
  </r>
  <r>
    <s v="DINS-CLM-100301"/>
    <s v="DINS-CUS-500301"/>
    <s v="DINS-POL-200301"/>
    <x v="0"/>
    <x v="1"/>
    <x v="2"/>
    <x v="2"/>
    <x v="5"/>
    <d v="2023-10-03T00:00:00"/>
    <s v="Annual"/>
    <d v="2024-02-01T00:00:00"/>
    <x v="1"/>
    <n v="57476"/>
    <n v="1594"/>
    <n v="15"/>
    <d v="2024-02-16T00:00:00"/>
    <x v="0"/>
    <x v="0"/>
    <x v="1"/>
    <n v="36.057699999999997"/>
    <n v="121"/>
    <n v="2024"/>
    <s v="February"/>
  </r>
  <r>
    <s v="DINS-CLM-100302"/>
    <s v="DINS-CUS-500302"/>
    <s v="DINS-POL-200302"/>
    <x v="0"/>
    <x v="0"/>
    <x v="4"/>
    <x v="0"/>
    <x v="7"/>
    <d v="2024-08-06T00:00:00"/>
    <s v="Annual"/>
    <d v="2024-11-01T00:00:00"/>
    <x v="1"/>
    <n v="27194"/>
    <n v="4459"/>
    <n v="13"/>
    <d v="2024-11-14T00:00:00"/>
    <x v="1"/>
    <x v="0"/>
    <x v="2"/>
    <n v="6.0987"/>
    <n v="87"/>
    <n v="2024"/>
    <s v="November"/>
  </r>
  <r>
    <s v="DINS-CLM-100303"/>
    <s v="DINS-CUS-500303"/>
    <s v="DINS-POL-200303"/>
    <x v="0"/>
    <x v="0"/>
    <x v="4"/>
    <x v="1"/>
    <x v="1"/>
    <d v="2024-04-08T00:00:00"/>
    <s v="Annual"/>
    <d v="2024-07-22T00:00:00"/>
    <x v="0"/>
    <n v="14026"/>
    <n v="7724"/>
    <s v="N/A - Not Settled"/>
    <s v="N/A - Not Settled"/>
    <x v="0"/>
    <x v="0"/>
    <x v="2"/>
    <n v="1.8159000000000001"/>
    <n v="105"/>
    <n v="2024"/>
    <s v="July"/>
  </r>
  <r>
    <s v="DINS-CLM-100304"/>
    <s v="DINS-CUS-500304"/>
    <s v="DINS-POL-200304"/>
    <x v="3"/>
    <x v="1"/>
    <x v="4"/>
    <x v="0"/>
    <x v="6"/>
    <d v="2023-03-27T00:00:00"/>
    <s v="Annual"/>
    <d v="2024-02-04T00:00:00"/>
    <x v="1"/>
    <n v="49723"/>
    <n v="5791"/>
    <n v="19"/>
    <d v="2024-02-23T00:00:00"/>
    <x v="0"/>
    <x v="0"/>
    <x v="0"/>
    <n v="8.5862999999999996"/>
    <n v="314"/>
    <n v="2024"/>
    <s v="February"/>
  </r>
  <r>
    <s v="DINS-CLM-100305"/>
    <s v="DINS-CUS-500305"/>
    <s v="DINS-POL-200305"/>
    <x v="0"/>
    <x v="2"/>
    <x v="1"/>
    <x v="0"/>
    <x v="1"/>
    <d v="2024-01-19T00:00:00"/>
    <s v="Monthly"/>
    <d v="2024-06-19T00:00:00"/>
    <x v="1"/>
    <n v="44391"/>
    <n v="7876"/>
    <n v="10"/>
    <d v="2024-06-29T00:00:00"/>
    <x v="0"/>
    <x v="0"/>
    <x v="0"/>
    <n v="5.6361999999999997"/>
    <n v="152"/>
    <n v="2024"/>
    <s v="June"/>
  </r>
  <r>
    <s v="DINS-CLM-100306"/>
    <s v="DINS-CUS-500306"/>
    <s v="DINS-POL-200306"/>
    <x v="5"/>
    <x v="1"/>
    <x v="2"/>
    <x v="1"/>
    <x v="2"/>
    <d v="2023-11-01T00:00:00"/>
    <s v="Monthly"/>
    <d v="2024-06-01T00:00:00"/>
    <x v="1"/>
    <n v="52056"/>
    <n v="4650"/>
    <n v="23"/>
    <d v="2024-06-24T00:00:00"/>
    <x v="0"/>
    <x v="0"/>
    <x v="0"/>
    <n v="11.194800000000001"/>
    <n v="213"/>
    <n v="2024"/>
    <s v="June"/>
  </r>
  <r>
    <s v="DINS-CLM-100307"/>
    <s v="DINS-CUS-500307"/>
    <s v="DINS-POL-200307"/>
    <x v="2"/>
    <x v="2"/>
    <x v="4"/>
    <x v="1"/>
    <x v="2"/>
    <d v="2024-01-13T00:00:00"/>
    <s v="Monthly"/>
    <d v="2024-05-18T00:00:00"/>
    <x v="1"/>
    <n v="2850"/>
    <n v="8940"/>
    <n v="18"/>
    <d v="2024-06-05T00:00:00"/>
    <x v="0"/>
    <x v="0"/>
    <x v="1"/>
    <n v="0.31879999999999997"/>
    <n v="126"/>
    <n v="2024"/>
    <s v="May"/>
  </r>
  <r>
    <s v="DINS-CLM-100308"/>
    <s v="DINS-CUS-500308"/>
    <s v="DINS-POL-200308"/>
    <x v="0"/>
    <x v="1"/>
    <x v="3"/>
    <x v="1"/>
    <x v="0"/>
    <d v="2024-03-12T00:00:00"/>
    <s v="Annual"/>
    <d v="2024-04-27T00:00:00"/>
    <x v="1"/>
    <n v="8869"/>
    <n v="1344"/>
    <n v="8"/>
    <d v="2024-05-05T00:00:00"/>
    <x v="0"/>
    <x v="0"/>
    <x v="2"/>
    <n v="6.5990000000000002"/>
    <n v="46"/>
    <n v="2024"/>
    <s v="April"/>
  </r>
  <r>
    <s v="DINS-CLM-100309"/>
    <s v="DINS-CUS-500309"/>
    <s v="DINS-POL-200309"/>
    <x v="2"/>
    <x v="2"/>
    <x v="4"/>
    <x v="0"/>
    <x v="1"/>
    <d v="2023-10-04T00:00:00"/>
    <s v="Annual"/>
    <d v="2024-01-26T00:00:00"/>
    <x v="1"/>
    <n v="37914"/>
    <n v="6352"/>
    <n v="34"/>
    <d v="2024-02-29T00:00:00"/>
    <x v="0"/>
    <x v="0"/>
    <x v="0"/>
    <n v="5.9687999999999999"/>
    <n v="114"/>
    <n v="2024"/>
    <s v="January"/>
  </r>
  <r>
    <s v="DINS-CLM-100310"/>
    <s v="DINS-CUS-500310"/>
    <s v="DINS-POL-200310"/>
    <x v="0"/>
    <x v="1"/>
    <x v="1"/>
    <x v="0"/>
    <x v="2"/>
    <d v="2023-07-21T00:00:00"/>
    <s v="Monthly"/>
    <d v="2024-01-07T00:00:00"/>
    <x v="1"/>
    <n v="47501"/>
    <n v="3017"/>
    <n v="41"/>
    <d v="2024-02-17T00:00:00"/>
    <x v="0"/>
    <x v="0"/>
    <x v="2"/>
    <n v="15.744400000000001"/>
    <n v="170"/>
    <n v="2024"/>
    <s v="January"/>
  </r>
  <r>
    <s v="DINS-CLM-100311"/>
    <s v="DINS-CUS-500311"/>
    <s v="DINS-POL-200311"/>
    <x v="2"/>
    <x v="0"/>
    <x v="5"/>
    <x v="2"/>
    <x v="7"/>
    <d v="2023-07-01T00:00:00"/>
    <s v="Monthly"/>
    <d v="2024-02-24T00:00:00"/>
    <x v="0"/>
    <n v="28309"/>
    <n v="3856"/>
    <s v="N/A - Not Settled"/>
    <s v="N/A - Not Settled"/>
    <x v="0"/>
    <x v="0"/>
    <x v="0"/>
    <n v="7.3414999999999999"/>
    <n v="238"/>
    <n v="2024"/>
    <s v="February"/>
  </r>
  <r>
    <s v="DINS-CLM-100312"/>
    <s v="DINS-CUS-500312"/>
    <s v="DINS-POL-200312"/>
    <x v="0"/>
    <x v="1"/>
    <x v="2"/>
    <x v="2"/>
    <x v="5"/>
    <d v="2023-10-29T00:00:00"/>
    <s v="Monthly"/>
    <d v="2024-07-11T00:00:00"/>
    <x v="1"/>
    <n v="20248"/>
    <n v="1948"/>
    <n v="36"/>
    <d v="2024-08-16T00:00:00"/>
    <x v="0"/>
    <x v="0"/>
    <x v="0"/>
    <n v="10.394299999999999"/>
    <n v="256"/>
    <n v="2024"/>
    <s v="July"/>
  </r>
  <r>
    <s v="DINS-CLM-100313"/>
    <s v="DINS-CUS-500313"/>
    <s v="DINS-POL-200313"/>
    <x v="0"/>
    <x v="1"/>
    <x v="1"/>
    <x v="1"/>
    <x v="3"/>
    <d v="2024-03-21T00:00:00"/>
    <s v="Monthly"/>
    <d v="2024-04-29T00:00:00"/>
    <x v="1"/>
    <n v="8496"/>
    <n v="4328"/>
    <n v="32"/>
    <d v="2024-05-31T00:00:00"/>
    <x v="0"/>
    <x v="0"/>
    <x v="0"/>
    <n v="1.9630000000000001"/>
    <n v="39"/>
    <n v="2024"/>
    <s v="April"/>
  </r>
  <r>
    <s v="DINS-CLM-100314"/>
    <s v="DINS-CUS-500314"/>
    <s v="DINS-POL-200314"/>
    <x v="5"/>
    <x v="1"/>
    <x v="3"/>
    <x v="2"/>
    <x v="4"/>
    <d v="2024-01-27T00:00:00"/>
    <s v="Monthly"/>
    <d v="2024-03-22T00:00:00"/>
    <x v="1"/>
    <n v="32601"/>
    <n v="2286"/>
    <n v="9"/>
    <d v="2024-03-31T00:00:00"/>
    <x v="0"/>
    <x v="0"/>
    <x v="1"/>
    <n v="14.261200000000001"/>
    <n v="55"/>
    <n v="2024"/>
    <s v="March"/>
  </r>
  <r>
    <s v="DINS-CLM-100315"/>
    <s v="DINS-CUS-500315"/>
    <s v="DINS-POL-200315"/>
    <x v="2"/>
    <x v="2"/>
    <x v="0"/>
    <x v="1"/>
    <x v="4"/>
    <d v="2024-05-26T00:00:00"/>
    <s v="Annual"/>
    <d v="2024-07-18T00:00:00"/>
    <x v="1"/>
    <n v="33156"/>
    <n v="5140"/>
    <n v="2"/>
    <d v="2024-07-20T00:00:00"/>
    <x v="0"/>
    <x v="0"/>
    <x v="0"/>
    <n v="6.4505999999999997"/>
    <n v="53"/>
    <n v="2024"/>
    <s v="July"/>
  </r>
  <r>
    <s v="DINS-CLM-100316"/>
    <s v="DINS-CUS-500316"/>
    <s v="DINS-POL-200316"/>
    <x v="0"/>
    <x v="2"/>
    <x v="2"/>
    <x v="2"/>
    <x v="1"/>
    <d v="2023-12-20T00:00:00"/>
    <s v="Annual"/>
    <d v="2024-09-23T00:00:00"/>
    <x v="1"/>
    <n v="47704"/>
    <n v="762"/>
    <n v="2"/>
    <d v="2024-09-25T00:00:00"/>
    <x v="0"/>
    <x v="0"/>
    <x v="0"/>
    <n v="62.603700000000003"/>
    <n v="278"/>
    <n v="2024"/>
    <s v="September"/>
  </r>
  <r>
    <s v="DINS-CLM-100317"/>
    <s v="DINS-CUS-500317"/>
    <s v="DINS-POL-200317"/>
    <x v="5"/>
    <x v="2"/>
    <x v="3"/>
    <x v="2"/>
    <x v="0"/>
    <d v="2024-01-21T00:00:00"/>
    <s v="Monthly"/>
    <d v="2024-07-06T00:00:00"/>
    <x v="0"/>
    <n v="35722"/>
    <n v="1214"/>
    <s v="N/A - Not Settled"/>
    <s v="N/A - Not Settled"/>
    <x v="0"/>
    <x v="0"/>
    <x v="2"/>
    <n v="29.425000000000001"/>
    <n v="167"/>
    <n v="2024"/>
    <s v="July"/>
  </r>
  <r>
    <s v="DINS-CLM-100318"/>
    <s v="DINS-CUS-500318"/>
    <s v="DINS-POL-200318"/>
    <x v="0"/>
    <x v="0"/>
    <x v="4"/>
    <x v="0"/>
    <x v="7"/>
    <d v="2023-09-26T00:00:00"/>
    <s v="Annual"/>
    <d v="2024-05-18T00:00:00"/>
    <x v="1"/>
    <n v="56908"/>
    <n v="3426"/>
    <n v="21"/>
    <d v="2024-06-08T00:00:00"/>
    <x v="0"/>
    <x v="0"/>
    <x v="2"/>
    <n v="16.610600000000002"/>
    <n v="235"/>
    <n v="2024"/>
    <s v="May"/>
  </r>
  <r>
    <s v="DINS-CLM-100319"/>
    <s v="DINS-CUS-500319"/>
    <s v="DINS-POL-200319"/>
    <x v="1"/>
    <x v="0"/>
    <x v="2"/>
    <x v="1"/>
    <x v="0"/>
    <d v="2023-05-09T00:00:00"/>
    <s v="Monthly"/>
    <d v="2024-04-29T00:00:00"/>
    <x v="1"/>
    <n v="54801"/>
    <n v="5368"/>
    <n v="4"/>
    <d v="2024-05-03T00:00:00"/>
    <x v="0"/>
    <x v="0"/>
    <x v="1"/>
    <n v="10.2088"/>
    <n v="356"/>
    <n v="2024"/>
    <s v="April"/>
  </r>
  <r>
    <s v="DINS-CLM-100320"/>
    <s v="DINS-CUS-500320"/>
    <s v="DINS-POL-200320"/>
    <x v="4"/>
    <x v="0"/>
    <x v="0"/>
    <x v="2"/>
    <x v="5"/>
    <d v="2023-11-23T00:00:00"/>
    <s v="Monthly"/>
    <d v="2024-09-28T00:00:00"/>
    <x v="2"/>
    <n v="12766"/>
    <n v="2418"/>
    <s v="N/A - Not Settled"/>
    <s v="N/A - Not Settled"/>
    <x v="0"/>
    <x v="0"/>
    <x v="2"/>
    <n v="5.2796000000000003"/>
    <n v="310"/>
    <n v="2024"/>
    <s v="September"/>
  </r>
  <r>
    <s v="DINS-CLM-100321"/>
    <s v="DINS-CUS-500321"/>
    <s v="DINS-POL-200321"/>
    <x v="2"/>
    <x v="1"/>
    <x v="5"/>
    <x v="1"/>
    <x v="1"/>
    <d v="2024-05-03T00:00:00"/>
    <s v="Annual"/>
    <d v="2024-12-27T00:00:00"/>
    <x v="2"/>
    <n v="16843"/>
    <n v="5874"/>
    <s v="N/A - Not Settled"/>
    <s v="N/A - Not Settled"/>
    <x v="1"/>
    <x v="1"/>
    <x v="2"/>
    <n v="2.8673999999999999"/>
    <n v="238"/>
    <n v="2024"/>
    <s v="December"/>
  </r>
  <r>
    <s v="DINS-CLM-100322"/>
    <s v="DINS-CUS-500322"/>
    <s v="DINS-POL-200322"/>
    <x v="1"/>
    <x v="0"/>
    <x v="2"/>
    <x v="0"/>
    <x v="7"/>
    <d v="2023-11-06T00:00:00"/>
    <s v="Annual"/>
    <d v="2024-08-16T00:00:00"/>
    <x v="1"/>
    <n v="16668"/>
    <n v="8082"/>
    <n v="45"/>
    <d v="2024-09-30T00:00:00"/>
    <x v="1"/>
    <x v="0"/>
    <x v="0"/>
    <n v="2.0623999999999998"/>
    <n v="284"/>
    <n v="2024"/>
    <s v="August"/>
  </r>
  <r>
    <s v="DINS-CLM-100323"/>
    <s v="DINS-CUS-500323"/>
    <s v="DINS-POL-200323"/>
    <x v="4"/>
    <x v="0"/>
    <x v="5"/>
    <x v="1"/>
    <x v="2"/>
    <d v="2023-10-13T00:00:00"/>
    <s v="Annual"/>
    <d v="2024-02-14T00:00:00"/>
    <x v="1"/>
    <n v="5340"/>
    <n v="4332"/>
    <n v="18"/>
    <d v="2024-03-03T00:00:00"/>
    <x v="0"/>
    <x v="0"/>
    <x v="2"/>
    <n v="1.2326999999999999"/>
    <n v="124"/>
    <n v="2024"/>
    <s v="February"/>
  </r>
  <r>
    <s v="DINS-CLM-100324"/>
    <s v="DINS-CUS-500324"/>
    <s v="DINS-POL-200324"/>
    <x v="4"/>
    <x v="2"/>
    <x v="2"/>
    <x v="2"/>
    <x v="2"/>
    <d v="2023-10-14T00:00:00"/>
    <s v="Monthly"/>
    <d v="2024-10-11T00:00:00"/>
    <x v="2"/>
    <n v="7081"/>
    <n v="6125"/>
    <s v="N/A - Not Settled"/>
    <s v="N/A - Not Settled"/>
    <x v="0"/>
    <x v="0"/>
    <x v="1"/>
    <n v="1.1560999999999999"/>
    <n v="363"/>
    <n v="2024"/>
    <s v="October"/>
  </r>
  <r>
    <s v="DINS-CLM-100325"/>
    <s v="DINS-CUS-500325"/>
    <s v="DINS-POL-200325"/>
    <x v="0"/>
    <x v="2"/>
    <x v="0"/>
    <x v="2"/>
    <x v="6"/>
    <d v="2024-01-16T00:00:00"/>
    <s v="Annual"/>
    <d v="2024-12-07T00:00:00"/>
    <x v="1"/>
    <n v="53041"/>
    <n v="4016"/>
    <n v="31"/>
    <d v="2025-01-07T00:00:00"/>
    <x v="0"/>
    <x v="0"/>
    <x v="1"/>
    <n v="13.2074"/>
    <n v="326"/>
    <n v="2024"/>
    <s v="December"/>
  </r>
  <r>
    <s v="DINS-CLM-100326"/>
    <s v="DINS-CUS-500326"/>
    <s v="DINS-POL-200326"/>
    <x v="2"/>
    <x v="2"/>
    <x v="0"/>
    <x v="2"/>
    <x v="6"/>
    <d v="2023-07-06T00:00:00"/>
    <s v="Monthly"/>
    <d v="2024-05-07T00:00:00"/>
    <x v="0"/>
    <n v="8860"/>
    <n v="1429"/>
    <s v="N/A - Not Settled"/>
    <s v="N/A - Not Settled"/>
    <x v="0"/>
    <x v="0"/>
    <x v="2"/>
    <n v="6.2000999999999999"/>
    <n v="306"/>
    <n v="2024"/>
    <s v="May"/>
  </r>
  <r>
    <s v="DINS-CLM-100327"/>
    <s v="DINS-CUS-500327"/>
    <s v="DINS-POL-200327"/>
    <x v="0"/>
    <x v="2"/>
    <x v="1"/>
    <x v="1"/>
    <x v="4"/>
    <d v="2023-05-24T00:00:00"/>
    <s v="Monthly"/>
    <d v="2024-02-17T00:00:00"/>
    <x v="1"/>
    <n v="58173"/>
    <n v="6234"/>
    <n v="13"/>
    <d v="2024-03-01T00:00:00"/>
    <x v="0"/>
    <x v="0"/>
    <x v="0"/>
    <n v="9.3315999999999999"/>
    <n v="269"/>
    <n v="2024"/>
    <s v="February"/>
  </r>
  <r>
    <s v="DINS-CLM-100328"/>
    <s v="DINS-CUS-500328"/>
    <s v="DINS-POL-200328"/>
    <x v="3"/>
    <x v="1"/>
    <x v="1"/>
    <x v="0"/>
    <x v="2"/>
    <d v="2024-03-29T00:00:00"/>
    <s v="Annual"/>
    <d v="2024-08-28T00:00:00"/>
    <x v="1"/>
    <n v="28165"/>
    <n v="6658"/>
    <n v="19"/>
    <d v="2024-09-16T00:00:00"/>
    <x v="0"/>
    <x v="0"/>
    <x v="2"/>
    <n v="4.2302"/>
    <n v="152"/>
    <n v="2024"/>
    <s v="August"/>
  </r>
  <r>
    <s v="DINS-CLM-100329"/>
    <s v="DINS-CUS-500329"/>
    <s v="DINS-POL-200329"/>
    <x v="0"/>
    <x v="0"/>
    <x v="4"/>
    <x v="2"/>
    <x v="3"/>
    <d v="2023-07-25T00:00:00"/>
    <s v="Annual"/>
    <d v="2024-02-29T00:00:00"/>
    <x v="1"/>
    <n v="3422"/>
    <n v="4525"/>
    <n v="39"/>
    <d v="2024-04-08T00:00:00"/>
    <x v="0"/>
    <x v="0"/>
    <x v="2"/>
    <n v="0.75619999999999998"/>
    <n v="219"/>
    <n v="2024"/>
    <s v="February"/>
  </r>
  <r>
    <s v="DINS-CLM-100330"/>
    <s v="DINS-CUS-500330"/>
    <s v="DINS-POL-200330"/>
    <x v="2"/>
    <x v="1"/>
    <x v="4"/>
    <x v="2"/>
    <x v="4"/>
    <d v="2024-04-21T00:00:00"/>
    <s v="Monthly"/>
    <d v="2024-10-09T00:00:00"/>
    <x v="1"/>
    <n v="23049"/>
    <n v="4921"/>
    <n v="28"/>
    <d v="2024-11-06T00:00:00"/>
    <x v="0"/>
    <x v="0"/>
    <x v="1"/>
    <n v="4.6837999999999997"/>
    <n v="171"/>
    <n v="2024"/>
    <s v="October"/>
  </r>
  <r>
    <s v="DINS-CLM-100331"/>
    <s v="DINS-CUS-500331"/>
    <s v="DINS-POL-200331"/>
    <x v="3"/>
    <x v="2"/>
    <x v="1"/>
    <x v="0"/>
    <x v="3"/>
    <d v="2024-08-10T00:00:00"/>
    <s v="Monthly"/>
    <d v="2024-11-15T00:00:00"/>
    <x v="1"/>
    <n v="39702"/>
    <n v="5333"/>
    <n v="27"/>
    <d v="2024-12-12T00:00:00"/>
    <x v="0"/>
    <x v="0"/>
    <x v="0"/>
    <n v="7.4446000000000003"/>
    <n v="97"/>
    <n v="2024"/>
    <s v="November"/>
  </r>
  <r>
    <s v="DINS-CLM-100332"/>
    <s v="DINS-CUS-500332"/>
    <s v="DINS-POL-200332"/>
    <x v="1"/>
    <x v="1"/>
    <x v="2"/>
    <x v="1"/>
    <x v="3"/>
    <d v="2023-04-27T00:00:00"/>
    <s v="Monthly"/>
    <d v="2024-02-22T00:00:00"/>
    <x v="1"/>
    <n v="55217"/>
    <n v="2459"/>
    <n v="10"/>
    <d v="2024-03-03T00:00:00"/>
    <x v="0"/>
    <x v="0"/>
    <x v="0"/>
    <n v="22.455100000000002"/>
    <n v="301"/>
    <n v="2024"/>
    <s v="February"/>
  </r>
  <r>
    <s v="DINS-CLM-100333"/>
    <s v="DINS-CUS-500333"/>
    <s v="DINS-POL-200333"/>
    <x v="0"/>
    <x v="2"/>
    <x v="4"/>
    <x v="1"/>
    <x v="7"/>
    <d v="2023-08-08T00:00:00"/>
    <s v="Annual"/>
    <d v="2024-07-21T00:00:00"/>
    <x v="1"/>
    <n v="21536"/>
    <n v="655"/>
    <n v="28"/>
    <d v="2024-08-18T00:00:00"/>
    <x v="0"/>
    <x v="0"/>
    <x v="1"/>
    <n v="32.879399999999997"/>
    <n v="348"/>
    <n v="2024"/>
    <s v="July"/>
  </r>
  <r>
    <s v="DINS-CLM-100334"/>
    <s v="DINS-CUS-500334"/>
    <s v="DINS-POL-200334"/>
    <x v="3"/>
    <x v="0"/>
    <x v="1"/>
    <x v="0"/>
    <x v="3"/>
    <d v="2023-08-22T00:00:00"/>
    <s v="Monthly"/>
    <d v="2024-05-29T00:00:00"/>
    <x v="1"/>
    <n v="88089"/>
    <n v="4919"/>
    <n v="45"/>
    <d v="2024-07-13T00:00:00"/>
    <x v="1"/>
    <x v="0"/>
    <x v="0"/>
    <n v="17.907900000000001"/>
    <n v="281"/>
    <n v="2024"/>
    <s v="May"/>
  </r>
  <r>
    <s v="DINS-CLM-100335"/>
    <s v="DINS-CUS-500335"/>
    <s v="DINS-POL-200335"/>
    <x v="0"/>
    <x v="2"/>
    <x v="3"/>
    <x v="0"/>
    <x v="4"/>
    <d v="2023-11-26T00:00:00"/>
    <s v="Monthly"/>
    <d v="2024-10-05T00:00:00"/>
    <x v="1"/>
    <n v="33744"/>
    <n v="3938"/>
    <n v="42"/>
    <d v="2024-11-16T00:00:00"/>
    <x v="0"/>
    <x v="0"/>
    <x v="2"/>
    <n v="8.5687999999999995"/>
    <n v="314"/>
    <n v="2024"/>
    <s v="October"/>
  </r>
  <r>
    <s v="DINS-CLM-100336"/>
    <s v="DINS-CUS-500336"/>
    <s v="DINS-POL-200336"/>
    <x v="5"/>
    <x v="2"/>
    <x v="1"/>
    <x v="2"/>
    <x v="3"/>
    <d v="2023-06-13T00:00:00"/>
    <s v="Annual"/>
    <d v="2024-03-03T00:00:00"/>
    <x v="2"/>
    <n v="27079"/>
    <n v="818"/>
    <s v="N/A - Not Settled"/>
    <s v="N/A - Not Settled"/>
    <x v="0"/>
    <x v="0"/>
    <x v="1"/>
    <n v="33.103900000000003"/>
    <n v="264"/>
    <n v="2024"/>
    <s v="March"/>
  </r>
  <r>
    <s v="DINS-CLM-100337"/>
    <s v="DINS-CUS-500337"/>
    <s v="DINS-POL-200337"/>
    <x v="2"/>
    <x v="2"/>
    <x v="4"/>
    <x v="1"/>
    <x v="5"/>
    <d v="2023-09-24T00:00:00"/>
    <s v="Annual"/>
    <d v="2024-09-08T00:00:00"/>
    <x v="1"/>
    <n v="15085"/>
    <n v="3060"/>
    <n v="25"/>
    <d v="2024-10-03T00:00:00"/>
    <x v="0"/>
    <x v="0"/>
    <x v="1"/>
    <n v="4.9297000000000004"/>
    <n v="350"/>
    <n v="2024"/>
    <s v="September"/>
  </r>
  <r>
    <s v="DINS-CLM-100338"/>
    <s v="DINS-CUS-500338"/>
    <s v="DINS-POL-200338"/>
    <x v="2"/>
    <x v="2"/>
    <x v="2"/>
    <x v="0"/>
    <x v="3"/>
    <d v="2023-05-23T00:00:00"/>
    <s v="Monthly"/>
    <d v="2024-03-14T00:00:00"/>
    <x v="1"/>
    <n v="25461"/>
    <n v="6703"/>
    <n v="35"/>
    <d v="2024-04-18T00:00:00"/>
    <x v="1"/>
    <x v="1"/>
    <x v="0"/>
    <n v="3.7984"/>
    <n v="296"/>
    <n v="2024"/>
    <s v="March"/>
  </r>
  <r>
    <s v="DINS-CLM-100339"/>
    <s v="DINS-CUS-500339"/>
    <s v="DINS-POL-200339"/>
    <x v="1"/>
    <x v="0"/>
    <x v="1"/>
    <x v="0"/>
    <x v="0"/>
    <d v="2024-01-23T00:00:00"/>
    <s v="Annual"/>
    <d v="2024-11-28T00:00:00"/>
    <x v="1"/>
    <n v="38493"/>
    <n v="6790"/>
    <n v="39"/>
    <d v="2025-01-06T00:00:00"/>
    <x v="0"/>
    <x v="0"/>
    <x v="1"/>
    <n v="5.6691000000000003"/>
    <n v="310"/>
    <n v="2024"/>
    <s v="November"/>
  </r>
  <r>
    <s v="DINS-CLM-100340"/>
    <s v="DINS-CUS-500340"/>
    <s v="DINS-POL-200340"/>
    <x v="0"/>
    <x v="2"/>
    <x v="1"/>
    <x v="0"/>
    <x v="6"/>
    <d v="2024-07-15T00:00:00"/>
    <s v="Annual"/>
    <d v="2024-12-06T00:00:00"/>
    <x v="1"/>
    <n v="49423"/>
    <n v="5989"/>
    <n v="7"/>
    <d v="2024-12-13T00:00:00"/>
    <x v="0"/>
    <x v="0"/>
    <x v="2"/>
    <n v="8.2523"/>
    <n v="144"/>
    <n v="2024"/>
    <s v="December"/>
  </r>
  <r>
    <s v="DINS-CLM-100341"/>
    <s v="DINS-CUS-500341"/>
    <s v="DINS-POL-200341"/>
    <x v="1"/>
    <x v="2"/>
    <x v="1"/>
    <x v="1"/>
    <x v="1"/>
    <d v="2024-03-04T00:00:00"/>
    <s v="Monthly"/>
    <d v="2024-06-09T00:00:00"/>
    <x v="1"/>
    <n v="44327"/>
    <n v="6558"/>
    <n v="39"/>
    <d v="2024-07-18T00:00:00"/>
    <x v="0"/>
    <x v="0"/>
    <x v="2"/>
    <n v="6.7591999999999999"/>
    <n v="97"/>
    <n v="2024"/>
    <s v="June"/>
  </r>
  <r>
    <s v="DINS-CLM-100342"/>
    <s v="DINS-CUS-500342"/>
    <s v="DINS-POL-200342"/>
    <x v="0"/>
    <x v="1"/>
    <x v="4"/>
    <x v="1"/>
    <x v="6"/>
    <d v="2024-06-02T00:00:00"/>
    <s v="Monthly"/>
    <d v="2024-11-05T00:00:00"/>
    <x v="2"/>
    <n v="9090"/>
    <n v="6283"/>
    <s v="N/A - Not Settled"/>
    <s v="N/A - Not Settled"/>
    <x v="0"/>
    <x v="0"/>
    <x v="1"/>
    <n v="1.4468000000000001"/>
    <n v="156"/>
    <n v="2024"/>
    <s v="November"/>
  </r>
  <r>
    <s v="DINS-CLM-100343"/>
    <s v="DINS-CUS-500343"/>
    <s v="DINS-POL-200343"/>
    <x v="2"/>
    <x v="2"/>
    <x v="3"/>
    <x v="1"/>
    <x v="7"/>
    <d v="2024-04-18T00:00:00"/>
    <s v="Annual"/>
    <d v="2024-05-19T00:00:00"/>
    <x v="1"/>
    <n v="25003"/>
    <n v="6759"/>
    <n v="17"/>
    <d v="2024-06-05T00:00:00"/>
    <x v="0"/>
    <x v="0"/>
    <x v="1"/>
    <n v="3.6991999999999998"/>
    <n v="31"/>
    <n v="2024"/>
    <s v="May"/>
  </r>
  <r>
    <s v="DINS-CLM-100344"/>
    <s v="DINS-CUS-500344"/>
    <s v="DINS-POL-200344"/>
    <x v="2"/>
    <x v="0"/>
    <x v="0"/>
    <x v="0"/>
    <x v="6"/>
    <d v="2023-12-04T00:00:00"/>
    <s v="Annual"/>
    <d v="2024-04-03T00:00:00"/>
    <x v="1"/>
    <n v="35899"/>
    <n v="4092"/>
    <n v="4"/>
    <d v="2024-04-07T00:00:00"/>
    <x v="0"/>
    <x v="0"/>
    <x v="1"/>
    <n v="8.7729999999999997"/>
    <n v="121"/>
    <n v="2024"/>
    <s v="April"/>
  </r>
  <r>
    <s v="DINS-CLM-100345"/>
    <s v="DINS-CUS-500345"/>
    <s v="DINS-POL-200345"/>
    <x v="2"/>
    <x v="2"/>
    <x v="5"/>
    <x v="1"/>
    <x v="4"/>
    <d v="2023-11-30T00:00:00"/>
    <s v="Annual"/>
    <d v="2024-01-30T00:00:00"/>
    <x v="1"/>
    <n v="21214"/>
    <n v="1898"/>
    <n v="26"/>
    <d v="2024-02-25T00:00:00"/>
    <x v="0"/>
    <x v="0"/>
    <x v="2"/>
    <n v="11.177"/>
    <n v="61"/>
    <n v="2024"/>
    <s v="January"/>
  </r>
  <r>
    <s v="DINS-CLM-100346"/>
    <s v="DINS-CUS-500346"/>
    <s v="DINS-POL-200346"/>
    <x v="0"/>
    <x v="1"/>
    <x v="0"/>
    <x v="0"/>
    <x v="5"/>
    <d v="2023-08-22T00:00:00"/>
    <s v="Monthly"/>
    <d v="2024-07-10T00:00:00"/>
    <x v="1"/>
    <n v="13827"/>
    <n v="2179"/>
    <n v="28"/>
    <d v="2024-08-07T00:00:00"/>
    <x v="0"/>
    <x v="0"/>
    <x v="2"/>
    <n v="6.3456000000000001"/>
    <n v="323"/>
    <n v="2024"/>
    <s v="July"/>
  </r>
  <r>
    <s v="DINS-CLM-100347"/>
    <s v="DINS-CUS-500347"/>
    <s v="DINS-POL-200347"/>
    <x v="0"/>
    <x v="2"/>
    <x v="3"/>
    <x v="1"/>
    <x v="2"/>
    <d v="2023-07-16T00:00:00"/>
    <s v="Monthly"/>
    <d v="2024-02-05T00:00:00"/>
    <x v="1"/>
    <n v="21665"/>
    <n v="4387"/>
    <n v="33"/>
    <d v="2024-03-09T00:00:00"/>
    <x v="0"/>
    <x v="0"/>
    <x v="2"/>
    <n v="4.9385000000000003"/>
    <n v="204"/>
    <n v="2024"/>
    <s v="February"/>
  </r>
  <r>
    <s v="DINS-CLM-100348"/>
    <s v="DINS-CUS-500348"/>
    <s v="DINS-POL-200348"/>
    <x v="1"/>
    <x v="1"/>
    <x v="2"/>
    <x v="1"/>
    <x v="2"/>
    <d v="2024-01-03T00:00:00"/>
    <s v="Annual"/>
    <d v="2024-06-08T00:00:00"/>
    <x v="2"/>
    <n v="37332"/>
    <n v="3415"/>
    <s v="N/A - Not Settled"/>
    <s v="N/A - Not Settled"/>
    <x v="1"/>
    <x v="0"/>
    <x v="2"/>
    <n v="10.931800000000001"/>
    <n v="157"/>
    <n v="2024"/>
    <s v="June"/>
  </r>
  <r>
    <s v="DINS-CLM-100349"/>
    <s v="DINS-CUS-500349"/>
    <s v="DINS-POL-200349"/>
    <x v="0"/>
    <x v="2"/>
    <x v="3"/>
    <x v="1"/>
    <x v="7"/>
    <d v="2023-04-17T00:00:00"/>
    <s v="Monthly"/>
    <d v="2024-02-25T00:00:00"/>
    <x v="1"/>
    <n v="28591"/>
    <n v="5333"/>
    <n v="8"/>
    <d v="2024-03-04T00:00:00"/>
    <x v="0"/>
    <x v="0"/>
    <x v="1"/>
    <n v="5.3611000000000004"/>
    <n v="314"/>
    <n v="2024"/>
    <s v="February"/>
  </r>
  <r>
    <s v="DINS-CLM-100350"/>
    <s v="DINS-CUS-500350"/>
    <s v="DINS-POL-200350"/>
    <x v="0"/>
    <x v="0"/>
    <x v="2"/>
    <x v="0"/>
    <x v="0"/>
    <d v="2023-09-27T00:00:00"/>
    <s v="Annual"/>
    <d v="2024-07-08T00:00:00"/>
    <x v="1"/>
    <n v="54459"/>
    <n v="3326"/>
    <n v="29"/>
    <d v="2024-08-06T00:00:00"/>
    <x v="0"/>
    <x v="0"/>
    <x v="1"/>
    <n v="16.373699999999999"/>
    <n v="285"/>
    <n v="2024"/>
    <s v="July"/>
  </r>
  <r>
    <s v="DINS-CLM-100351"/>
    <s v="DINS-CUS-500351"/>
    <s v="DINS-POL-200351"/>
    <x v="2"/>
    <x v="0"/>
    <x v="5"/>
    <x v="0"/>
    <x v="6"/>
    <d v="2023-06-10T00:00:00"/>
    <s v="Annual"/>
    <d v="2024-05-05T00:00:00"/>
    <x v="0"/>
    <n v="13391"/>
    <n v="6760"/>
    <s v="N/A - Not Settled"/>
    <s v="N/A - Not Settled"/>
    <x v="0"/>
    <x v="0"/>
    <x v="2"/>
    <n v="1.9809000000000001"/>
    <n v="330"/>
    <n v="2024"/>
    <s v="May"/>
  </r>
  <r>
    <s v="DINS-CLM-100352"/>
    <s v="DINS-CUS-500352"/>
    <s v="DINS-POL-200352"/>
    <x v="2"/>
    <x v="1"/>
    <x v="4"/>
    <x v="1"/>
    <x v="7"/>
    <d v="2023-12-18T00:00:00"/>
    <s v="Monthly"/>
    <d v="2024-10-21T00:00:00"/>
    <x v="2"/>
    <n v="20377"/>
    <n v="6369"/>
    <s v="N/A - Not Settled"/>
    <s v="N/A - Not Settled"/>
    <x v="0"/>
    <x v="0"/>
    <x v="0"/>
    <n v="3.1993999999999998"/>
    <n v="308"/>
    <n v="2024"/>
    <s v="October"/>
  </r>
  <r>
    <s v="DINS-CLM-100353"/>
    <s v="DINS-CUS-500353"/>
    <s v="DINS-POL-200353"/>
    <x v="0"/>
    <x v="0"/>
    <x v="5"/>
    <x v="2"/>
    <x v="3"/>
    <d v="2024-02-05T00:00:00"/>
    <s v="Monthly"/>
    <d v="2024-05-03T00:00:00"/>
    <x v="2"/>
    <n v="41358"/>
    <n v="6763"/>
    <s v="N/A - Not Settled"/>
    <s v="N/A - Not Settled"/>
    <x v="0"/>
    <x v="0"/>
    <x v="0"/>
    <n v="6.1153000000000004"/>
    <n v="88"/>
    <n v="2024"/>
    <s v="May"/>
  </r>
  <r>
    <s v="DINS-CLM-100354"/>
    <s v="DINS-CUS-500354"/>
    <s v="DINS-POL-200354"/>
    <x v="4"/>
    <x v="0"/>
    <x v="5"/>
    <x v="1"/>
    <x v="1"/>
    <d v="2023-10-18T00:00:00"/>
    <s v="Monthly"/>
    <d v="2024-09-02T00:00:00"/>
    <x v="1"/>
    <n v="17495"/>
    <n v="2715"/>
    <n v="8"/>
    <d v="2024-09-10T00:00:00"/>
    <x v="0"/>
    <x v="0"/>
    <x v="1"/>
    <n v="6.4438000000000004"/>
    <n v="320"/>
    <n v="2024"/>
    <s v="September"/>
  </r>
  <r>
    <s v="DINS-CLM-100355"/>
    <s v="DINS-CUS-500355"/>
    <s v="DINS-POL-200355"/>
    <x v="1"/>
    <x v="0"/>
    <x v="2"/>
    <x v="2"/>
    <x v="2"/>
    <d v="2023-07-12T00:00:00"/>
    <s v="Annual"/>
    <d v="2024-04-16T00:00:00"/>
    <x v="1"/>
    <n v="21765"/>
    <n v="5972"/>
    <n v="30"/>
    <d v="2024-05-16T00:00:00"/>
    <x v="0"/>
    <x v="0"/>
    <x v="0"/>
    <n v="3.6444999999999999"/>
    <n v="279"/>
    <n v="2024"/>
    <s v="April"/>
  </r>
  <r>
    <s v="DINS-CLM-100356"/>
    <s v="DINS-CUS-500356"/>
    <s v="DINS-POL-200356"/>
    <x v="5"/>
    <x v="2"/>
    <x v="5"/>
    <x v="2"/>
    <x v="5"/>
    <d v="2023-06-08T00:00:00"/>
    <s v="Annual"/>
    <d v="2024-05-05T00:00:00"/>
    <x v="2"/>
    <n v="14783"/>
    <n v="1460"/>
    <s v="N/A - Not Settled"/>
    <s v="N/A - Not Settled"/>
    <x v="0"/>
    <x v="0"/>
    <x v="0"/>
    <n v="10.125299999999999"/>
    <n v="332"/>
    <n v="2024"/>
    <s v="May"/>
  </r>
  <r>
    <s v="DINS-CLM-100357"/>
    <s v="DINS-CUS-500357"/>
    <s v="DINS-POL-200357"/>
    <x v="3"/>
    <x v="2"/>
    <x v="4"/>
    <x v="2"/>
    <x v="3"/>
    <d v="2024-02-10T00:00:00"/>
    <s v="Annual"/>
    <d v="2024-09-05T00:00:00"/>
    <x v="1"/>
    <n v="72064"/>
    <n v="8938"/>
    <n v="30"/>
    <d v="2024-10-05T00:00:00"/>
    <x v="1"/>
    <x v="0"/>
    <x v="0"/>
    <n v="8.0626999999999995"/>
    <n v="208"/>
    <n v="2024"/>
    <s v="September"/>
  </r>
  <r>
    <s v="DINS-CLM-100358"/>
    <s v="DINS-CUS-500358"/>
    <s v="DINS-POL-200358"/>
    <x v="5"/>
    <x v="0"/>
    <x v="4"/>
    <x v="2"/>
    <x v="6"/>
    <d v="2024-03-12T00:00:00"/>
    <s v="Annual"/>
    <d v="2024-05-17T00:00:00"/>
    <x v="0"/>
    <n v="72470"/>
    <n v="6252"/>
    <s v="N/A - Not Settled"/>
    <s v="N/A - Not Settled"/>
    <x v="0"/>
    <x v="0"/>
    <x v="2"/>
    <n v="11.5915"/>
    <n v="66"/>
    <n v="2024"/>
    <s v="May"/>
  </r>
  <r>
    <s v="DINS-CLM-100359"/>
    <s v="DINS-CUS-500359"/>
    <s v="DINS-POL-200359"/>
    <x v="2"/>
    <x v="1"/>
    <x v="3"/>
    <x v="0"/>
    <x v="5"/>
    <d v="2023-03-29T00:00:00"/>
    <s v="Monthly"/>
    <d v="2024-02-07T00:00:00"/>
    <x v="1"/>
    <n v="18296"/>
    <n v="3412"/>
    <n v="17"/>
    <d v="2024-02-24T00:00:00"/>
    <x v="0"/>
    <x v="0"/>
    <x v="0"/>
    <n v="5.3623000000000003"/>
    <n v="315"/>
    <n v="2024"/>
    <s v="February"/>
  </r>
  <r>
    <s v="DINS-CLM-100360"/>
    <s v="DINS-CUS-500360"/>
    <s v="DINS-POL-200360"/>
    <x v="3"/>
    <x v="1"/>
    <x v="3"/>
    <x v="0"/>
    <x v="6"/>
    <d v="2023-04-24T00:00:00"/>
    <s v="Monthly"/>
    <d v="2024-04-09T00:00:00"/>
    <x v="1"/>
    <n v="57522"/>
    <n v="5516"/>
    <n v="24"/>
    <d v="2024-05-03T00:00:00"/>
    <x v="0"/>
    <x v="0"/>
    <x v="2"/>
    <n v="10.4282"/>
    <n v="351"/>
    <n v="2024"/>
    <s v="April"/>
  </r>
  <r>
    <s v="DINS-CLM-100361"/>
    <s v="DINS-CUS-500361"/>
    <s v="DINS-POL-200361"/>
    <x v="0"/>
    <x v="0"/>
    <x v="3"/>
    <x v="1"/>
    <x v="2"/>
    <d v="2024-01-03T00:00:00"/>
    <s v="Annual"/>
    <d v="2024-03-13T00:00:00"/>
    <x v="1"/>
    <n v="39152"/>
    <n v="3727"/>
    <n v="43"/>
    <d v="2024-04-25T00:00:00"/>
    <x v="1"/>
    <x v="1"/>
    <x v="0"/>
    <n v="10.505000000000001"/>
    <n v="70"/>
    <n v="2024"/>
    <s v="March"/>
  </r>
  <r>
    <s v="DINS-CLM-100362"/>
    <s v="DINS-CUS-500362"/>
    <s v="DINS-POL-200362"/>
    <x v="3"/>
    <x v="0"/>
    <x v="2"/>
    <x v="2"/>
    <x v="5"/>
    <d v="2023-11-22T00:00:00"/>
    <s v="Annual"/>
    <d v="2024-06-17T00:00:00"/>
    <x v="0"/>
    <n v="26262"/>
    <n v="1361"/>
    <s v="N/A - Not Settled"/>
    <s v="N/A - Not Settled"/>
    <x v="1"/>
    <x v="0"/>
    <x v="1"/>
    <n v="19.296099999999999"/>
    <n v="208"/>
    <n v="2024"/>
    <s v="June"/>
  </r>
  <r>
    <s v="DINS-CLM-100363"/>
    <s v="DINS-CUS-500363"/>
    <s v="DINS-POL-200363"/>
    <x v="2"/>
    <x v="2"/>
    <x v="0"/>
    <x v="2"/>
    <x v="5"/>
    <d v="2023-11-14T00:00:00"/>
    <s v="Monthly"/>
    <d v="2024-05-13T00:00:00"/>
    <x v="1"/>
    <n v="12722"/>
    <n v="3892"/>
    <n v="41"/>
    <d v="2024-06-23T00:00:00"/>
    <x v="0"/>
    <x v="0"/>
    <x v="0"/>
    <n v="3.2688000000000001"/>
    <n v="181"/>
    <n v="2024"/>
    <s v="May"/>
  </r>
  <r>
    <s v="DINS-CLM-100364"/>
    <s v="DINS-CUS-500364"/>
    <s v="DINS-POL-200364"/>
    <x v="1"/>
    <x v="2"/>
    <x v="2"/>
    <x v="2"/>
    <x v="7"/>
    <d v="2023-10-19T00:00:00"/>
    <s v="Monthly"/>
    <d v="2024-01-09T00:00:00"/>
    <x v="1"/>
    <n v="41589"/>
    <n v="7692"/>
    <n v="38"/>
    <d v="2024-02-16T00:00:00"/>
    <x v="1"/>
    <x v="0"/>
    <x v="1"/>
    <n v="5.4067999999999996"/>
    <n v="82"/>
    <n v="2024"/>
    <s v="January"/>
  </r>
  <r>
    <s v="DINS-CLM-100365"/>
    <s v="DINS-CUS-500365"/>
    <s v="DINS-POL-200365"/>
    <x v="4"/>
    <x v="2"/>
    <x v="4"/>
    <x v="0"/>
    <x v="5"/>
    <d v="2023-03-15T00:00:00"/>
    <s v="Monthly"/>
    <d v="2024-01-09T00:00:00"/>
    <x v="1"/>
    <n v="13445"/>
    <n v="4139"/>
    <n v="20"/>
    <d v="2024-01-29T00:00:00"/>
    <x v="0"/>
    <x v="0"/>
    <x v="0"/>
    <n v="3.2484000000000002"/>
    <n v="300"/>
    <n v="2024"/>
    <s v="January"/>
  </r>
  <r>
    <s v="DINS-CLM-100366"/>
    <s v="DINS-CUS-500366"/>
    <s v="DINS-POL-200366"/>
    <x v="0"/>
    <x v="2"/>
    <x v="1"/>
    <x v="2"/>
    <x v="5"/>
    <d v="2024-01-03T00:00:00"/>
    <s v="Annual"/>
    <d v="2024-12-10T00:00:00"/>
    <x v="1"/>
    <n v="32112"/>
    <n v="7713"/>
    <n v="40"/>
    <d v="2025-01-19T00:00:00"/>
    <x v="0"/>
    <x v="0"/>
    <x v="2"/>
    <n v="4.1634000000000002"/>
    <n v="342"/>
    <n v="2024"/>
    <s v="December"/>
  </r>
  <r>
    <s v="DINS-CLM-100367"/>
    <s v="DINS-CUS-500367"/>
    <s v="DINS-POL-200367"/>
    <x v="0"/>
    <x v="1"/>
    <x v="4"/>
    <x v="2"/>
    <x v="5"/>
    <d v="2023-07-03T00:00:00"/>
    <s v="Annual"/>
    <d v="2024-05-14T00:00:00"/>
    <x v="1"/>
    <n v="30178"/>
    <n v="4916"/>
    <n v="27"/>
    <d v="2024-06-10T00:00:00"/>
    <x v="1"/>
    <x v="1"/>
    <x v="2"/>
    <n v="6.1387"/>
    <n v="316"/>
    <n v="2024"/>
    <s v="May"/>
  </r>
  <r>
    <s v="DINS-CLM-100368"/>
    <s v="DINS-CUS-500368"/>
    <s v="DINS-POL-200368"/>
    <x v="4"/>
    <x v="0"/>
    <x v="3"/>
    <x v="0"/>
    <x v="3"/>
    <d v="2023-12-02T00:00:00"/>
    <s v="Annual"/>
    <d v="2024-08-06T00:00:00"/>
    <x v="2"/>
    <n v="6445"/>
    <n v="7905"/>
    <s v="N/A - Not Settled"/>
    <s v="N/A - Not Settled"/>
    <x v="0"/>
    <x v="0"/>
    <x v="2"/>
    <n v="0.81530000000000002"/>
    <n v="248"/>
    <n v="2024"/>
    <s v="August"/>
  </r>
  <r>
    <s v="DINS-CLM-100369"/>
    <s v="DINS-CUS-500369"/>
    <s v="DINS-POL-200369"/>
    <x v="2"/>
    <x v="1"/>
    <x v="2"/>
    <x v="1"/>
    <x v="1"/>
    <d v="2023-05-07T00:00:00"/>
    <s v="Annual"/>
    <d v="2024-04-20T00:00:00"/>
    <x v="1"/>
    <n v="34514"/>
    <n v="7751"/>
    <n v="31"/>
    <d v="2024-05-21T00:00:00"/>
    <x v="0"/>
    <x v="0"/>
    <x v="0"/>
    <n v="4.4527999999999999"/>
    <n v="349"/>
    <n v="2024"/>
    <s v="April"/>
  </r>
  <r>
    <s v="DINS-CLM-100370"/>
    <s v="DINS-CUS-500370"/>
    <s v="DINS-POL-200370"/>
    <x v="0"/>
    <x v="1"/>
    <x v="2"/>
    <x v="0"/>
    <x v="7"/>
    <d v="2024-06-06T00:00:00"/>
    <s v="Annual"/>
    <d v="2024-09-12T00:00:00"/>
    <x v="1"/>
    <n v="22356"/>
    <n v="3251"/>
    <n v="37"/>
    <d v="2024-10-19T00:00:00"/>
    <x v="0"/>
    <x v="0"/>
    <x v="0"/>
    <n v="6.8766999999999996"/>
    <n v="98"/>
    <n v="2024"/>
    <s v="September"/>
  </r>
  <r>
    <s v="DINS-CLM-100371"/>
    <s v="DINS-CUS-500371"/>
    <s v="DINS-POL-200371"/>
    <x v="2"/>
    <x v="2"/>
    <x v="4"/>
    <x v="2"/>
    <x v="0"/>
    <d v="2023-11-29T00:00:00"/>
    <s v="Monthly"/>
    <d v="2024-09-12T00:00:00"/>
    <x v="0"/>
    <n v="9657"/>
    <n v="594"/>
    <s v="N/A - Not Settled"/>
    <s v="N/A - Not Settled"/>
    <x v="0"/>
    <x v="0"/>
    <x v="1"/>
    <n v="16.2576"/>
    <n v="288"/>
    <n v="2024"/>
    <s v="September"/>
  </r>
  <r>
    <s v="DINS-CLM-100372"/>
    <s v="DINS-CUS-500372"/>
    <s v="DINS-POL-200372"/>
    <x v="5"/>
    <x v="1"/>
    <x v="4"/>
    <x v="2"/>
    <x v="2"/>
    <d v="2023-05-15T00:00:00"/>
    <s v="Monthly"/>
    <d v="2024-03-17T00:00:00"/>
    <x v="1"/>
    <n v="47200"/>
    <n v="8088"/>
    <n v="14"/>
    <d v="2024-03-31T00:00:00"/>
    <x v="0"/>
    <x v="0"/>
    <x v="0"/>
    <n v="5.8357999999999999"/>
    <n v="307"/>
    <n v="2024"/>
    <s v="March"/>
  </r>
  <r>
    <s v="DINS-CLM-100373"/>
    <s v="DINS-CUS-500373"/>
    <s v="DINS-POL-200373"/>
    <x v="3"/>
    <x v="1"/>
    <x v="0"/>
    <x v="2"/>
    <x v="5"/>
    <d v="2023-08-03T00:00:00"/>
    <s v="Annual"/>
    <d v="2024-07-21T00:00:00"/>
    <x v="1"/>
    <n v="44588"/>
    <n v="2664"/>
    <n v="31"/>
    <d v="2024-08-21T00:00:00"/>
    <x v="0"/>
    <x v="0"/>
    <x v="2"/>
    <n v="16.737200000000001"/>
    <n v="353"/>
    <n v="2024"/>
    <s v="July"/>
  </r>
  <r>
    <s v="DINS-CLM-100374"/>
    <s v="DINS-CUS-500374"/>
    <s v="DINS-POL-200374"/>
    <x v="5"/>
    <x v="0"/>
    <x v="4"/>
    <x v="1"/>
    <x v="0"/>
    <d v="2023-05-11T00:00:00"/>
    <s v="Annual"/>
    <d v="2024-03-03T00:00:00"/>
    <x v="1"/>
    <n v="28976"/>
    <n v="4964"/>
    <n v="2"/>
    <d v="2024-03-05T00:00:00"/>
    <x v="1"/>
    <x v="0"/>
    <x v="1"/>
    <n v="5.8372000000000002"/>
    <n v="297"/>
    <n v="2024"/>
    <s v="March"/>
  </r>
  <r>
    <s v="DINS-CLM-100375"/>
    <s v="DINS-CUS-500375"/>
    <s v="DINS-POL-200375"/>
    <x v="1"/>
    <x v="0"/>
    <x v="5"/>
    <x v="0"/>
    <x v="1"/>
    <d v="2023-08-06T00:00:00"/>
    <s v="Monthly"/>
    <d v="2024-05-09T00:00:00"/>
    <x v="1"/>
    <n v="26937"/>
    <n v="1295"/>
    <n v="4"/>
    <d v="2024-05-13T00:00:00"/>
    <x v="0"/>
    <x v="0"/>
    <x v="0"/>
    <n v="20.800799999999999"/>
    <n v="277"/>
    <n v="2024"/>
    <s v="May"/>
  </r>
  <r>
    <s v="DINS-CLM-100376"/>
    <s v="DINS-CUS-500376"/>
    <s v="DINS-POL-200376"/>
    <x v="0"/>
    <x v="2"/>
    <x v="4"/>
    <x v="1"/>
    <x v="6"/>
    <d v="2024-05-20T00:00:00"/>
    <s v="Monthly"/>
    <d v="2024-09-27T00:00:00"/>
    <x v="1"/>
    <n v="18620"/>
    <n v="1407"/>
    <n v="28"/>
    <d v="2024-10-25T00:00:00"/>
    <x v="0"/>
    <x v="0"/>
    <x v="0"/>
    <n v="13.2338"/>
    <n v="130"/>
    <n v="2024"/>
    <s v="September"/>
  </r>
  <r>
    <s v="DINS-CLM-100377"/>
    <s v="DINS-CUS-500377"/>
    <s v="DINS-POL-200377"/>
    <x v="5"/>
    <x v="2"/>
    <x v="0"/>
    <x v="2"/>
    <x v="2"/>
    <d v="2024-05-12T00:00:00"/>
    <s v="Annual"/>
    <d v="2024-09-21T00:00:00"/>
    <x v="1"/>
    <n v="47613"/>
    <n v="750"/>
    <n v="25"/>
    <d v="2024-10-16T00:00:00"/>
    <x v="0"/>
    <x v="0"/>
    <x v="0"/>
    <n v="63.484000000000002"/>
    <n v="132"/>
    <n v="2024"/>
    <s v="September"/>
  </r>
  <r>
    <s v="DINS-CLM-100378"/>
    <s v="DINS-CUS-500378"/>
    <s v="DINS-POL-200378"/>
    <x v="0"/>
    <x v="0"/>
    <x v="3"/>
    <x v="2"/>
    <x v="0"/>
    <d v="2024-05-23T00:00:00"/>
    <s v="Annual"/>
    <d v="2024-09-04T00:00:00"/>
    <x v="1"/>
    <n v="51921"/>
    <n v="2694"/>
    <n v="34"/>
    <d v="2024-10-08T00:00:00"/>
    <x v="0"/>
    <x v="0"/>
    <x v="1"/>
    <n v="19.2728"/>
    <n v="104"/>
    <n v="2024"/>
    <s v="September"/>
  </r>
  <r>
    <s v="DINS-CLM-100379"/>
    <s v="DINS-CUS-500379"/>
    <s v="DINS-POL-200379"/>
    <x v="5"/>
    <x v="2"/>
    <x v="5"/>
    <x v="0"/>
    <x v="6"/>
    <d v="2024-01-21T00:00:00"/>
    <s v="Annual"/>
    <d v="2024-05-14T00:00:00"/>
    <x v="1"/>
    <n v="16284"/>
    <n v="3597"/>
    <n v="29"/>
    <d v="2024-06-12T00:00:00"/>
    <x v="0"/>
    <x v="0"/>
    <x v="0"/>
    <n v="4.5270999999999999"/>
    <n v="114"/>
    <n v="2024"/>
    <s v="May"/>
  </r>
  <r>
    <s v="DINS-CLM-100380"/>
    <s v="DINS-CUS-500380"/>
    <s v="DINS-POL-200380"/>
    <x v="2"/>
    <x v="2"/>
    <x v="4"/>
    <x v="1"/>
    <x v="7"/>
    <d v="2023-04-13T00:00:00"/>
    <s v="Annual"/>
    <d v="2024-02-05T00:00:00"/>
    <x v="1"/>
    <n v="13994"/>
    <n v="3204"/>
    <n v="3"/>
    <d v="2024-02-08T00:00:00"/>
    <x v="0"/>
    <x v="0"/>
    <x v="0"/>
    <n v="4.3677000000000001"/>
    <n v="298"/>
    <n v="2024"/>
    <s v="February"/>
  </r>
  <r>
    <s v="DINS-CLM-100381"/>
    <s v="DINS-CUS-500381"/>
    <s v="DINS-POL-200381"/>
    <x v="1"/>
    <x v="1"/>
    <x v="4"/>
    <x v="2"/>
    <x v="6"/>
    <d v="2023-05-24T00:00:00"/>
    <s v="Annual"/>
    <d v="2024-03-01T00:00:00"/>
    <x v="1"/>
    <n v="67716"/>
    <n v="6798"/>
    <n v="31"/>
    <d v="2024-04-01T00:00:00"/>
    <x v="0"/>
    <x v="0"/>
    <x v="0"/>
    <n v="9.9611999999999998"/>
    <n v="282"/>
    <n v="2024"/>
    <s v="March"/>
  </r>
  <r>
    <s v="DINS-CLM-100382"/>
    <s v="DINS-CUS-500382"/>
    <s v="DINS-POL-200382"/>
    <x v="3"/>
    <x v="0"/>
    <x v="3"/>
    <x v="1"/>
    <x v="0"/>
    <d v="2023-09-18T00:00:00"/>
    <s v="Annual"/>
    <d v="2024-07-17T00:00:00"/>
    <x v="1"/>
    <n v="20592"/>
    <n v="5667"/>
    <n v="30"/>
    <d v="2024-08-16T00:00:00"/>
    <x v="0"/>
    <x v="0"/>
    <x v="0"/>
    <n v="3.6337000000000002"/>
    <n v="303"/>
    <n v="2024"/>
    <s v="July"/>
  </r>
  <r>
    <s v="DINS-CLM-100383"/>
    <s v="DINS-CUS-500383"/>
    <s v="DINS-POL-200383"/>
    <x v="2"/>
    <x v="1"/>
    <x v="2"/>
    <x v="0"/>
    <x v="6"/>
    <d v="2023-07-27T00:00:00"/>
    <s v="Monthly"/>
    <d v="2024-07-17T00:00:00"/>
    <x v="1"/>
    <n v="38859"/>
    <n v="1938"/>
    <n v="44"/>
    <d v="2024-08-30T00:00:00"/>
    <x v="0"/>
    <x v="0"/>
    <x v="2"/>
    <n v="20.051100000000002"/>
    <n v="356"/>
    <n v="2024"/>
    <s v="July"/>
  </r>
  <r>
    <s v="DINS-CLM-100384"/>
    <s v="DINS-CUS-500384"/>
    <s v="DINS-POL-200384"/>
    <x v="3"/>
    <x v="2"/>
    <x v="5"/>
    <x v="2"/>
    <x v="0"/>
    <d v="2023-12-03T00:00:00"/>
    <s v="Annual"/>
    <d v="2024-08-27T00:00:00"/>
    <x v="1"/>
    <n v="87187"/>
    <n v="2604"/>
    <n v="10"/>
    <d v="2024-09-06T00:00:00"/>
    <x v="0"/>
    <x v="0"/>
    <x v="0"/>
    <n v="33.481999999999999"/>
    <n v="268"/>
    <n v="2024"/>
    <s v="August"/>
  </r>
  <r>
    <s v="DINS-CLM-100385"/>
    <s v="DINS-CUS-500385"/>
    <s v="DINS-POL-200385"/>
    <x v="0"/>
    <x v="2"/>
    <x v="5"/>
    <x v="1"/>
    <x v="5"/>
    <d v="2023-09-09T00:00:00"/>
    <s v="Monthly"/>
    <d v="2024-02-26T00:00:00"/>
    <x v="1"/>
    <n v="16844"/>
    <n v="6345"/>
    <n v="36"/>
    <d v="2024-04-02T00:00:00"/>
    <x v="0"/>
    <x v="0"/>
    <x v="0"/>
    <n v="2.6547000000000001"/>
    <n v="170"/>
    <n v="2024"/>
    <s v="February"/>
  </r>
  <r>
    <s v="DINS-CLM-100386"/>
    <s v="DINS-CUS-500386"/>
    <s v="DINS-POL-200386"/>
    <x v="0"/>
    <x v="1"/>
    <x v="1"/>
    <x v="0"/>
    <x v="2"/>
    <d v="2024-04-22T00:00:00"/>
    <s v="Monthly"/>
    <d v="2024-10-18T00:00:00"/>
    <x v="1"/>
    <n v="50996"/>
    <n v="5583"/>
    <n v="43"/>
    <d v="2024-11-30T00:00:00"/>
    <x v="0"/>
    <x v="0"/>
    <x v="1"/>
    <n v="9.1341999999999999"/>
    <n v="179"/>
    <n v="2024"/>
    <s v="October"/>
  </r>
  <r>
    <s v="DINS-CLM-100387"/>
    <s v="DINS-CUS-500387"/>
    <s v="DINS-POL-200387"/>
    <x v="1"/>
    <x v="1"/>
    <x v="1"/>
    <x v="0"/>
    <x v="0"/>
    <d v="2023-07-10T00:00:00"/>
    <s v="Monthly"/>
    <d v="2024-04-02T00:00:00"/>
    <x v="1"/>
    <n v="41215"/>
    <n v="8094"/>
    <n v="45"/>
    <d v="2024-05-17T00:00:00"/>
    <x v="0"/>
    <x v="0"/>
    <x v="2"/>
    <n v="5.0919999999999996"/>
    <n v="267"/>
    <n v="2024"/>
    <s v="April"/>
  </r>
  <r>
    <s v="DINS-CLM-100388"/>
    <s v="DINS-CUS-500388"/>
    <s v="DINS-POL-200388"/>
    <x v="4"/>
    <x v="2"/>
    <x v="0"/>
    <x v="2"/>
    <x v="4"/>
    <d v="2023-06-18T00:00:00"/>
    <s v="Monthly"/>
    <d v="2024-04-05T00:00:00"/>
    <x v="0"/>
    <n v="15308"/>
    <n v="1123"/>
    <s v="N/A - Not Settled"/>
    <s v="N/A - Not Settled"/>
    <x v="1"/>
    <x v="1"/>
    <x v="0"/>
    <n v="13.6313"/>
    <n v="292"/>
    <n v="2024"/>
    <s v="April"/>
  </r>
  <r>
    <s v="DINS-CLM-100389"/>
    <s v="DINS-CUS-500389"/>
    <s v="DINS-POL-200389"/>
    <x v="5"/>
    <x v="2"/>
    <x v="2"/>
    <x v="1"/>
    <x v="2"/>
    <d v="2023-11-07T00:00:00"/>
    <s v="Monthly"/>
    <d v="2024-08-08T00:00:00"/>
    <x v="1"/>
    <n v="30963"/>
    <n v="4388"/>
    <n v="4"/>
    <d v="2024-08-12T00:00:00"/>
    <x v="1"/>
    <x v="1"/>
    <x v="2"/>
    <n v="7.0563000000000002"/>
    <n v="275"/>
    <n v="2024"/>
    <s v="August"/>
  </r>
  <r>
    <s v="DINS-CLM-100390"/>
    <s v="DINS-CUS-500390"/>
    <s v="DINS-POL-200390"/>
    <x v="5"/>
    <x v="0"/>
    <x v="2"/>
    <x v="2"/>
    <x v="6"/>
    <d v="2023-11-26T00:00:00"/>
    <s v="Monthly"/>
    <d v="2024-03-05T00:00:00"/>
    <x v="0"/>
    <n v="22788"/>
    <n v="7983"/>
    <s v="N/A - Not Settled"/>
    <s v="N/A - Not Settled"/>
    <x v="0"/>
    <x v="0"/>
    <x v="0"/>
    <n v="2.8546"/>
    <n v="100"/>
    <n v="2024"/>
    <s v="March"/>
  </r>
  <r>
    <s v="DINS-CLM-100391"/>
    <s v="DINS-CUS-500391"/>
    <s v="DINS-POL-200391"/>
    <x v="5"/>
    <x v="0"/>
    <x v="3"/>
    <x v="1"/>
    <x v="3"/>
    <d v="2023-08-19T00:00:00"/>
    <s v="Annual"/>
    <d v="2024-03-01T00:00:00"/>
    <x v="2"/>
    <n v="54976"/>
    <n v="2965"/>
    <s v="N/A - Not Settled"/>
    <s v="N/A - Not Settled"/>
    <x v="0"/>
    <x v="0"/>
    <x v="0"/>
    <n v="18.541699999999999"/>
    <n v="195"/>
    <n v="2024"/>
    <s v="March"/>
  </r>
  <r>
    <s v="DINS-CLM-100392"/>
    <s v="DINS-CUS-500392"/>
    <s v="DINS-POL-200392"/>
    <x v="2"/>
    <x v="0"/>
    <x v="0"/>
    <x v="2"/>
    <x v="5"/>
    <d v="2023-03-01T00:00:00"/>
    <s v="Annual"/>
    <d v="2024-02-12T00:00:00"/>
    <x v="0"/>
    <n v="15401"/>
    <n v="8807"/>
    <s v="N/A - Not Settled"/>
    <s v="N/A - Not Settled"/>
    <x v="0"/>
    <x v="0"/>
    <x v="2"/>
    <n v="1.7486999999999999"/>
    <n v="348"/>
    <n v="2024"/>
    <s v="February"/>
  </r>
  <r>
    <s v="DINS-CLM-100393"/>
    <s v="DINS-CUS-500393"/>
    <s v="DINS-POL-200393"/>
    <x v="1"/>
    <x v="0"/>
    <x v="2"/>
    <x v="0"/>
    <x v="7"/>
    <d v="2023-11-13T00:00:00"/>
    <s v="Monthly"/>
    <d v="2024-11-07T00:00:00"/>
    <x v="2"/>
    <n v="40538"/>
    <n v="6766"/>
    <s v="N/A - Not Settled"/>
    <s v="N/A - Not Settled"/>
    <x v="0"/>
    <x v="0"/>
    <x v="2"/>
    <n v="5.9913999999999996"/>
    <n v="360"/>
    <n v="2024"/>
    <s v="November"/>
  </r>
  <r>
    <s v="DINS-CLM-100394"/>
    <s v="DINS-CUS-500394"/>
    <s v="DINS-POL-200394"/>
    <x v="0"/>
    <x v="2"/>
    <x v="1"/>
    <x v="0"/>
    <x v="6"/>
    <d v="2024-05-02T00:00:00"/>
    <s v="Monthly"/>
    <d v="2024-10-11T00:00:00"/>
    <x v="1"/>
    <n v="50693"/>
    <n v="5076"/>
    <n v="10"/>
    <d v="2024-10-21T00:00:00"/>
    <x v="0"/>
    <x v="0"/>
    <x v="0"/>
    <n v="9.9868000000000006"/>
    <n v="162"/>
    <n v="2024"/>
    <s v="October"/>
  </r>
  <r>
    <s v="DINS-CLM-100395"/>
    <s v="DINS-CUS-500395"/>
    <s v="DINS-POL-200395"/>
    <x v="5"/>
    <x v="1"/>
    <x v="2"/>
    <x v="2"/>
    <x v="4"/>
    <d v="2023-11-13T00:00:00"/>
    <s v="Monthly"/>
    <d v="2024-02-27T00:00:00"/>
    <x v="2"/>
    <n v="47392"/>
    <n v="667"/>
    <s v="N/A - Not Settled"/>
    <s v="N/A - Not Settled"/>
    <x v="1"/>
    <x v="0"/>
    <x v="0"/>
    <n v="71.052499999999995"/>
    <n v="106"/>
    <n v="2024"/>
    <s v="February"/>
  </r>
  <r>
    <s v="DINS-CLM-100396"/>
    <s v="DINS-CUS-500396"/>
    <s v="DINS-POL-200396"/>
    <x v="5"/>
    <x v="2"/>
    <x v="5"/>
    <x v="1"/>
    <x v="6"/>
    <d v="2024-05-23T00:00:00"/>
    <s v="Annual"/>
    <d v="2024-11-21T00:00:00"/>
    <x v="2"/>
    <n v="29218"/>
    <n v="8599"/>
    <s v="N/A - Not Settled"/>
    <s v="N/A - Not Settled"/>
    <x v="0"/>
    <x v="0"/>
    <x v="0"/>
    <n v="3.3978000000000002"/>
    <n v="182"/>
    <n v="2024"/>
    <s v="November"/>
  </r>
  <r>
    <s v="DINS-CLM-100397"/>
    <s v="DINS-CUS-500397"/>
    <s v="DINS-POL-200397"/>
    <x v="0"/>
    <x v="2"/>
    <x v="3"/>
    <x v="0"/>
    <x v="4"/>
    <d v="2023-11-28T00:00:00"/>
    <s v="Annual"/>
    <d v="2024-06-06T00:00:00"/>
    <x v="1"/>
    <n v="15109"/>
    <n v="2757"/>
    <n v="42"/>
    <d v="2024-07-18T00:00:00"/>
    <x v="0"/>
    <x v="0"/>
    <x v="0"/>
    <n v="5.4802"/>
    <n v="191"/>
    <n v="2024"/>
    <s v="June"/>
  </r>
  <r>
    <s v="DINS-CLM-100398"/>
    <s v="DINS-CUS-500398"/>
    <s v="DINS-POL-200398"/>
    <x v="3"/>
    <x v="1"/>
    <x v="0"/>
    <x v="1"/>
    <x v="6"/>
    <d v="2024-04-26T00:00:00"/>
    <s v="Monthly"/>
    <d v="2024-06-10T00:00:00"/>
    <x v="1"/>
    <n v="35695"/>
    <n v="8410"/>
    <n v="38"/>
    <d v="2024-07-18T00:00:00"/>
    <x v="0"/>
    <x v="0"/>
    <x v="1"/>
    <n v="4.2443999999999997"/>
    <n v="45"/>
    <n v="2024"/>
    <s v="June"/>
  </r>
  <r>
    <s v="DINS-CLM-100399"/>
    <s v="DINS-CUS-500399"/>
    <s v="DINS-POL-200399"/>
    <x v="0"/>
    <x v="0"/>
    <x v="5"/>
    <x v="1"/>
    <x v="1"/>
    <d v="2024-06-12T00:00:00"/>
    <s v="Annual"/>
    <d v="2024-08-28T00:00:00"/>
    <x v="1"/>
    <n v="39465"/>
    <n v="4704"/>
    <n v="9"/>
    <d v="2024-09-06T00:00:00"/>
    <x v="0"/>
    <x v="0"/>
    <x v="0"/>
    <n v="8.3896999999999995"/>
    <n v="77"/>
    <n v="2024"/>
    <s v="August"/>
  </r>
  <r>
    <s v="DINS-CLM-100400"/>
    <s v="DINS-CUS-500400"/>
    <s v="DINS-POL-200400"/>
    <x v="0"/>
    <x v="2"/>
    <x v="5"/>
    <x v="1"/>
    <x v="6"/>
    <d v="2024-01-21T00:00:00"/>
    <s v="Annual"/>
    <d v="2024-10-14T00:00:00"/>
    <x v="1"/>
    <n v="31220"/>
    <n v="2798"/>
    <n v="45"/>
    <d v="2024-11-28T00:00:00"/>
    <x v="0"/>
    <x v="0"/>
    <x v="1"/>
    <n v="11.157999999999999"/>
    <n v="267"/>
    <n v="2024"/>
    <s v="October"/>
  </r>
  <r>
    <s v="DINS-CLM-100401"/>
    <s v="DINS-CUS-500401"/>
    <s v="DINS-POL-200401"/>
    <x v="0"/>
    <x v="2"/>
    <x v="4"/>
    <x v="1"/>
    <x v="7"/>
    <d v="2023-03-22T00:00:00"/>
    <s v="Annual"/>
    <d v="2024-03-16T00:00:00"/>
    <x v="0"/>
    <n v="5476"/>
    <n v="2702"/>
    <s v="N/A - Not Settled"/>
    <s v="N/A - Not Settled"/>
    <x v="0"/>
    <x v="0"/>
    <x v="0"/>
    <n v="2.0266000000000002"/>
    <n v="360"/>
    <n v="2024"/>
    <s v="March"/>
  </r>
  <r>
    <s v="DINS-CLM-100402"/>
    <s v="DINS-CUS-500402"/>
    <s v="DINS-POL-200402"/>
    <x v="1"/>
    <x v="2"/>
    <x v="4"/>
    <x v="1"/>
    <x v="5"/>
    <d v="2023-03-11T00:00:00"/>
    <s v="Monthly"/>
    <d v="2024-03-07T00:00:00"/>
    <x v="0"/>
    <n v="28175"/>
    <n v="5134"/>
    <s v="N/A - Not Settled"/>
    <s v="N/A - Not Settled"/>
    <x v="0"/>
    <x v="0"/>
    <x v="1"/>
    <n v="5.4878999999999998"/>
    <n v="362"/>
    <n v="2024"/>
    <s v="March"/>
  </r>
  <r>
    <s v="DINS-CLM-100403"/>
    <s v="DINS-CUS-500403"/>
    <s v="DINS-POL-200403"/>
    <x v="2"/>
    <x v="0"/>
    <x v="3"/>
    <x v="1"/>
    <x v="7"/>
    <d v="2023-08-09T00:00:00"/>
    <s v="Annual"/>
    <d v="2024-03-16T00:00:00"/>
    <x v="1"/>
    <n v="11602"/>
    <n v="5994"/>
    <n v="45"/>
    <d v="2024-04-30T00:00:00"/>
    <x v="0"/>
    <x v="0"/>
    <x v="0"/>
    <n v="1.9356"/>
    <n v="220"/>
    <n v="2024"/>
    <s v="March"/>
  </r>
  <r>
    <s v="DINS-CLM-100404"/>
    <s v="DINS-CUS-500404"/>
    <s v="DINS-POL-200404"/>
    <x v="2"/>
    <x v="0"/>
    <x v="2"/>
    <x v="1"/>
    <x v="0"/>
    <d v="2023-11-11T00:00:00"/>
    <s v="Monthly"/>
    <d v="2024-03-26T00:00:00"/>
    <x v="1"/>
    <n v="38647"/>
    <n v="7832"/>
    <n v="4"/>
    <d v="2024-03-30T00:00:00"/>
    <x v="1"/>
    <x v="1"/>
    <x v="2"/>
    <n v="4.9344999999999999"/>
    <n v="136"/>
    <n v="2024"/>
    <s v="March"/>
  </r>
  <r>
    <s v="DINS-CLM-100405"/>
    <s v="DINS-CUS-500405"/>
    <s v="DINS-POL-200405"/>
    <x v="2"/>
    <x v="1"/>
    <x v="2"/>
    <x v="2"/>
    <x v="3"/>
    <d v="2023-08-26T00:00:00"/>
    <s v="Annual"/>
    <d v="2024-05-16T00:00:00"/>
    <x v="1"/>
    <n v="10242"/>
    <n v="6608"/>
    <n v="42"/>
    <d v="2024-06-27T00:00:00"/>
    <x v="0"/>
    <x v="0"/>
    <x v="2"/>
    <n v="1.5499000000000001"/>
    <n v="264"/>
    <n v="2024"/>
    <s v="May"/>
  </r>
  <r>
    <s v="DINS-CLM-100406"/>
    <s v="DINS-CUS-500406"/>
    <s v="DINS-POL-200406"/>
    <x v="0"/>
    <x v="0"/>
    <x v="2"/>
    <x v="2"/>
    <x v="7"/>
    <d v="2023-09-26T00:00:00"/>
    <s v="Monthly"/>
    <d v="2024-06-10T00:00:00"/>
    <x v="1"/>
    <n v="24076"/>
    <n v="5677"/>
    <n v="20"/>
    <d v="2024-06-30T00:00:00"/>
    <x v="1"/>
    <x v="1"/>
    <x v="1"/>
    <n v="4.2409999999999997"/>
    <n v="258"/>
    <n v="2024"/>
    <s v="June"/>
  </r>
  <r>
    <s v="DINS-CLM-100407"/>
    <s v="DINS-CUS-500407"/>
    <s v="DINS-POL-200407"/>
    <x v="0"/>
    <x v="1"/>
    <x v="3"/>
    <x v="1"/>
    <x v="3"/>
    <d v="2023-05-05T00:00:00"/>
    <s v="Monthly"/>
    <d v="2024-04-13T00:00:00"/>
    <x v="2"/>
    <n v="29372"/>
    <n v="1823"/>
    <s v="N/A - Not Settled"/>
    <s v="N/A - Not Settled"/>
    <x v="0"/>
    <x v="0"/>
    <x v="0"/>
    <n v="16.111899999999999"/>
    <n v="344"/>
    <n v="2024"/>
    <s v="April"/>
  </r>
  <r>
    <s v="DINS-CLM-100408"/>
    <s v="DINS-CUS-500408"/>
    <s v="DINS-POL-200408"/>
    <x v="0"/>
    <x v="0"/>
    <x v="4"/>
    <x v="1"/>
    <x v="2"/>
    <d v="2024-01-06T00:00:00"/>
    <s v="Annual"/>
    <d v="2024-08-24T00:00:00"/>
    <x v="1"/>
    <n v="44385"/>
    <n v="3478"/>
    <n v="6"/>
    <d v="2024-08-30T00:00:00"/>
    <x v="0"/>
    <x v="0"/>
    <x v="2"/>
    <n v="12.7616"/>
    <n v="231"/>
    <n v="2024"/>
    <s v="August"/>
  </r>
  <r>
    <s v="DINS-CLM-100409"/>
    <s v="DINS-CUS-500409"/>
    <s v="DINS-POL-200409"/>
    <x v="4"/>
    <x v="0"/>
    <x v="1"/>
    <x v="2"/>
    <x v="4"/>
    <d v="2024-08-31T00:00:00"/>
    <s v="Annual"/>
    <d v="2024-11-14T00:00:00"/>
    <x v="1"/>
    <n v="12971"/>
    <n v="1445"/>
    <n v="17"/>
    <d v="2024-12-01T00:00:00"/>
    <x v="0"/>
    <x v="0"/>
    <x v="0"/>
    <n v="8.9764999999999997"/>
    <n v="75"/>
    <n v="2024"/>
    <s v="November"/>
  </r>
  <r>
    <s v="DINS-CLM-100410"/>
    <s v="DINS-CUS-500410"/>
    <s v="DINS-POL-200410"/>
    <x v="3"/>
    <x v="2"/>
    <x v="2"/>
    <x v="2"/>
    <x v="5"/>
    <d v="2024-01-27T00:00:00"/>
    <s v="Annual"/>
    <d v="2024-05-12T00:00:00"/>
    <x v="1"/>
    <n v="98500"/>
    <n v="1716"/>
    <n v="13"/>
    <d v="2024-05-25T00:00:00"/>
    <x v="0"/>
    <x v="0"/>
    <x v="2"/>
    <n v="57.4009"/>
    <n v="106"/>
    <n v="2024"/>
    <s v="May"/>
  </r>
  <r>
    <s v="DINS-CLM-100411"/>
    <s v="DINS-CUS-500411"/>
    <s v="DINS-POL-200411"/>
    <x v="2"/>
    <x v="2"/>
    <x v="0"/>
    <x v="1"/>
    <x v="1"/>
    <d v="2024-01-22T00:00:00"/>
    <s v="Annual"/>
    <d v="2024-02-25T00:00:00"/>
    <x v="1"/>
    <n v="7694"/>
    <n v="3758"/>
    <n v="5"/>
    <d v="2024-03-01T00:00:00"/>
    <x v="1"/>
    <x v="0"/>
    <x v="2"/>
    <n v="2.0474000000000001"/>
    <n v="34"/>
    <n v="2024"/>
    <s v="February"/>
  </r>
  <r>
    <s v="DINS-CLM-100412"/>
    <s v="DINS-CUS-500412"/>
    <s v="DINS-POL-200412"/>
    <x v="1"/>
    <x v="2"/>
    <x v="3"/>
    <x v="1"/>
    <x v="3"/>
    <d v="2023-10-15T00:00:00"/>
    <s v="Annual"/>
    <d v="2024-05-14T00:00:00"/>
    <x v="1"/>
    <n v="11216"/>
    <n v="5728"/>
    <n v="8"/>
    <d v="2024-05-22T00:00:00"/>
    <x v="0"/>
    <x v="0"/>
    <x v="0"/>
    <n v="1.9581"/>
    <n v="212"/>
    <n v="2024"/>
    <s v="May"/>
  </r>
  <r>
    <s v="DINS-CLM-100413"/>
    <s v="DINS-CUS-500413"/>
    <s v="DINS-POL-200413"/>
    <x v="3"/>
    <x v="1"/>
    <x v="1"/>
    <x v="2"/>
    <x v="6"/>
    <d v="2024-07-23T00:00:00"/>
    <s v="Monthly"/>
    <d v="2024-09-01T00:00:00"/>
    <x v="1"/>
    <n v="99269"/>
    <n v="7376"/>
    <n v="23"/>
    <d v="2024-09-24T00:00:00"/>
    <x v="0"/>
    <x v="0"/>
    <x v="2"/>
    <n v="13.458399999999999"/>
    <n v="40"/>
    <n v="2024"/>
    <s v="September"/>
  </r>
  <r>
    <s v="DINS-CLM-100414"/>
    <s v="DINS-CUS-500414"/>
    <s v="DINS-POL-200414"/>
    <x v="0"/>
    <x v="0"/>
    <x v="1"/>
    <x v="2"/>
    <x v="0"/>
    <d v="2024-01-24T00:00:00"/>
    <s v="Annual"/>
    <d v="2024-05-30T00:00:00"/>
    <x v="0"/>
    <n v="49261"/>
    <n v="2376"/>
    <s v="N/A - Not Settled"/>
    <s v="N/A - Not Settled"/>
    <x v="0"/>
    <x v="0"/>
    <x v="0"/>
    <n v="20.732700000000001"/>
    <n v="127"/>
    <n v="2024"/>
    <s v="May"/>
  </r>
  <r>
    <s v="DINS-CLM-100415"/>
    <s v="DINS-CUS-500415"/>
    <s v="DINS-POL-200415"/>
    <x v="2"/>
    <x v="0"/>
    <x v="0"/>
    <x v="0"/>
    <x v="0"/>
    <d v="2023-07-03T00:00:00"/>
    <s v="Monthly"/>
    <d v="2024-01-20T00:00:00"/>
    <x v="1"/>
    <n v="26543"/>
    <n v="7501"/>
    <n v="41"/>
    <d v="2024-03-01T00:00:00"/>
    <x v="0"/>
    <x v="0"/>
    <x v="1"/>
    <n v="3.5386000000000002"/>
    <n v="201"/>
    <n v="2024"/>
    <s v="January"/>
  </r>
  <r>
    <s v="DINS-CLM-100416"/>
    <s v="DINS-CUS-500416"/>
    <s v="DINS-POL-200416"/>
    <x v="3"/>
    <x v="0"/>
    <x v="3"/>
    <x v="0"/>
    <x v="2"/>
    <d v="2024-02-21T00:00:00"/>
    <s v="Annual"/>
    <d v="2024-08-25T00:00:00"/>
    <x v="1"/>
    <n v="37688"/>
    <n v="2463"/>
    <n v="38"/>
    <d v="2024-10-02T00:00:00"/>
    <x v="0"/>
    <x v="0"/>
    <x v="2"/>
    <n v="15.3017"/>
    <n v="186"/>
    <n v="2024"/>
    <s v="August"/>
  </r>
  <r>
    <s v="DINS-CLM-100417"/>
    <s v="DINS-CUS-500417"/>
    <s v="DINS-POL-200417"/>
    <x v="0"/>
    <x v="2"/>
    <x v="0"/>
    <x v="0"/>
    <x v="5"/>
    <d v="2023-09-29T00:00:00"/>
    <s v="Annual"/>
    <d v="2024-03-13T00:00:00"/>
    <x v="1"/>
    <n v="36318"/>
    <n v="1911"/>
    <n v="41"/>
    <d v="2024-04-23T00:00:00"/>
    <x v="0"/>
    <x v="0"/>
    <x v="0"/>
    <n v="19.0047"/>
    <n v="166"/>
    <n v="2024"/>
    <s v="March"/>
  </r>
  <r>
    <s v="DINS-CLM-100418"/>
    <s v="DINS-CUS-500418"/>
    <s v="DINS-POL-200418"/>
    <x v="1"/>
    <x v="2"/>
    <x v="4"/>
    <x v="1"/>
    <x v="1"/>
    <d v="2023-04-11T00:00:00"/>
    <s v="Annual"/>
    <d v="2024-02-23T00:00:00"/>
    <x v="1"/>
    <n v="15609"/>
    <n v="5482"/>
    <n v="44"/>
    <d v="2024-04-07T00:00:00"/>
    <x v="0"/>
    <x v="0"/>
    <x v="2"/>
    <n v="2.8473000000000002"/>
    <n v="318"/>
    <n v="2024"/>
    <s v="February"/>
  </r>
  <r>
    <s v="DINS-CLM-100419"/>
    <s v="DINS-CUS-500419"/>
    <s v="DINS-POL-200419"/>
    <x v="4"/>
    <x v="1"/>
    <x v="1"/>
    <x v="2"/>
    <x v="1"/>
    <d v="2024-03-10T00:00:00"/>
    <s v="Annual"/>
    <d v="2024-08-16T00:00:00"/>
    <x v="0"/>
    <n v="16764"/>
    <n v="4615"/>
    <s v="N/A - Not Settled"/>
    <s v="N/A - Not Settled"/>
    <x v="0"/>
    <x v="0"/>
    <x v="2"/>
    <n v="3.6324999999999998"/>
    <n v="159"/>
    <n v="2024"/>
    <s v="August"/>
  </r>
  <r>
    <s v="DINS-CLM-100420"/>
    <s v="DINS-CUS-500420"/>
    <s v="DINS-POL-200420"/>
    <x v="2"/>
    <x v="1"/>
    <x v="5"/>
    <x v="0"/>
    <x v="2"/>
    <d v="2023-06-27T00:00:00"/>
    <s v="Annual"/>
    <d v="2024-05-16T00:00:00"/>
    <x v="1"/>
    <n v="21620"/>
    <n v="4313"/>
    <n v="44"/>
    <d v="2024-06-29T00:00:00"/>
    <x v="1"/>
    <x v="0"/>
    <x v="0"/>
    <n v="5.0128000000000004"/>
    <n v="324"/>
    <n v="2024"/>
    <s v="May"/>
  </r>
  <r>
    <s v="DINS-CLM-100421"/>
    <s v="DINS-CUS-500421"/>
    <s v="DINS-POL-200421"/>
    <x v="1"/>
    <x v="0"/>
    <x v="0"/>
    <x v="2"/>
    <x v="5"/>
    <d v="2023-02-22T00:00:00"/>
    <s v="Annual"/>
    <d v="2024-02-14T00:00:00"/>
    <x v="1"/>
    <n v="39473"/>
    <n v="4272"/>
    <n v="44"/>
    <d v="2024-03-29T00:00:00"/>
    <x v="0"/>
    <x v="0"/>
    <x v="1"/>
    <n v="9.2399000000000004"/>
    <n v="357"/>
    <n v="2024"/>
    <s v="February"/>
  </r>
  <r>
    <s v="DINS-CLM-100422"/>
    <s v="DINS-CUS-500422"/>
    <s v="DINS-POL-200422"/>
    <x v="2"/>
    <x v="1"/>
    <x v="5"/>
    <x v="1"/>
    <x v="1"/>
    <d v="2023-12-11T00:00:00"/>
    <s v="Annual"/>
    <d v="2024-02-03T00:00:00"/>
    <x v="1"/>
    <n v="12884"/>
    <n v="1717"/>
    <n v="35"/>
    <d v="2024-03-09T00:00:00"/>
    <x v="0"/>
    <x v="0"/>
    <x v="0"/>
    <n v="7.5038"/>
    <n v="54"/>
    <n v="2024"/>
    <s v="February"/>
  </r>
  <r>
    <s v="DINS-CLM-100423"/>
    <s v="DINS-CUS-500423"/>
    <s v="DINS-POL-200423"/>
    <x v="3"/>
    <x v="1"/>
    <x v="2"/>
    <x v="0"/>
    <x v="3"/>
    <d v="2024-07-04T00:00:00"/>
    <s v="Annual"/>
    <d v="2024-09-10T00:00:00"/>
    <x v="1"/>
    <n v="67953"/>
    <n v="872"/>
    <n v="7"/>
    <d v="2024-09-17T00:00:00"/>
    <x v="0"/>
    <x v="0"/>
    <x v="2"/>
    <n v="77.927800000000005"/>
    <n v="68"/>
    <n v="2024"/>
    <s v="September"/>
  </r>
  <r>
    <s v="DINS-CLM-100424"/>
    <s v="DINS-CUS-500424"/>
    <s v="DINS-POL-200424"/>
    <x v="0"/>
    <x v="0"/>
    <x v="0"/>
    <x v="0"/>
    <x v="1"/>
    <d v="2023-11-16T00:00:00"/>
    <s v="Annual"/>
    <d v="2024-02-17T00:00:00"/>
    <x v="1"/>
    <n v="46975"/>
    <n v="3741"/>
    <n v="5"/>
    <d v="2024-02-22T00:00:00"/>
    <x v="1"/>
    <x v="0"/>
    <x v="1"/>
    <n v="12.556800000000001"/>
    <n v="93"/>
    <n v="2024"/>
    <s v="February"/>
  </r>
  <r>
    <s v="DINS-CLM-100425"/>
    <s v="DINS-CUS-500425"/>
    <s v="DINS-POL-200425"/>
    <x v="2"/>
    <x v="1"/>
    <x v="5"/>
    <x v="1"/>
    <x v="1"/>
    <d v="2024-09-21T00:00:00"/>
    <s v="Monthly"/>
    <d v="2024-11-22T00:00:00"/>
    <x v="1"/>
    <n v="8209"/>
    <n v="3533"/>
    <n v="38"/>
    <d v="2024-12-30T00:00:00"/>
    <x v="1"/>
    <x v="0"/>
    <x v="2"/>
    <n v="2.3235000000000001"/>
    <n v="62"/>
    <n v="2024"/>
    <s v="November"/>
  </r>
  <r>
    <s v="DINS-CLM-100426"/>
    <s v="DINS-CUS-500426"/>
    <s v="DINS-POL-200426"/>
    <x v="0"/>
    <x v="1"/>
    <x v="1"/>
    <x v="1"/>
    <x v="5"/>
    <d v="2023-09-30T00:00:00"/>
    <s v="Monthly"/>
    <d v="2024-01-05T00:00:00"/>
    <x v="2"/>
    <n v="28889"/>
    <n v="5239"/>
    <s v="N/A - Not Settled"/>
    <s v="N/A - Not Settled"/>
    <x v="1"/>
    <x v="1"/>
    <x v="0"/>
    <n v="5.5141999999999998"/>
    <n v="97"/>
    <n v="2024"/>
    <s v="January"/>
  </r>
  <r>
    <s v="DINS-CLM-100427"/>
    <s v="DINS-CUS-500427"/>
    <s v="DINS-POL-200427"/>
    <x v="3"/>
    <x v="1"/>
    <x v="5"/>
    <x v="0"/>
    <x v="3"/>
    <d v="2024-08-04T00:00:00"/>
    <s v="Monthly"/>
    <d v="2024-12-03T00:00:00"/>
    <x v="1"/>
    <n v="32404"/>
    <n v="6890"/>
    <n v="6"/>
    <d v="2024-12-09T00:00:00"/>
    <x v="0"/>
    <x v="0"/>
    <x v="0"/>
    <n v="4.7030000000000003"/>
    <n v="121"/>
    <n v="2024"/>
    <s v="December"/>
  </r>
  <r>
    <s v="DINS-CLM-100428"/>
    <s v="DINS-CUS-500428"/>
    <s v="DINS-POL-200428"/>
    <x v="4"/>
    <x v="1"/>
    <x v="1"/>
    <x v="1"/>
    <x v="2"/>
    <d v="2023-06-28T00:00:00"/>
    <s v="Annual"/>
    <d v="2024-04-13T00:00:00"/>
    <x v="1"/>
    <n v="3786"/>
    <n v="8895"/>
    <n v="14"/>
    <d v="2024-04-27T00:00:00"/>
    <x v="1"/>
    <x v="0"/>
    <x v="0"/>
    <n v="0.42559999999999998"/>
    <n v="290"/>
    <n v="2024"/>
    <s v="April"/>
  </r>
  <r>
    <s v="DINS-CLM-100429"/>
    <s v="DINS-CUS-500429"/>
    <s v="DINS-POL-200429"/>
    <x v="1"/>
    <x v="1"/>
    <x v="4"/>
    <x v="2"/>
    <x v="5"/>
    <d v="2023-12-06T00:00:00"/>
    <s v="Annual"/>
    <d v="2024-08-31T00:00:00"/>
    <x v="0"/>
    <n v="45837"/>
    <n v="3343"/>
    <s v="N/A - Not Settled"/>
    <s v="N/A - Not Settled"/>
    <x v="0"/>
    <x v="0"/>
    <x v="2"/>
    <n v="13.7113"/>
    <n v="269"/>
    <n v="2024"/>
    <s v="August"/>
  </r>
  <r>
    <s v="DINS-CLM-100430"/>
    <s v="DINS-CUS-500430"/>
    <s v="DINS-POL-200430"/>
    <x v="0"/>
    <x v="1"/>
    <x v="4"/>
    <x v="0"/>
    <x v="2"/>
    <d v="2024-08-03T00:00:00"/>
    <s v="Monthly"/>
    <d v="2024-09-21T00:00:00"/>
    <x v="1"/>
    <n v="10447"/>
    <n v="8372"/>
    <n v="21"/>
    <d v="2024-10-12T00:00:00"/>
    <x v="0"/>
    <x v="0"/>
    <x v="0"/>
    <n v="1.2478"/>
    <n v="49"/>
    <n v="2024"/>
    <s v="September"/>
  </r>
  <r>
    <s v="DINS-CLM-100431"/>
    <s v="DINS-CUS-500431"/>
    <s v="DINS-POL-200431"/>
    <x v="0"/>
    <x v="1"/>
    <x v="1"/>
    <x v="1"/>
    <x v="4"/>
    <d v="2023-05-22T00:00:00"/>
    <s v="Monthly"/>
    <d v="2024-04-18T00:00:00"/>
    <x v="1"/>
    <n v="40117"/>
    <n v="1130"/>
    <n v="35"/>
    <d v="2024-05-23T00:00:00"/>
    <x v="0"/>
    <x v="0"/>
    <x v="2"/>
    <n v="35.501800000000003"/>
    <n v="332"/>
    <n v="2024"/>
    <s v="April"/>
  </r>
  <r>
    <s v="DINS-CLM-100432"/>
    <s v="DINS-CUS-500432"/>
    <s v="DINS-POL-200432"/>
    <x v="4"/>
    <x v="1"/>
    <x v="4"/>
    <x v="1"/>
    <x v="1"/>
    <d v="2023-11-11T00:00:00"/>
    <s v="Monthly"/>
    <d v="2024-04-04T00:00:00"/>
    <x v="1"/>
    <n v="17195"/>
    <n v="4422"/>
    <n v="20"/>
    <d v="2024-04-24T00:00:00"/>
    <x v="1"/>
    <x v="0"/>
    <x v="1"/>
    <n v="3.8885000000000001"/>
    <n v="145"/>
    <n v="2024"/>
    <s v="April"/>
  </r>
  <r>
    <s v="DINS-CLM-100433"/>
    <s v="DINS-CUS-500433"/>
    <s v="DINS-POL-200433"/>
    <x v="1"/>
    <x v="2"/>
    <x v="5"/>
    <x v="1"/>
    <x v="5"/>
    <d v="2023-09-08T00:00:00"/>
    <s v="Annual"/>
    <d v="2024-08-29T00:00:00"/>
    <x v="2"/>
    <n v="60244"/>
    <n v="4947"/>
    <s v="N/A - Not Settled"/>
    <s v="N/A - Not Settled"/>
    <x v="0"/>
    <x v="0"/>
    <x v="0"/>
    <n v="12.177899999999999"/>
    <n v="356"/>
    <n v="2024"/>
    <s v="August"/>
  </r>
  <r>
    <s v="DINS-CLM-100434"/>
    <s v="DINS-CUS-500434"/>
    <s v="DINS-POL-200434"/>
    <x v="1"/>
    <x v="0"/>
    <x v="2"/>
    <x v="1"/>
    <x v="1"/>
    <d v="2024-05-29T00:00:00"/>
    <s v="Monthly"/>
    <d v="2024-11-18T00:00:00"/>
    <x v="1"/>
    <n v="39506"/>
    <n v="2388"/>
    <n v="23"/>
    <d v="2024-12-11T00:00:00"/>
    <x v="0"/>
    <x v="0"/>
    <x v="0"/>
    <n v="16.543600000000001"/>
    <n v="173"/>
    <n v="2024"/>
    <s v="November"/>
  </r>
  <r>
    <s v="DINS-CLM-100435"/>
    <s v="DINS-CUS-500435"/>
    <s v="DINS-POL-200435"/>
    <x v="0"/>
    <x v="2"/>
    <x v="0"/>
    <x v="0"/>
    <x v="7"/>
    <d v="2023-12-22T00:00:00"/>
    <s v="Monthly"/>
    <d v="2024-09-29T00:00:00"/>
    <x v="1"/>
    <n v="59534"/>
    <n v="6398"/>
    <n v="7"/>
    <d v="2024-10-06T00:00:00"/>
    <x v="0"/>
    <x v="0"/>
    <x v="2"/>
    <n v="9.3050999999999995"/>
    <n v="282"/>
    <n v="2024"/>
    <s v="September"/>
  </r>
  <r>
    <s v="DINS-CLM-100436"/>
    <s v="DINS-CUS-500436"/>
    <s v="DINS-POL-200436"/>
    <x v="0"/>
    <x v="1"/>
    <x v="1"/>
    <x v="0"/>
    <x v="6"/>
    <d v="2024-06-24T00:00:00"/>
    <s v="Monthly"/>
    <d v="2024-11-05T00:00:00"/>
    <x v="0"/>
    <n v="33881"/>
    <n v="2159"/>
    <s v="N/A - Not Settled"/>
    <s v="N/A - Not Settled"/>
    <x v="0"/>
    <x v="0"/>
    <x v="2"/>
    <n v="15.6929"/>
    <n v="134"/>
    <n v="2024"/>
    <s v="November"/>
  </r>
  <r>
    <s v="DINS-CLM-100437"/>
    <s v="DINS-CUS-500437"/>
    <s v="DINS-POL-200437"/>
    <x v="1"/>
    <x v="0"/>
    <x v="3"/>
    <x v="1"/>
    <x v="4"/>
    <d v="2023-07-14T00:00:00"/>
    <s v="Annual"/>
    <d v="2024-04-27T00:00:00"/>
    <x v="1"/>
    <n v="52996"/>
    <n v="3795"/>
    <n v="8"/>
    <d v="2024-05-05T00:00:00"/>
    <x v="0"/>
    <x v="0"/>
    <x v="1"/>
    <n v="13.964700000000001"/>
    <n v="288"/>
    <n v="2024"/>
    <s v="April"/>
  </r>
  <r>
    <s v="DINS-CLM-100438"/>
    <s v="DINS-CUS-500438"/>
    <s v="DINS-POL-200438"/>
    <x v="3"/>
    <x v="0"/>
    <x v="5"/>
    <x v="0"/>
    <x v="5"/>
    <d v="2023-06-09T00:00:00"/>
    <s v="Monthly"/>
    <d v="2024-01-28T00:00:00"/>
    <x v="1"/>
    <n v="31059"/>
    <n v="1455"/>
    <n v="23"/>
    <d v="2024-02-20T00:00:00"/>
    <x v="0"/>
    <x v="0"/>
    <x v="2"/>
    <n v="21.346399999999999"/>
    <n v="233"/>
    <n v="2024"/>
    <s v="January"/>
  </r>
  <r>
    <s v="DINS-CLM-100439"/>
    <s v="DINS-CUS-500439"/>
    <s v="DINS-POL-200439"/>
    <x v="2"/>
    <x v="1"/>
    <x v="0"/>
    <x v="0"/>
    <x v="4"/>
    <d v="2023-02-22T00:00:00"/>
    <s v="Monthly"/>
    <d v="2024-01-10T00:00:00"/>
    <x v="0"/>
    <n v="20020"/>
    <n v="679"/>
    <s v="N/A - Not Settled"/>
    <s v="N/A - Not Settled"/>
    <x v="0"/>
    <x v="0"/>
    <x v="1"/>
    <n v="29.484500000000001"/>
    <n v="322"/>
    <n v="2024"/>
    <s v="January"/>
  </r>
  <r>
    <s v="DINS-CLM-100440"/>
    <s v="DINS-CUS-500440"/>
    <s v="DINS-POL-200440"/>
    <x v="1"/>
    <x v="1"/>
    <x v="5"/>
    <x v="0"/>
    <x v="0"/>
    <d v="2023-09-07T00:00:00"/>
    <s v="Annual"/>
    <d v="2024-02-01T00:00:00"/>
    <x v="2"/>
    <n v="32073"/>
    <n v="8893"/>
    <s v="N/A - Not Settled"/>
    <s v="N/A - Not Settled"/>
    <x v="0"/>
    <x v="0"/>
    <x v="0"/>
    <n v="3.6065"/>
    <n v="147"/>
    <n v="2024"/>
    <s v="February"/>
  </r>
  <r>
    <s v="DINS-CLM-100441"/>
    <s v="DINS-CUS-500441"/>
    <s v="DINS-POL-200441"/>
    <x v="5"/>
    <x v="0"/>
    <x v="3"/>
    <x v="2"/>
    <x v="5"/>
    <d v="2023-05-16T00:00:00"/>
    <s v="Annual"/>
    <d v="2024-02-03T00:00:00"/>
    <x v="2"/>
    <n v="21835"/>
    <n v="5901"/>
    <s v="N/A - Not Settled"/>
    <s v="N/A - Not Settled"/>
    <x v="0"/>
    <x v="0"/>
    <x v="0"/>
    <n v="3.7002000000000002"/>
    <n v="263"/>
    <n v="2024"/>
    <s v="February"/>
  </r>
  <r>
    <s v="DINS-CLM-100442"/>
    <s v="DINS-CUS-500442"/>
    <s v="DINS-POL-200442"/>
    <x v="5"/>
    <x v="1"/>
    <x v="5"/>
    <x v="1"/>
    <x v="3"/>
    <d v="2023-09-26T00:00:00"/>
    <s v="Monthly"/>
    <d v="2024-01-01T00:00:00"/>
    <x v="2"/>
    <n v="13900"/>
    <n v="915"/>
    <s v="N/A - Not Settled"/>
    <s v="N/A - Not Settled"/>
    <x v="0"/>
    <x v="0"/>
    <x v="0"/>
    <n v="15.1913"/>
    <n v="97"/>
    <n v="2024"/>
    <s v="January"/>
  </r>
  <r>
    <s v="DINS-CLM-100443"/>
    <s v="DINS-CUS-500443"/>
    <s v="DINS-POL-200443"/>
    <x v="0"/>
    <x v="2"/>
    <x v="0"/>
    <x v="1"/>
    <x v="1"/>
    <d v="2023-08-24T00:00:00"/>
    <s v="Annual"/>
    <d v="2024-07-07T00:00:00"/>
    <x v="0"/>
    <n v="33303"/>
    <n v="4442"/>
    <s v="N/A - Not Settled"/>
    <s v="N/A - Not Settled"/>
    <x v="0"/>
    <x v="0"/>
    <x v="2"/>
    <n v="7.4973000000000001"/>
    <n v="318"/>
    <n v="2024"/>
    <s v="July"/>
  </r>
  <r>
    <s v="DINS-CLM-100444"/>
    <s v="DINS-CUS-500444"/>
    <s v="DINS-POL-200444"/>
    <x v="2"/>
    <x v="1"/>
    <x v="0"/>
    <x v="2"/>
    <x v="7"/>
    <d v="2023-07-30T00:00:00"/>
    <s v="Monthly"/>
    <d v="2024-01-26T00:00:00"/>
    <x v="1"/>
    <n v="10315"/>
    <n v="3928"/>
    <n v="10"/>
    <d v="2024-02-05T00:00:00"/>
    <x v="0"/>
    <x v="0"/>
    <x v="2"/>
    <n v="2.6259999999999999"/>
    <n v="180"/>
    <n v="2024"/>
    <s v="January"/>
  </r>
  <r>
    <s v="DINS-CLM-100445"/>
    <s v="DINS-CUS-500445"/>
    <s v="DINS-POL-200445"/>
    <x v="1"/>
    <x v="1"/>
    <x v="4"/>
    <x v="1"/>
    <x v="4"/>
    <d v="2024-02-12T00:00:00"/>
    <s v="Annual"/>
    <d v="2024-06-15T00:00:00"/>
    <x v="1"/>
    <n v="64814"/>
    <n v="1069"/>
    <n v="3"/>
    <d v="2024-06-18T00:00:00"/>
    <x v="0"/>
    <x v="0"/>
    <x v="0"/>
    <n v="60.630499999999998"/>
    <n v="124"/>
    <n v="2024"/>
    <s v="June"/>
  </r>
  <r>
    <s v="DINS-CLM-100446"/>
    <s v="DINS-CUS-500446"/>
    <s v="DINS-POL-200446"/>
    <x v="3"/>
    <x v="0"/>
    <x v="0"/>
    <x v="1"/>
    <x v="6"/>
    <d v="2023-05-15T00:00:00"/>
    <s v="Annual"/>
    <d v="2024-02-16T00:00:00"/>
    <x v="2"/>
    <n v="88977"/>
    <n v="3029"/>
    <s v="N/A - Not Settled"/>
    <s v="N/A - Not Settled"/>
    <x v="0"/>
    <x v="0"/>
    <x v="2"/>
    <n v="29.375"/>
    <n v="277"/>
    <n v="2024"/>
    <s v="February"/>
  </r>
  <r>
    <s v="DINS-CLM-100447"/>
    <s v="DINS-CUS-500447"/>
    <s v="DINS-POL-200447"/>
    <x v="0"/>
    <x v="0"/>
    <x v="1"/>
    <x v="0"/>
    <x v="5"/>
    <d v="2024-03-21T00:00:00"/>
    <s v="Annual"/>
    <d v="2024-11-02T00:00:00"/>
    <x v="1"/>
    <n v="49142"/>
    <n v="565"/>
    <n v="37"/>
    <d v="2024-12-09T00:00:00"/>
    <x v="0"/>
    <x v="0"/>
    <x v="1"/>
    <n v="86.977000000000004"/>
    <n v="226"/>
    <n v="2024"/>
    <s v="November"/>
  </r>
  <r>
    <s v="DINS-CLM-100448"/>
    <s v="DINS-CUS-500448"/>
    <s v="DINS-POL-200448"/>
    <x v="0"/>
    <x v="2"/>
    <x v="5"/>
    <x v="2"/>
    <x v="5"/>
    <d v="2023-08-25T00:00:00"/>
    <s v="Monthly"/>
    <d v="2024-02-20T00:00:00"/>
    <x v="2"/>
    <n v="47749"/>
    <n v="4358"/>
    <s v="N/A - Not Settled"/>
    <s v="N/A - Not Settled"/>
    <x v="0"/>
    <x v="0"/>
    <x v="0"/>
    <n v="10.9566"/>
    <n v="179"/>
    <n v="2024"/>
    <s v="February"/>
  </r>
  <r>
    <s v="DINS-CLM-100449"/>
    <s v="DINS-CUS-500449"/>
    <s v="DINS-POL-200449"/>
    <x v="2"/>
    <x v="1"/>
    <x v="2"/>
    <x v="1"/>
    <x v="6"/>
    <d v="2023-12-30T00:00:00"/>
    <s v="Monthly"/>
    <d v="2024-06-05T00:00:00"/>
    <x v="1"/>
    <n v="28463"/>
    <n v="6227"/>
    <n v="34"/>
    <d v="2024-07-09T00:00:00"/>
    <x v="1"/>
    <x v="0"/>
    <x v="2"/>
    <n v="4.5709"/>
    <n v="158"/>
    <n v="2024"/>
    <s v="June"/>
  </r>
  <r>
    <s v="DINS-CLM-100450"/>
    <s v="DINS-CUS-500450"/>
    <s v="DINS-POL-200450"/>
    <x v="2"/>
    <x v="2"/>
    <x v="2"/>
    <x v="1"/>
    <x v="7"/>
    <d v="2023-05-21T00:00:00"/>
    <s v="Monthly"/>
    <d v="2024-03-25T00:00:00"/>
    <x v="1"/>
    <n v="21167"/>
    <n v="5352"/>
    <n v="35"/>
    <d v="2024-04-29T00:00:00"/>
    <x v="0"/>
    <x v="0"/>
    <x v="2"/>
    <n v="3.9550000000000001"/>
    <n v="309"/>
    <n v="2024"/>
    <s v="March"/>
  </r>
  <r>
    <s v="DINS-CLM-100451"/>
    <s v="DINS-CUS-500451"/>
    <s v="DINS-POL-200451"/>
    <x v="2"/>
    <x v="0"/>
    <x v="3"/>
    <x v="0"/>
    <x v="7"/>
    <d v="2023-12-04T00:00:00"/>
    <s v="Monthly"/>
    <d v="2024-10-29T00:00:00"/>
    <x v="1"/>
    <n v="11104"/>
    <n v="6309"/>
    <n v="21"/>
    <d v="2024-11-19T00:00:00"/>
    <x v="0"/>
    <x v="0"/>
    <x v="1"/>
    <n v="1.76"/>
    <n v="330"/>
    <n v="2024"/>
    <s v="October"/>
  </r>
  <r>
    <s v="DINS-CLM-100452"/>
    <s v="DINS-CUS-500452"/>
    <s v="DINS-POL-200452"/>
    <x v="2"/>
    <x v="1"/>
    <x v="5"/>
    <x v="2"/>
    <x v="0"/>
    <d v="2024-01-29T00:00:00"/>
    <s v="Monthly"/>
    <d v="2024-07-05T00:00:00"/>
    <x v="1"/>
    <n v="37209"/>
    <n v="2209"/>
    <n v="26"/>
    <d v="2024-07-31T00:00:00"/>
    <x v="0"/>
    <x v="0"/>
    <x v="1"/>
    <n v="16.8443"/>
    <n v="158"/>
    <n v="2024"/>
    <s v="July"/>
  </r>
  <r>
    <s v="DINS-CLM-100453"/>
    <s v="DINS-CUS-500453"/>
    <s v="DINS-POL-200453"/>
    <x v="0"/>
    <x v="1"/>
    <x v="5"/>
    <x v="1"/>
    <x v="5"/>
    <d v="2023-05-31T00:00:00"/>
    <s v="Monthly"/>
    <d v="2024-02-13T00:00:00"/>
    <x v="0"/>
    <n v="37054"/>
    <n v="5175"/>
    <s v="N/A - Not Settled"/>
    <s v="N/A - Not Settled"/>
    <x v="0"/>
    <x v="0"/>
    <x v="0"/>
    <n v="7.1601999999999997"/>
    <n v="258"/>
    <n v="2024"/>
    <s v="February"/>
  </r>
  <r>
    <s v="DINS-CLM-100454"/>
    <s v="DINS-CUS-500454"/>
    <s v="DINS-POL-200454"/>
    <x v="2"/>
    <x v="0"/>
    <x v="5"/>
    <x v="2"/>
    <x v="6"/>
    <d v="2024-05-30T00:00:00"/>
    <s v="Monthly"/>
    <d v="2024-10-12T00:00:00"/>
    <x v="1"/>
    <n v="9632"/>
    <n v="2367"/>
    <n v="36"/>
    <d v="2024-11-17T00:00:00"/>
    <x v="0"/>
    <x v="0"/>
    <x v="0"/>
    <n v="4.0693000000000001"/>
    <n v="135"/>
    <n v="2024"/>
    <s v="October"/>
  </r>
  <r>
    <s v="DINS-CLM-100455"/>
    <s v="DINS-CUS-500455"/>
    <s v="DINS-POL-200455"/>
    <x v="2"/>
    <x v="1"/>
    <x v="4"/>
    <x v="0"/>
    <x v="3"/>
    <d v="2024-01-19T00:00:00"/>
    <s v="Annual"/>
    <d v="2024-12-12T00:00:00"/>
    <x v="1"/>
    <n v="4970"/>
    <n v="6307"/>
    <n v="10"/>
    <d v="2024-12-22T00:00:00"/>
    <x v="0"/>
    <x v="0"/>
    <x v="1"/>
    <n v="0.78800000000000003"/>
    <n v="328"/>
    <n v="2024"/>
    <s v="December"/>
  </r>
  <r>
    <s v="DINS-CLM-100456"/>
    <s v="DINS-CUS-500456"/>
    <s v="DINS-POL-200456"/>
    <x v="3"/>
    <x v="1"/>
    <x v="2"/>
    <x v="1"/>
    <x v="2"/>
    <d v="2024-01-11T00:00:00"/>
    <s v="Monthly"/>
    <d v="2024-08-26T00:00:00"/>
    <x v="1"/>
    <n v="44323"/>
    <n v="4125"/>
    <n v="21"/>
    <d v="2024-09-16T00:00:00"/>
    <x v="1"/>
    <x v="0"/>
    <x v="0"/>
    <n v="10.744999999999999"/>
    <n v="228"/>
    <n v="2024"/>
    <s v="August"/>
  </r>
  <r>
    <s v="DINS-CLM-100457"/>
    <s v="DINS-CUS-500457"/>
    <s v="DINS-POL-200457"/>
    <x v="0"/>
    <x v="0"/>
    <x v="0"/>
    <x v="1"/>
    <x v="3"/>
    <d v="2024-03-04T00:00:00"/>
    <s v="Annual"/>
    <d v="2024-04-17T00:00:00"/>
    <x v="1"/>
    <n v="36187"/>
    <n v="6837"/>
    <n v="9"/>
    <d v="2024-04-26T00:00:00"/>
    <x v="1"/>
    <x v="0"/>
    <x v="0"/>
    <n v="5.2927999999999997"/>
    <n v="44"/>
    <n v="2024"/>
    <s v="April"/>
  </r>
  <r>
    <s v="DINS-CLM-100458"/>
    <s v="DINS-CUS-500458"/>
    <s v="DINS-POL-200458"/>
    <x v="2"/>
    <x v="0"/>
    <x v="4"/>
    <x v="1"/>
    <x v="5"/>
    <d v="2024-02-18T00:00:00"/>
    <s v="Annual"/>
    <d v="2024-10-05T00:00:00"/>
    <x v="1"/>
    <n v="39667"/>
    <n v="1826"/>
    <n v="8"/>
    <d v="2024-10-13T00:00:00"/>
    <x v="0"/>
    <x v="0"/>
    <x v="1"/>
    <n v="21.723400000000002"/>
    <n v="230"/>
    <n v="2024"/>
    <s v="October"/>
  </r>
  <r>
    <s v="DINS-CLM-100459"/>
    <s v="DINS-CUS-500459"/>
    <s v="DINS-POL-200459"/>
    <x v="1"/>
    <x v="0"/>
    <x v="5"/>
    <x v="1"/>
    <x v="5"/>
    <d v="2023-07-23T00:00:00"/>
    <s v="Annual"/>
    <d v="2024-04-29T00:00:00"/>
    <x v="1"/>
    <n v="20631"/>
    <n v="4232"/>
    <n v="22"/>
    <d v="2024-05-21T00:00:00"/>
    <x v="0"/>
    <x v="0"/>
    <x v="1"/>
    <n v="4.875"/>
    <n v="281"/>
    <n v="2024"/>
    <s v="April"/>
  </r>
  <r>
    <s v="DINS-CLM-100460"/>
    <s v="DINS-CUS-500460"/>
    <s v="DINS-POL-200460"/>
    <x v="0"/>
    <x v="1"/>
    <x v="4"/>
    <x v="1"/>
    <x v="5"/>
    <d v="2023-09-12T00:00:00"/>
    <s v="Annual"/>
    <d v="2024-02-03T00:00:00"/>
    <x v="2"/>
    <n v="29915"/>
    <n v="5662"/>
    <s v="N/A - Not Settled"/>
    <s v="N/A - Not Settled"/>
    <x v="0"/>
    <x v="0"/>
    <x v="1"/>
    <n v="5.2835000000000001"/>
    <n v="144"/>
    <n v="2024"/>
    <s v="February"/>
  </r>
  <r>
    <s v="DINS-CLM-100461"/>
    <s v="DINS-CUS-500461"/>
    <s v="DINS-POL-200461"/>
    <x v="5"/>
    <x v="2"/>
    <x v="5"/>
    <x v="0"/>
    <x v="6"/>
    <d v="2023-08-10T00:00:00"/>
    <s v="Annual"/>
    <d v="2024-03-11T00:00:00"/>
    <x v="0"/>
    <n v="36940"/>
    <n v="989"/>
    <s v="N/A - Not Settled"/>
    <s v="N/A - Not Settled"/>
    <x v="0"/>
    <x v="0"/>
    <x v="1"/>
    <n v="37.350900000000003"/>
    <n v="214"/>
    <n v="2024"/>
    <s v="March"/>
  </r>
  <r>
    <s v="DINS-CLM-100462"/>
    <s v="DINS-CUS-500462"/>
    <s v="DINS-POL-200462"/>
    <x v="1"/>
    <x v="0"/>
    <x v="4"/>
    <x v="0"/>
    <x v="2"/>
    <d v="2023-10-21T00:00:00"/>
    <s v="Annual"/>
    <d v="2024-01-18T00:00:00"/>
    <x v="0"/>
    <n v="57553"/>
    <n v="7688"/>
    <s v="N/A - Not Settled"/>
    <s v="N/A - Not Settled"/>
    <x v="0"/>
    <x v="0"/>
    <x v="0"/>
    <n v="7.4861000000000004"/>
    <n v="89"/>
    <n v="2024"/>
    <s v="January"/>
  </r>
  <r>
    <s v="DINS-CLM-100463"/>
    <s v="DINS-CUS-500463"/>
    <s v="DINS-POL-200463"/>
    <x v="5"/>
    <x v="1"/>
    <x v="4"/>
    <x v="2"/>
    <x v="2"/>
    <d v="2024-03-01T00:00:00"/>
    <s v="Annual"/>
    <d v="2024-09-21T00:00:00"/>
    <x v="1"/>
    <n v="50663"/>
    <n v="2372"/>
    <n v="3"/>
    <d v="2024-09-24T00:00:00"/>
    <x v="0"/>
    <x v="0"/>
    <x v="0"/>
    <n v="21.358799999999999"/>
    <n v="204"/>
    <n v="2024"/>
    <s v="September"/>
  </r>
  <r>
    <s v="DINS-CLM-100464"/>
    <s v="DINS-CUS-500464"/>
    <s v="DINS-POL-200464"/>
    <x v="4"/>
    <x v="1"/>
    <x v="0"/>
    <x v="0"/>
    <x v="0"/>
    <d v="2023-06-22T00:00:00"/>
    <s v="Annual"/>
    <d v="2024-03-09T00:00:00"/>
    <x v="1"/>
    <n v="15791"/>
    <n v="5913"/>
    <n v="17"/>
    <d v="2024-03-26T00:00:00"/>
    <x v="1"/>
    <x v="1"/>
    <x v="0"/>
    <n v="2.6705999999999999"/>
    <n v="261"/>
    <n v="2024"/>
    <s v="March"/>
  </r>
  <r>
    <s v="DINS-CLM-100465"/>
    <s v="DINS-CUS-500465"/>
    <s v="DINS-POL-200465"/>
    <x v="1"/>
    <x v="2"/>
    <x v="0"/>
    <x v="1"/>
    <x v="7"/>
    <d v="2023-07-10T00:00:00"/>
    <s v="Monthly"/>
    <d v="2024-04-13T00:00:00"/>
    <x v="1"/>
    <n v="29189"/>
    <n v="1006"/>
    <n v="45"/>
    <d v="2024-05-28T00:00:00"/>
    <x v="1"/>
    <x v="0"/>
    <x v="0"/>
    <n v="29.014900000000001"/>
    <n v="278"/>
    <n v="2024"/>
    <s v="April"/>
  </r>
  <r>
    <s v="DINS-CLM-100466"/>
    <s v="DINS-CUS-500466"/>
    <s v="DINS-POL-200466"/>
    <x v="1"/>
    <x v="1"/>
    <x v="4"/>
    <x v="0"/>
    <x v="6"/>
    <d v="2024-01-15T00:00:00"/>
    <s v="Monthly"/>
    <d v="2024-09-16T00:00:00"/>
    <x v="1"/>
    <n v="66193"/>
    <n v="7338"/>
    <n v="24"/>
    <d v="2024-10-10T00:00:00"/>
    <x v="0"/>
    <x v="0"/>
    <x v="0"/>
    <n v="9.0206"/>
    <n v="245"/>
    <n v="2024"/>
    <s v="September"/>
  </r>
  <r>
    <s v="DINS-CLM-100467"/>
    <s v="DINS-CUS-500467"/>
    <s v="DINS-POL-200467"/>
    <x v="2"/>
    <x v="2"/>
    <x v="2"/>
    <x v="2"/>
    <x v="4"/>
    <d v="2023-07-08T00:00:00"/>
    <s v="Monthly"/>
    <d v="2024-01-16T00:00:00"/>
    <x v="2"/>
    <n v="15688"/>
    <n v="8182"/>
    <s v="N/A - Not Settled"/>
    <s v="N/A - Not Settled"/>
    <x v="0"/>
    <x v="0"/>
    <x v="2"/>
    <n v="1.9174"/>
    <n v="192"/>
    <n v="2024"/>
    <s v="January"/>
  </r>
  <r>
    <s v="DINS-CLM-100468"/>
    <s v="DINS-CUS-500468"/>
    <s v="DINS-POL-200468"/>
    <x v="2"/>
    <x v="2"/>
    <x v="0"/>
    <x v="2"/>
    <x v="1"/>
    <d v="2023-11-01T00:00:00"/>
    <s v="Monthly"/>
    <d v="2024-10-07T00:00:00"/>
    <x v="0"/>
    <n v="30418"/>
    <n v="4781"/>
    <s v="N/A - Not Settled"/>
    <s v="N/A - Not Settled"/>
    <x v="0"/>
    <x v="0"/>
    <x v="0"/>
    <n v="6.3623000000000003"/>
    <n v="341"/>
    <n v="2024"/>
    <s v="October"/>
  </r>
  <r>
    <s v="DINS-CLM-100469"/>
    <s v="DINS-CUS-500469"/>
    <s v="DINS-POL-200469"/>
    <x v="3"/>
    <x v="2"/>
    <x v="2"/>
    <x v="2"/>
    <x v="3"/>
    <d v="2024-03-22T00:00:00"/>
    <s v="Monthly"/>
    <d v="2024-07-03T00:00:00"/>
    <x v="1"/>
    <n v="63412"/>
    <n v="6716"/>
    <n v="13"/>
    <d v="2024-07-16T00:00:00"/>
    <x v="0"/>
    <x v="0"/>
    <x v="0"/>
    <n v="9.4419000000000004"/>
    <n v="103"/>
    <n v="2024"/>
    <s v="July"/>
  </r>
  <r>
    <s v="DINS-CLM-100470"/>
    <s v="DINS-CUS-500470"/>
    <s v="DINS-POL-200470"/>
    <x v="0"/>
    <x v="0"/>
    <x v="3"/>
    <x v="2"/>
    <x v="0"/>
    <d v="2023-10-24T00:00:00"/>
    <s v="Annual"/>
    <d v="2024-05-04T00:00:00"/>
    <x v="0"/>
    <n v="56302"/>
    <n v="6035"/>
    <s v="N/A - Not Settled"/>
    <s v="N/A - Not Settled"/>
    <x v="0"/>
    <x v="0"/>
    <x v="1"/>
    <n v="9.3292000000000002"/>
    <n v="193"/>
    <n v="2024"/>
    <s v="May"/>
  </r>
  <r>
    <s v="DINS-CLM-100471"/>
    <s v="DINS-CUS-500471"/>
    <s v="DINS-POL-200471"/>
    <x v="4"/>
    <x v="0"/>
    <x v="1"/>
    <x v="0"/>
    <x v="3"/>
    <d v="2023-08-26T00:00:00"/>
    <s v="Monthly"/>
    <d v="2024-02-10T00:00:00"/>
    <x v="0"/>
    <n v="12404"/>
    <n v="1796"/>
    <s v="N/A - Not Settled"/>
    <s v="N/A - Not Settled"/>
    <x v="0"/>
    <x v="0"/>
    <x v="2"/>
    <n v="6.9065000000000003"/>
    <n v="168"/>
    <n v="2024"/>
    <s v="February"/>
  </r>
  <r>
    <s v="DINS-CLM-100472"/>
    <s v="DINS-CUS-500472"/>
    <s v="DINS-POL-200472"/>
    <x v="2"/>
    <x v="2"/>
    <x v="0"/>
    <x v="2"/>
    <x v="5"/>
    <d v="2023-10-07T00:00:00"/>
    <s v="Monthly"/>
    <d v="2024-05-24T00:00:00"/>
    <x v="1"/>
    <n v="32954"/>
    <n v="1045"/>
    <n v="16"/>
    <d v="2024-06-09T00:00:00"/>
    <x v="0"/>
    <x v="0"/>
    <x v="0"/>
    <n v="31.5349"/>
    <n v="230"/>
    <n v="2024"/>
    <s v="May"/>
  </r>
  <r>
    <s v="DINS-CLM-100473"/>
    <s v="DINS-CUS-500473"/>
    <s v="DINS-POL-200473"/>
    <x v="2"/>
    <x v="2"/>
    <x v="1"/>
    <x v="1"/>
    <x v="5"/>
    <d v="2024-02-04T00:00:00"/>
    <s v="Annual"/>
    <d v="2024-07-05T00:00:00"/>
    <x v="1"/>
    <n v="14626"/>
    <n v="7557"/>
    <n v="41"/>
    <d v="2024-08-15T00:00:00"/>
    <x v="0"/>
    <x v="0"/>
    <x v="1"/>
    <n v="1.9354"/>
    <n v="152"/>
    <n v="2024"/>
    <s v="July"/>
  </r>
  <r>
    <s v="DINS-CLM-100474"/>
    <s v="DINS-CUS-500474"/>
    <s v="DINS-POL-200474"/>
    <x v="5"/>
    <x v="0"/>
    <x v="2"/>
    <x v="1"/>
    <x v="4"/>
    <d v="2024-02-23T00:00:00"/>
    <s v="Monthly"/>
    <d v="2024-05-07T00:00:00"/>
    <x v="0"/>
    <n v="40337"/>
    <n v="978"/>
    <s v="N/A - Not Settled"/>
    <s v="N/A - Not Settled"/>
    <x v="0"/>
    <x v="0"/>
    <x v="2"/>
    <n v="41.244399999999999"/>
    <n v="74"/>
    <n v="2024"/>
    <s v="May"/>
  </r>
  <r>
    <s v="DINS-CLM-100475"/>
    <s v="DINS-CUS-500475"/>
    <s v="DINS-POL-200475"/>
    <x v="4"/>
    <x v="0"/>
    <x v="2"/>
    <x v="1"/>
    <x v="7"/>
    <d v="2023-10-24T00:00:00"/>
    <s v="Annual"/>
    <d v="2024-10-13T00:00:00"/>
    <x v="1"/>
    <n v="2680"/>
    <n v="1535"/>
    <n v="20"/>
    <d v="2024-11-02T00:00:00"/>
    <x v="0"/>
    <x v="0"/>
    <x v="2"/>
    <n v="1.7459"/>
    <n v="355"/>
    <n v="2024"/>
    <s v="October"/>
  </r>
  <r>
    <s v="DINS-CLM-100476"/>
    <s v="DINS-CUS-500476"/>
    <s v="DINS-POL-200476"/>
    <x v="1"/>
    <x v="0"/>
    <x v="5"/>
    <x v="1"/>
    <x v="7"/>
    <d v="2024-05-19T00:00:00"/>
    <s v="Monthly"/>
    <d v="2024-06-29T00:00:00"/>
    <x v="1"/>
    <n v="69121"/>
    <n v="4041"/>
    <n v="7"/>
    <d v="2024-07-06T00:00:00"/>
    <x v="1"/>
    <x v="1"/>
    <x v="0"/>
    <n v="17.104900000000001"/>
    <n v="41"/>
    <n v="2024"/>
    <s v="June"/>
  </r>
  <r>
    <s v="DINS-CLM-100477"/>
    <s v="DINS-CUS-500477"/>
    <s v="DINS-POL-200477"/>
    <x v="4"/>
    <x v="1"/>
    <x v="0"/>
    <x v="1"/>
    <x v="3"/>
    <d v="2024-05-09T00:00:00"/>
    <s v="Monthly"/>
    <d v="2024-08-21T00:00:00"/>
    <x v="2"/>
    <n v="17697"/>
    <n v="6139"/>
    <s v="N/A - Not Settled"/>
    <s v="N/A - Not Settled"/>
    <x v="0"/>
    <x v="0"/>
    <x v="0"/>
    <n v="2.8826999999999998"/>
    <n v="104"/>
    <n v="2024"/>
    <s v="August"/>
  </r>
  <r>
    <s v="DINS-CLM-100478"/>
    <s v="DINS-CUS-500478"/>
    <s v="DINS-POL-200478"/>
    <x v="2"/>
    <x v="2"/>
    <x v="3"/>
    <x v="0"/>
    <x v="2"/>
    <d v="2024-01-11T00:00:00"/>
    <s v="Annual"/>
    <d v="2024-08-17T00:00:00"/>
    <x v="2"/>
    <n v="4848"/>
    <n v="8360"/>
    <s v="N/A - Not Settled"/>
    <s v="N/A - Not Settled"/>
    <x v="0"/>
    <x v="0"/>
    <x v="1"/>
    <n v="0.57989999999999997"/>
    <n v="219"/>
    <n v="2024"/>
    <s v="August"/>
  </r>
  <r>
    <s v="DINS-CLM-100479"/>
    <s v="DINS-CUS-500479"/>
    <s v="DINS-POL-200479"/>
    <x v="0"/>
    <x v="0"/>
    <x v="1"/>
    <x v="1"/>
    <x v="3"/>
    <d v="2023-06-28T00:00:00"/>
    <s v="Monthly"/>
    <d v="2024-03-12T00:00:00"/>
    <x v="2"/>
    <n v="14109"/>
    <n v="1704"/>
    <s v="N/A - Not Settled"/>
    <s v="N/A - Not Settled"/>
    <x v="0"/>
    <x v="0"/>
    <x v="1"/>
    <n v="8.2798999999999996"/>
    <n v="258"/>
    <n v="2024"/>
    <s v="March"/>
  </r>
  <r>
    <s v="DINS-CLM-100480"/>
    <s v="DINS-CUS-500480"/>
    <s v="DINS-POL-200480"/>
    <x v="1"/>
    <x v="0"/>
    <x v="3"/>
    <x v="0"/>
    <x v="4"/>
    <d v="2024-01-27T00:00:00"/>
    <s v="Annual"/>
    <d v="2024-12-08T00:00:00"/>
    <x v="1"/>
    <n v="51906"/>
    <n v="6176"/>
    <n v="4"/>
    <d v="2024-12-12T00:00:00"/>
    <x v="0"/>
    <x v="0"/>
    <x v="1"/>
    <n v="8.4045000000000005"/>
    <n v="316"/>
    <n v="2024"/>
    <s v="December"/>
  </r>
  <r>
    <s v="DINS-CLM-100481"/>
    <s v="DINS-CUS-500481"/>
    <s v="DINS-POL-200481"/>
    <x v="0"/>
    <x v="1"/>
    <x v="1"/>
    <x v="1"/>
    <x v="3"/>
    <d v="2023-11-05T00:00:00"/>
    <s v="Annual"/>
    <d v="2024-07-08T00:00:00"/>
    <x v="1"/>
    <n v="51170"/>
    <n v="1529"/>
    <n v="14"/>
    <d v="2024-07-22T00:00:00"/>
    <x v="0"/>
    <x v="0"/>
    <x v="2"/>
    <n v="33.466299999999997"/>
    <n v="246"/>
    <n v="2024"/>
    <s v="July"/>
  </r>
  <r>
    <s v="DINS-CLM-100482"/>
    <s v="DINS-CUS-500482"/>
    <s v="DINS-POL-200482"/>
    <x v="2"/>
    <x v="1"/>
    <x v="1"/>
    <x v="1"/>
    <x v="1"/>
    <d v="2023-07-09T00:00:00"/>
    <s v="Annual"/>
    <d v="2024-04-21T00:00:00"/>
    <x v="0"/>
    <n v="21076"/>
    <n v="8329"/>
    <s v="N/A - Not Settled"/>
    <s v="N/A - Not Settled"/>
    <x v="1"/>
    <x v="1"/>
    <x v="2"/>
    <n v="2.5304000000000002"/>
    <n v="287"/>
    <n v="2024"/>
    <s v="April"/>
  </r>
  <r>
    <s v="DINS-CLM-100483"/>
    <s v="DINS-CUS-500483"/>
    <s v="DINS-POL-200483"/>
    <x v="3"/>
    <x v="2"/>
    <x v="2"/>
    <x v="2"/>
    <x v="1"/>
    <d v="2024-04-17T00:00:00"/>
    <s v="Monthly"/>
    <d v="2024-10-01T00:00:00"/>
    <x v="2"/>
    <n v="37263"/>
    <n v="2291"/>
    <s v="N/A - Not Settled"/>
    <s v="N/A - Not Settled"/>
    <x v="0"/>
    <x v="0"/>
    <x v="0"/>
    <n v="16.264900000000001"/>
    <n v="167"/>
    <n v="2024"/>
    <s v="October"/>
  </r>
  <r>
    <s v="DINS-CLM-100484"/>
    <s v="DINS-CUS-500484"/>
    <s v="DINS-POL-200484"/>
    <x v="0"/>
    <x v="2"/>
    <x v="0"/>
    <x v="1"/>
    <x v="3"/>
    <d v="2023-04-20T00:00:00"/>
    <s v="Monthly"/>
    <d v="2024-03-20T00:00:00"/>
    <x v="0"/>
    <n v="4104"/>
    <n v="2096"/>
    <s v="N/A - Not Settled"/>
    <s v="N/A - Not Settled"/>
    <x v="0"/>
    <x v="0"/>
    <x v="1"/>
    <n v="1.958"/>
    <n v="335"/>
    <n v="2024"/>
    <s v="March"/>
  </r>
  <r>
    <s v="DINS-CLM-100485"/>
    <s v="DINS-CUS-500485"/>
    <s v="DINS-POL-200485"/>
    <x v="1"/>
    <x v="1"/>
    <x v="1"/>
    <x v="1"/>
    <x v="4"/>
    <d v="2024-04-20T00:00:00"/>
    <s v="Monthly"/>
    <d v="2024-06-13T00:00:00"/>
    <x v="1"/>
    <n v="38184"/>
    <n v="5156"/>
    <n v="43"/>
    <d v="2024-07-26T00:00:00"/>
    <x v="0"/>
    <x v="0"/>
    <x v="2"/>
    <n v="7.4057000000000004"/>
    <n v="54"/>
    <n v="2024"/>
    <s v="June"/>
  </r>
  <r>
    <s v="DINS-CLM-100486"/>
    <s v="DINS-CUS-500486"/>
    <s v="DINS-POL-200486"/>
    <x v="0"/>
    <x v="2"/>
    <x v="1"/>
    <x v="2"/>
    <x v="3"/>
    <d v="2024-03-20T00:00:00"/>
    <s v="Monthly"/>
    <d v="2024-06-17T00:00:00"/>
    <x v="0"/>
    <n v="27826"/>
    <n v="6534"/>
    <s v="N/A - Not Settled"/>
    <s v="N/A - Not Settled"/>
    <x v="0"/>
    <x v="0"/>
    <x v="2"/>
    <n v="4.2586000000000004"/>
    <n v="89"/>
    <n v="2024"/>
    <s v="June"/>
  </r>
  <r>
    <s v="DINS-CLM-100487"/>
    <s v="DINS-CUS-500487"/>
    <s v="DINS-POL-200487"/>
    <x v="5"/>
    <x v="2"/>
    <x v="3"/>
    <x v="2"/>
    <x v="2"/>
    <d v="2024-09-01T00:00:00"/>
    <s v="Monthly"/>
    <d v="2024-10-01T00:00:00"/>
    <x v="1"/>
    <n v="15306"/>
    <n v="4780"/>
    <n v="36"/>
    <d v="2024-11-06T00:00:00"/>
    <x v="0"/>
    <x v="0"/>
    <x v="1"/>
    <n v="3.2021000000000002"/>
    <n v="30"/>
    <n v="2024"/>
    <s v="October"/>
  </r>
  <r>
    <s v="DINS-CLM-100488"/>
    <s v="DINS-CUS-500488"/>
    <s v="DINS-POL-200488"/>
    <x v="0"/>
    <x v="2"/>
    <x v="5"/>
    <x v="1"/>
    <x v="4"/>
    <d v="2023-08-30T00:00:00"/>
    <s v="Annual"/>
    <d v="2024-07-10T00:00:00"/>
    <x v="1"/>
    <n v="9005"/>
    <n v="578"/>
    <n v="34"/>
    <d v="2024-08-13T00:00:00"/>
    <x v="0"/>
    <x v="0"/>
    <x v="0"/>
    <n v="15.579599999999999"/>
    <n v="315"/>
    <n v="2024"/>
    <s v="July"/>
  </r>
  <r>
    <s v="DINS-CLM-100489"/>
    <s v="DINS-CUS-500489"/>
    <s v="DINS-POL-200489"/>
    <x v="4"/>
    <x v="0"/>
    <x v="0"/>
    <x v="0"/>
    <x v="3"/>
    <d v="2023-05-07T00:00:00"/>
    <s v="Monthly"/>
    <d v="2024-04-03T00:00:00"/>
    <x v="1"/>
    <n v="15719"/>
    <n v="1874"/>
    <n v="20"/>
    <d v="2024-04-23T00:00:00"/>
    <x v="0"/>
    <x v="0"/>
    <x v="2"/>
    <n v="8.3879000000000001"/>
    <n v="332"/>
    <n v="2024"/>
    <s v="April"/>
  </r>
  <r>
    <s v="DINS-CLM-100490"/>
    <s v="DINS-CUS-500490"/>
    <s v="DINS-POL-200490"/>
    <x v="3"/>
    <x v="1"/>
    <x v="3"/>
    <x v="1"/>
    <x v="2"/>
    <d v="2023-07-16T00:00:00"/>
    <s v="Monthly"/>
    <d v="2024-02-04T00:00:00"/>
    <x v="2"/>
    <n v="36158"/>
    <n v="7982"/>
    <s v="N/A - Not Settled"/>
    <s v="N/A - Not Settled"/>
    <x v="0"/>
    <x v="0"/>
    <x v="0"/>
    <n v="4.5298999999999996"/>
    <n v="203"/>
    <n v="2024"/>
    <s v="February"/>
  </r>
  <r>
    <s v="DINS-CLM-100491"/>
    <s v="DINS-CUS-500491"/>
    <s v="DINS-POL-200491"/>
    <x v="3"/>
    <x v="0"/>
    <x v="5"/>
    <x v="1"/>
    <x v="6"/>
    <d v="2023-10-15T00:00:00"/>
    <s v="Annual"/>
    <d v="2024-07-16T00:00:00"/>
    <x v="0"/>
    <n v="50162"/>
    <n v="3616"/>
    <s v="N/A - Not Settled"/>
    <s v="N/A - Not Settled"/>
    <x v="1"/>
    <x v="1"/>
    <x v="0"/>
    <n v="13.872199999999999"/>
    <n v="275"/>
    <n v="2024"/>
    <s v="July"/>
  </r>
  <r>
    <s v="DINS-CLM-100492"/>
    <s v="DINS-CUS-500492"/>
    <s v="DINS-POL-200492"/>
    <x v="4"/>
    <x v="1"/>
    <x v="2"/>
    <x v="0"/>
    <x v="5"/>
    <d v="2023-08-04T00:00:00"/>
    <s v="Annual"/>
    <d v="2024-05-07T00:00:00"/>
    <x v="1"/>
    <n v="18051"/>
    <n v="6232"/>
    <n v="19"/>
    <d v="2024-05-26T00:00:00"/>
    <x v="0"/>
    <x v="0"/>
    <x v="0"/>
    <n v="2.8965000000000001"/>
    <n v="277"/>
    <n v="2024"/>
    <s v="May"/>
  </r>
  <r>
    <s v="DINS-CLM-100493"/>
    <s v="DINS-CUS-500493"/>
    <s v="DINS-POL-200493"/>
    <x v="0"/>
    <x v="0"/>
    <x v="3"/>
    <x v="1"/>
    <x v="2"/>
    <d v="2024-02-23T00:00:00"/>
    <s v="Annual"/>
    <d v="2024-11-13T00:00:00"/>
    <x v="1"/>
    <n v="21556"/>
    <n v="5041"/>
    <n v="12"/>
    <d v="2024-11-25T00:00:00"/>
    <x v="0"/>
    <x v="0"/>
    <x v="2"/>
    <n v="4.2760999999999996"/>
    <n v="264"/>
    <n v="2024"/>
    <s v="November"/>
  </r>
  <r>
    <s v="DINS-CLM-100494"/>
    <s v="DINS-CUS-500494"/>
    <s v="DINS-POL-200494"/>
    <x v="1"/>
    <x v="2"/>
    <x v="5"/>
    <x v="2"/>
    <x v="4"/>
    <d v="2024-07-14T00:00:00"/>
    <s v="Annual"/>
    <d v="2024-09-21T00:00:00"/>
    <x v="0"/>
    <n v="36168"/>
    <n v="4692"/>
    <s v="N/A - Not Settled"/>
    <s v="N/A - Not Settled"/>
    <x v="1"/>
    <x v="0"/>
    <x v="0"/>
    <n v="7.7084000000000001"/>
    <n v="69"/>
    <n v="2024"/>
    <s v="September"/>
  </r>
  <r>
    <s v="DINS-CLM-100495"/>
    <s v="DINS-CUS-500495"/>
    <s v="DINS-POL-200495"/>
    <x v="1"/>
    <x v="2"/>
    <x v="1"/>
    <x v="2"/>
    <x v="1"/>
    <d v="2023-08-07T00:00:00"/>
    <s v="Annual"/>
    <d v="2024-01-10T00:00:00"/>
    <x v="0"/>
    <n v="29152"/>
    <n v="8675"/>
    <s v="N/A - Not Settled"/>
    <s v="N/A - Not Settled"/>
    <x v="0"/>
    <x v="0"/>
    <x v="0"/>
    <n v="3.3605"/>
    <n v="156"/>
    <n v="2024"/>
    <s v="January"/>
  </r>
  <r>
    <s v="DINS-CLM-100496"/>
    <s v="DINS-CUS-500496"/>
    <s v="DINS-POL-200496"/>
    <x v="2"/>
    <x v="1"/>
    <x v="4"/>
    <x v="0"/>
    <x v="5"/>
    <d v="2023-10-17T00:00:00"/>
    <s v="Annual"/>
    <d v="2024-01-29T00:00:00"/>
    <x v="1"/>
    <n v="16225"/>
    <n v="1238"/>
    <n v="35"/>
    <d v="2024-03-04T00:00:00"/>
    <x v="0"/>
    <x v="0"/>
    <x v="2"/>
    <n v="13.1058"/>
    <n v="104"/>
    <n v="2024"/>
    <s v="January"/>
  </r>
  <r>
    <s v="DINS-CLM-100497"/>
    <s v="DINS-CUS-500497"/>
    <s v="DINS-POL-200497"/>
    <x v="0"/>
    <x v="2"/>
    <x v="3"/>
    <x v="0"/>
    <x v="0"/>
    <d v="2023-03-25T00:00:00"/>
    <s v="Monthly"/>
    <d v="2024-02-29T00:00:00"/>
    <x v="1"/>
    <n v="3153"/>
    <n v="4739"/>
    <n v="19"/>
    <d v="2024-03-19T00:00:00"/>
    <x v="0"/>
    <x v="0"/>
    <x v="2"/>
    <n v="0.6653"/>
    <n v="341"/>
    <n v="2024"/>
    <s v="February"/>
  </r>
  <r>
    <s v="DINS-CLM-100498"/>
    <s v="DINS-CUS-500498"/>
    <s v="DINS-POL-200498"/>
    <x v="0"/>
    <x v="0"/>
    <x v="4"/>
    <x v="0"/>
    <x v="4"/>
    <d v="2023-12-06T00:00:00"/>
    <s v="Annual"/>
    <d v="2024-03-11T00:00:00"/>
    <x v="1"/>
    <n v="30709"/>
    <n v="8507"/>
    <n v="6"/>
    <d v="2024-03-17T00:00:00"/>
    <x v="1"/>
    <x v="1"/>
    <x v="1"/>
    <n v="3.6099000000000001"/>
    <n v="96"/>
    <n v="2024"/>
    <s v="March"/>
  </r>
  <r>
    <s v="DINS-CLM-100499"/>
    <s v="DINS-CUS-500499"/>
    <s v="DINS-POL-200499"/>
    <x v="0"/>
    <x v="0"/>
    <x v="3"/>
    <x v="0"/>
    <x v="0"/>
    <d v="2023-06-22T00:00:00"/>
    <s v="Monthly"/>
    <d v="2024-03-29T00:00:00"/>
    <x v="1"/>
    <n v="39575"/>
    <n v="8698"/>
    <n v="17"/>
    <d v="2024-04-15T00:00:00"/>
    <x v="1"/>
    <x v="1"/>
    <x v="2"/>
    <n v="4.5499000000000001"/>
    <n v="281"/>
    <n v="2024"/>
    <s v="March"/>
  </r>
  <r>
    <s v="DINS-CLM-100500"/>
    <s v="DINS-CUS-500500"/>
    <s v="DINS-POL-200500"/>
    <x v="5"/>
    <x v="1"/>
    <x v="5"/>
    <x v="1"/>
    <x v="7"/>
    <d v="2023-04-21T00:00:00"/>
    <s v="Annual"/>
    <d v="2024-01-08T00:00:00"/>
    <x v="1"/>
    <n v="72785"/>
    <n v="3646"/>
    <n v="31"/>
    <d v="2024-02-08T00:00:00"/>
    <x v="1"/>
    <x v="0"/>
    <x v="2"/>
    <n v="19.963000000000001"/>
    <n v="262"/>
    <n v="2024"/>
    <s v="January"/>
  </r>
  <r>
    <s v="DINS-CLM-100501"/>
    <s v="DINS-CUS-500501"/>
    <s v="DINS-POL-200501"/>
    <x v="5"/>
    <x v="1"/>
    <x v="1"/>
    <x v="1"/>
    <x v="4"/>
    <d v="2023-08-02T00:00:00"/>
    <s v="Monthly"/>
    <d v="2024-05-14T00:00:00"/>
    <x v="1"/>
    <n v="24153"/>
    <n v="8115"/>
    <n v="41"/>
    <d v="2024-06-24T00:00:00"/>
    <x v="0"/>
    <x v="0"/>
    <x v="2"/>
    <n v="2.9763000000000002"/>
    <n v="286"/>
    <n v="2024"/>
    <s v="May"/>
  </r>
  <r>
    <s v="DINS-CLM-100502"/>
    <s v="DINS-CUS-500502"/>
    <s v="DINS-POL-200502"/>
    <x v="0"/>
    <x v="2"/>
    <x v="0"/>
    <x v="2"/>
    <x v="4"/>
    <d v="2024-01-01T00:00:00"/>
    <s v="Annual"/>
    <d v="2024-11-16T00:00:00"/>
    <x v="2"/>
    <n v="55849"/>
    <n v="7748"/>
    <s v="N/A - Not Settled"/>
    <s v="N/A - Not Settled"/>
    <x v="1"/>
    <x v="0"/>
    <x v="1"/>
    <n v="7.2081999999999997"/>
    <n v="320"/>
    <n v="2024"/>
    <s v="November"/>
  </r>
  <r>
    <s v="DINS-CLM-100503"/>
    <s v="DINS-CUS-500503"/>
    <s v="DINS-POL-200503"/>
    <x v="4"/>
    <x v="0"/>
    <x v="3"/>
    <x v="2"/>
    <x v="2"/>
    <d v="2024-06-12T00:00:00"/>
    <s v="Annual"/>
    <d v="2024-09-24T00:00:00"/>
    <x v="2"/>
    <n v="12842"/>
    <n v="8187"/>
    <s v="N/A - Not Settled"/>
    <s v="N/A - Not Settled"/>
    <x v="0"/>
    <x v="0"/>
    <x v="1"/>
    <n v="1.5686"/>
    <n v="104"/>
    <n v="2024"/>
    <s v="September"/>
  </r>
  <r>
    <s v="DINS-CLM-100504"/>
    <s v="DINS-CUS-500504"/>
    <s v="DINS-POL-200504"/>
    <x v="0"/>
    <x v="0"/>
    <x v="2"/>
    <x v="0"/>
    <x v="0"/>
    <d v="2023-11-29T00:00:00"/>
    <s v="Monthly"/>
    <d v="2024-01-24T00:00:00"/>
    <x v="1"/>
    <n v="29687"/>
    <n v="6948"/>
    <n v="19"/>
    <d v="2024-02-12T00:00:00"/>
    <x v="0"/>
    <x v="0"/>
    <x v="2"/>
    <n v="4.2727000000000004"/>
    <n v="56"/>
    <n v="2024"/>
    <s v="January"/>
  </r>
  <r>
    <s v="DINS-CLM-100505"/>
    <s v="DINS-CUS-500505"/>
    <s v="DINS-POL-200505"/>
    <x v="2"/>
    <x v="0"/>
    <x v="0"/>
    <x v="2"/>
    <x v="0"/>
    <d v="2024-06-15T00:00:00"/>
    <s v="Annual"/>
    <d v="2024-10-27T00:00:00"/>
    <x v="2"/>
    <n v="14722"/>
    <n v="5250"/>
    <s v="N/A - Not Settled"/>
    <s v="N/A - Not Settled"/>
    <x v="0"/>
    <x v="0"/>
    <x v="1"/>
    <n v="2.8041999999999998"/>
    <n v="134"/>
    <n v="2024"/>
    <s v="October"/>
  </r>
  <r>
    <s v="DINS-CLM-100506"/>
    <s v="DINS-CUS-500506"/>
    <s v="DINS-POL-200506"/>
    <x v="2"/>
    <x v="2"/>
    <x v="5"/>
    <x v="2"/>
    <x v="3"/>
    <d v="2024-03-30T00:00:00"/>
    <s v="Monthly"/>
    <d v="2024-06-25T00:00:00"/>
    <x v="1"/>
    <n v="21689"/>
    <n v="4816"/>
    <n v="20"/>
    <d v="2024-07-15T00:00:00"/>
    <x v="0"/>
    <x v="0"/>
    <x v="0"/>
    <n v="4.5034999999999998"/>
    <n v="87"/>
    <n v="2024"/>
    <s v="June"/>
  </r>
  <r>
    <s v="DINS-CLM-100507"/>
    <s v="DINS-CUS-500507"/>
    <s v="DINS-POL-200507"/>
    <x v="5"/>
    <x v="2"/>
    <x v="0"/>
    <x v="2"/>
    <x v="6"/>
    <d v="2024-05-02T00:00:00"/>
    <s v="Annual"/>
    <d v="2024-09-28T00:00:00"/>
    <x v="1"/>
    <n v="73037"/>
    <n v="3576"/>
    <n v="23"/>
    <d v="2024-10-21T00:00:00"/>
    <x v="0"/>
    <x v="0"/>
    <x v="1"/>
    <n v="20.424199999999999"/>
    <n v="149"/>
    <n v="2024"/>
    <s v="September"/>
  </r>
  <r>
    <s v="DINS-CLM-100508"/>
    <s v="DINS-CUS-500508"/>
    <s v="DINS-POL-200508"/>
    <x v="2"/>
    <x v="2"/>
    <x v="2"/>
    <x v="1"/>
    <x v="7"/>
    <d v="2023-06-17T00:00:00"/>
    <s v="Annual"/>
    <d v="2024-03-31T00:00:00"/>
    <x v="0"/>
    <n v="33851"/>
    <n v="7870"/>
    <s v="N/A - Not Settled"/>
    <s v="N/A - Not Settled"/>
    <x v="0"/>
    <x v="0"/>
    <x v="0"/>
    <n v="4.3013000000000003"/>
    <n v="288"/>
    <n v="2024"/>
    <s v="March"/>
  </r>
  <r>
    <s v="DINS-CLM-100509"/>
    <s v="DINS-CUS-500509"/>
    <s v="DINS-POL-200509"/>
    <x v="1"/>
    <x v="1"/>
    <x v="0"/>
    <x v="0"/>
    <x v="1"/>
    <d v="2023-09-05T00:00:00"/>
    <s v="Annual"/>
    <d v="2024-05-23T00:00:00"/>
    <x v="0"/>
    <n v="37808"/>
    <n v="1452"/>
    <s v="N/A - Not Settled"/>
    <s v="N/A - Not Settled"/>
    <x v="0"/>
    <x v="0"/>
    <x v="0"/>
    <n v="26.038599999999999"/>
    <n v="261"/>
    <n v="2024"/>
    <s v="May"/>
  </r>
  <r>
    <s v="DINS-CLM-100510"/>
    <s v="DINS-CUS-500510"/>
    <s v="DINS-POL-200510"/>
    <x v="0"/>
    <x v="2"/>
    <x v="1"/>
    <x v="2"/>
    <x v="1"/>
    <d v="2024-02-19T00:00:00"/>
    <s v="Annual"/>
    <d v="2024-06-06T00:00:00"/>
    <x v="2"/>
    <n v="50983"/>
    <n v="2902"/>
    <s v="N/A - Not Settled"/>
    <s v="N/A - Not Settled"/>
    <x v="0"/>
    <x v="0"/>
    <x v="2"/>
    <n v="17.568200000000001"/>
    <n v="108"/>
    <n v="2024"/>
    <s v="June"/>
  </r>
  <r>
    <s v="DINS-CLM-100511"/>
    <s v="DINS-CUS-500511"/>
    <s v="DINS-POL-200511"/>
    <x v="0"/>
    <x v="0"/>
    <x v="3"/>
    <x v="1"/>
    <x v="5"/>
    <d v="2023-11-05T00:00:00"/>
    <s v="Monthly"/>
    <d v="2024-02-12T00:00:00"/>
    <x v="2"/>
    <n v="30975"/>
    <n v="7187"/>
    <s v="N/A - Not Settled"/>
    <s v="N/A - Not Settled"/>
    <x v="0"/>
    <x v="0"/>
    <x v="0"/>
    <n v="4.3098999999999998"/>
    <n v="99"/>
    <n v="2024"/>
    <s v="February"/>
  </r>
  <r>
    <s v="DINS-CLM-100512"/>
    <s v="DINS-CUS-500512"/>
    <s v="DINS-POL-200512"/>
    <x v="1"/>
    <x v="0"/>
    <x v="4"/>
    <x v="1"/>
    <x v="2"/>
    <d v="2024-02-17T00:00:00"/>
    <s v="Monthly"/>
    <d v="2024-04-23T00:00:00"/>
    <x v="1"/>
    <n v="53003"/>
    <n v="2730"/>
    <n v="13"/>
    <d v="2024-05-06T00:00:00"/>
    <x v="0"/>
    <x v="0"/>
    <x v="1"/>
    <n v="19.414999999999999"/>
    <n v="66"/>
    <n v="2024"/>
    <s v="April"/>
  </r>
  <r>
    <s v="DINS-CLM-100513"/>
    <s v="DINS-CUS-500513"/>
    <s v="DINS-POL-200513"/>
    <x v="5"/>
    <x v="0"/>
    <x v="5"/>
    <x v="0"/>
    <x v="6"/>
    <d v="2023-07-20T00:00:00"/>
    <s v="Annual"/>
    <d v="2024-04-05T00:00:00"/>
    <x v="1"/>
    <n v="46810"/>
    <n v="7014"/>
    <n v="13"/>
    <d v="2024-04-18T00:00:00"/>
    <x v="0"/>
    <x v="0"/>
    <x v="1"/>
    <n v="6.6738"/>
    <n v="260"/>
    <n v="2024"/>
    <s v="April"/>
  </r>
  <r>
    <s v="DINS-CLM-100514"/>
    <s v="DINS-CUS-500514"/>
    <s v="DINS-POL-200514"/>
    <x v="1"/>
    <x v="0"/>
    <x v="3"/>
    <x v="1"/>
    <x v="7"/>
    <d v="2023-02-18T00:00:00"/>
    <s v="Monthly"/>
    <d v="2024-01-31T00:00:00"/>
    <x v="0"/>
    <n v="28250"/>
    <n v="8994"/>
    <s v="N/A - Not Settled"/>
    <s v="N/A - Not Settled"/>
    <x v="0"/>
    <x v="0"/>
    <x v="0"/>
    <n v="3.141"/>
    <n v="347"/>
    <n v="2024"/>
    <s v="January"/>
  </r>
  <r>
    <s v="DINS-CLM-100515"/>
    <s v="DINS-CUS-500515"/>
    <s v="DINS-POL-200515"/>
    <x v="2"/>
    <x v="2"/>
    <x v="5"/>
    <x v="1"/>
    <x v="5"/>
    <d v="2024-07-12T00:00:00"/>
    <s v="Annual"/>
    <d v="2024-10-30T00:00:00"/>
    <x v="2"/>
    <n v="4900"/>
    <n v="3889"/>
    <s v="N/A - Not Settled"/>
    <s v="N/A - Not Settled"/>
    <x v="0"/>
    <x v="0"/>
    <x v="0"/>
    <n v="1.26"/>
    <n v="110"/>
    <n v="2024"/>
    <s v="October"/>
  </r>
  <r>
    <s v="DINS-CLM-100516"/>
    <s v="DINS-CUS-500516"/>
    <s v="DINS-POL-200516"/>
    <x v="1"/>
    <x v="1"/>
    <x v="4"/>
    <x v="0"/>
    <x v="4"/>
    <d v="2024-04-14T00:00:00"/>
    <s v="Annual"/>
    <d v="2024-12-12T00:00:00"/>
    <x v="1"/>
    <n v="24194"/>
    <n v="8274"/>
    <n v="11"/>
    <d v="2024-12-23T00:00:00"/>
    <x v="0"/>
    <x v="0"/>
    <x v="2"/>
    <n v="2.9241000000000001"/>
    <n v="242"/>
    <n v="2024"/>
    <s v="December"/>
  </r>
  <r>
    <s v="DINS-CLM-100517"/>
    <s v="DINS-CUS-500517"/>
    <s v="DINS-POL-200517"/>
    <x v="1"/>
    <x v="0"/>
    <x v="5"/>
    <x v="2"/>
    <x v="3"/>
    <d v="2024-02-29T00:00:00"/>
    <s v="Annual"/>
    <d v="2024-12-25T00:00:00"/>
    <x v="1"/>
    <n v="43105"/>
    <n v="1414"/>
    <n v="28"/>
    <d v="2025-01-22T00:00:00"/>
    <x v="0"/>
    <x v="0"/>
    <x v="1"/>
    <n v="30.484400000000001"/>
    <n v="300"/>
    <n v="2024"/>
    <s v="December"/>
  </r>
  <r>
    <s v="DINS-CLM-100518"/>
    <s v="DINS-CUS-500518"/>
    <s v="DINS-POL-200518"/>
    <x v="3"/>
    <x v="1"/>
    <x v="4"/>
    <x v="1"/>
    <x v="3"/>
    <d v="2023-08-31T00:00:00"/>
    <s v="Annual"/>
    <d v="2024-08-23T00:00:00"/>
    <x v="1"/>
    <n v="94608"/>
    <n v="2863"/>
    <n v="28"/>
    <d v="2024-09-20T00:00:00"/>
    <x v="0"/>
    <x v="0"/>
    <x v="1"/>
    <n v="33.045099999999998"/>
    <n v="358"/>
    <n v="2024"/>
    <s v="August"/>
  </r>
  <r>
    <s v="DINS-CLM-100519"/>
    <s v="DINS-CUS-500519"/>
    <s v="DINS-POL-200519"/>
    <x v="4"/>
    <x v="1"/>
    <x v="2"/>
    <x v="0"/>
    <x v="0"/>
    <d v="2023-09-16T00:00:00"/>
    <s v="Annual"/>
    <d v="2024-08-24T00:00:00"/>
    <x v="1"/>
    <n v="17793"/>
    <n v="1443"/>
    <n v="7"/>
    <d v="2024-08-31T00:00:00"/>
    <x v="0"/>
    <x v="0"/>
    <x v="2"/>
    <n v="12.3306"/>
    <n v="343"/>
    <n v="2024"/>
    <s v="August"/>
  </r>
  <r>
    <s v="DINS-CLM-100520"/>
    <s v="DINS-CUS-500520"/>
    <s v="DINS-POL-200520"/>
    <x v="0"/>
    <x v="2"/>
    <x v="1"/>
    <x v="1"/>
    <x v="3"/>
    <d v="2023-12-29T00:00:00"/>
    <s v="Monthly"/>
    <d v="2024-05-24T00:00:00"/>
    <x v="0"/>
    <n v="25632"/>
    <n v="7372"/>
    <s v="N/A - Not Settled"/>
    <s v="N/A - Not Settled"/>
    <x v="0"/>
    <x v="0"/>
    <x v="1"/>
    <n v="3.4769000000000001"/>
    <n v="147"/>
    <n v="2024"/>
    <s v="May"/>
  </r>
  <r>
    <s v="DINS-CLM-100521"/>
    <s v="DINS-CUS-500521"/>
    <s v="DINS-POL-200521"/>
    <x v="3"/>
    <x v="1"/>
    <x v="5"/>
    <x v="0"/>
    <x v="5"/>
    <d v="2023-09-15T00:00:00"/>
    <s v="Monthly"/>
    <d v="2024-07-21T00:00:00"/>
    <x v="1"/>
    <n v="84025"/>
    <n v="8118"/>
    <n v="15"/>
    <d v="2024-08-05T00:00:00"/>
    <x v="0"/>
    <x v="0"/>
    <x v="2"/>
    <n v="10.3505"/>
    <n v="310"/>
    <n v="2024"/>
    <s v="July"/>
  </r>
  <r>
    <s v="DINS-CLM-100522"/>
    <s v="DINS-CUS-500522"/>
    <s v="DINS-POL-200522"/>
    <x v="0"/>
    <x v="1"/>
    <x v="4"/>
    <x v="0"/>
    <x v="5"/>
    <d v="2024-04-17T00:00:00"/>
    <s v="Monthly"/>
    <d v="2024-11-27T00:00:00"/>
    <x v="1"/>
    <n v="20000"/>
    <n v="5872"/>
    <n v="18"/>
    <d v="2024-12-15T00:00:00"/>
    <x v="0"/>
    <x v="0"/>
    <x v="2"/>
    <n v="3.4060000000000001"/>
    <n v="224"/>
    <n v="2024"/>
    <s v="November"/>
  </r>
  <r>
    <s v="DINS-CLM-100523"/>
    <s v="DINS-CUS-500523"/>
    <s v="DINS-POL-200523"/>
    <x v="3"/>
    <x v="2"/>
    <x v="4"/>
    <x v="0"/>
    <x v="5"/>
    <d v="2023-10-19T00:00:00"/>
    <s v="Monthly"/>
    <d v="2024-06-11T00:00:00"/>
    <x v="1"/>
    <n v="35860"/>
    <n v="1469"/>
    <n v="33"/>
    <d v="2024-07-14T00:00:00"/>
    <x v="0"/>
    <x v="0"/>
    <x v="0"/>
    <n v="24.411200000000001"/>
    <n v="236"/>
    <n v="2024"/>
    <s v="June"/>
  </r>
  <r>
    <s v="DINS-CLM-100524"/>
    <s v="DINS-CUS-500524"/>
    <s v="DINS-POL-200524"/>
    <x v="3"/>
    <x v="2"/>
    <x v="1"/>
    <x v="2"/>
    <x v="6"/>
    <d v="2023-11-24T00:00:00"/>
    <s v="Monthly"/>
    <d v="2024-07-17T00:00:00"/>
    <x v="0"/>
    <n v="98785"/>
    <n v="3597"/>
    <s v="N/A - Not Settled"/>
    <s v="N/A - Not Settled"/>
    <x v="0"/>
    <x v="0"/>
    <x v="0"/>
    <n v="27.463200000000001"/>
    <n v="236"/>
    <n v="2024"/>
    <s v="July"/>
  </r>
  <r>
    <s v="DINS-CLM-100525"/>
    <s v="DINS-CUS-500525"/>
    <s v="DINS-POL-200525"/>
    <x v="2"/>
    <x v="0"/>
    <x v="2"/>
    <x v="2"/>
    <x v="4"/>
    <d v="2023-07-28T00:00:00"/>
    <s v="Monthly"/>
    <d v="2024-07-04T00:00:00"/>
    <x v="1"/>
    <n v="23738"/>
    <n v="8226"/>
    <n v="43"/>
    <d v="2024-08-16T00:00:00"/>
    <x v="0"/>
    <x v="0"/>
    <x v="1"/>
    <n v="2.8856999999999999"/>
    <n v="342"/>
    <n v="2024"/>
    <s v="July"/>
  </r>
  <r>
    <s v="DINS-CLM-100526"/>
    <s v="DINS-CUS-500526"/>
    <s v="DINS-POL-200526"/>
    <x v="2"/>
    <x v="2"/>
    <x v="3"/>
    <x v="2"/>
    <x v="4"/>
    <d v="2023-05-08T00:00:00"/>
    <s v="Monthly"/>
    <d v="2024-04-29T00:00:00"/>
    <x v="2"/>
    <n v="22186"/>
    <n v="8457"/>
    <s v="N/A - Not Settled"/>
    <s v="N/A - Not Settled"/>
    <x v="0"/>
    <x v="0"/>
    <x v="0"/>
    <n v="2.6234000000000002"/>
    <n v="357"/>
    <n v="2024"/>
    <s v="April"/>
  </r>
  <r>
    <s v="DINS-CLM-100527"/>
    <s v="DINS-CUS-500527"/>
    <s v="DINS-POL-200527"/>
    <x v="0"/>
    <x v="1"/>
    <x v="0"/>
    <x v="1"/>
    <x v="6"/>
    <d v="2024-04-26T00:00:00"/>
    <s v="Monthly"/>
    <d v="2024-06-03T00:00:00"/>
    <x v="0"/>
    <n v="25938"/>
    <n v="4574"/>
    <s v="N/A - Not Settled"/>
    <s v="N/A - Not Settled"/>
    <x v="0"/>
    <x v="0"/>
    <x v="0"/>
    <n v="5.6707000000000001"/>
    <n v="38"/>
    <n v="2024"/>
    <s v="June"/>
  </r>
  <r>
    <s v="DINS-CLM-100528"/>
    <s v="DINS-CUS-500528"/>
    <s v="DINS-POL-200528"/>
    <x v="2"/>
    <x v="2"/>
    <x v="1"/>
    <x v="1"/>
    <x v="4"/>
    <d v="2024-02-25T00:00:00"/>
    <s v="Monthly"/>
    <d v="2024-03-27T00:00:00"/>
    <x v="1"/>
    <n v="25114"/>
    <n v="4628"/>
    <n v="33"/>
    <d v="2024-04-29T00:00:00"/>
    <x v="1"/>
    <x v="1"/>
    <x v="2"/>
    <n v="5.4264999999999999"/>
    <n v="31"/>
    <n v="2024"/>
    <s v="March"/>
  </r>
  <r>
    <s v="DINS-CLM-100529"/>
    <s v="DINS-CUS-500529"/>
    <s v="DINS-POL-200529"/>
    <x v="0"/>
    <x v="0"/>
    <x v="0"/>
    <x v="2"/>
    <x v="2"/>
    <d v="2024-04-04T00:00:00"/>
    <s v="Annual"/>
    <d v="2024-08-18T00:00:00"/>
    <x v="2"/>
    <n v="34956"/>
    <n v="6601"/>
    <s v="N/A - Not Settled"/>
    <s v="N/A - Not Settled"/>
    <x v="0"/>
    <x v="0"/>
    <x v="0"/>
    <n v="5.2956000000000003"/>
    <n v="136"/>
    <n v="2024"/>
    <s v="August"/>
  </r>
  <r>
    <s v="DINS-CLM-100530"/>
    <s v="DINS-CUS-500530"/>
    <s v="DINS-POL-200530"/>
    <x v="0"/>
    <x v="2"/>
    <x v="5"/>
    <x v="2"/>
    <x v="7"/>
    <d v="2023-12-07T00:00:00"/>
    <s v="Monthly"/>
    <d v="2024-08-22T00:00:00"/>
    <x v="0"/>
    <n v="12966"/>
    <n v="3837"/>
    <s v="N/A - Not Settled"/>
    <s v="N/A - Not Settled"/>
    <x v="0"/>
    <x v="0"/>
    <x v="1"/>
    <n v="3.3792"/>
    <n v="259"/>
    <n v="2024"/>
    <s v="August"/>
  </r>
  <r>
    <s v="DINS-CLM-100531"/>
    <s v="DINS-CUS-500531"/>
    <s v="DINS-POL-200531"/>
    <x v="1"/>
    <x v="0"/>
    <x v="5"/>
    <x v="2"/>
    <x v="2"/>
    <d v="2024-02-07T00:00:00"/>
    <s v="Monthly"/>
    <d v="2024-06-30T00:00:00"/>
    <x v="1"/>
    <n v="46076"/>
    <n v="1315"/>
    <n v="14"/>
    <d v="2024-07-14T00:00:00"/>
    <x v="0"/>
    <x v="0"/>
    <x v="0"/>
    <n v="35.038800000000002"/>
    <n v="144"/>
    <n v="2024"/>
    <s v="June"/>
  </r>
  <r>
    <s v="DINS-CLM-100532"/>
    <s v="DINS-CUS-500532"/>
    <s v="DINS-POL-200532"/>
    <x v="0"/>
    <x v="2"/>
    <x v="1"/>
    <x v="0"/>
    <x v="4"/>
    <d v="2024-01-01T00:00:00"/>
    <s v="Annual"/>
    <d v="2024-02-26T00:00:00"/>
    <x v="1"/>
    <n v="32234"/>
    <n v="1455"/>
    <n v="35"/>
    <d v="2024-04-01T00:00:00"/>
    <x v="0"/>
    <x v="0"/>
    <x v="0"/>
    <n v="22.154"/>
    <n v="56"/>
    <n v="2024"/>
    <s v="February"/>
  </r>
  <r>
    <s v="DINS-CLM-100533"/>
    <s v="DINS-CUS-500533"/>
    <s v="DINS-POL-200533"/>
    <x v="0"/>
    <x v="0"/>
    <x v="0"/>
    <x v="1"/>
    <x v="5"/>
    <d v="2024-07-20T00:00:00"/>
    <s v="Annual"/>
    <d v="2024-09-09T00:00:00"/>
    <x v="1"/>
    <n v="11274"/>
    <n v="3475"/>
    <n v="27"/>
    <d v="2024-10-06T00:00:00"/>
    <x v="0"/>
    <x v="0"/>
    <x v="2"/>
    <n v="3.2443"/>
    <n v="51"/>
    <n v="2024"/>
    <s v="September"/>
  </r>
  <r>
    <s v="DINS-CLM-100534"/>
    <s v="DINS-CUS-500534"/>
    <s v="DINS-POL-200534"/>
    <x v="1"/>
    <x v="0"/>
    <x v="3"/>
    <x v="2"/>
    <x v="0"/>
    <d v="2024-05-13T00:00:00"/>
    <s v="Monthly"/>
    <d v="2024-09-06T00:00:00"/>
    <x v="1"/>
    <n v="50680"/>
    <n v="7677"/>
    <n v="36"/>
    <d v="2024-10-12T00:00:00"/>
    <x v="0"/>
    <x v="0"/>
    <x v="0"/>
    <n v="6.6014999999999997"/>
    <n v="116"/>
    <n v="2024"/>
    <s v="September"/>
  </r>
  <r>
    <s v="DINS-CLM-100535"/>
    <s v="DINS-CUS-500535"/>
    <s v="DINS-POL-200535"/>
    <x v="0"/>
    <x v="1"/>
    <x v="3"/>
    <x v="1"/>
    <x v="5"/>
    <d v="2023-08-10T00:00:00"/>
    <s v="Annual"/>
    <d v="2024-01-01T00:00:00"/>
    <x v="0"/>
    <n v="16126"/>
    <n v="7103"/>
    <s v="N/A - Not Settled"/>
    <s v="N/A - Not Settled"/>
    <x v="0"/>
    <x v="0"/>
    <x v="1"/>
    <n v="2.2703000000000002"/>
    <n v="144"/>
    <n v="2024"/>
    <s v="January"/>
  </r>
  <r>
    <s v="DINS-CLM-100536"/>
    <s v="DINS-CUS-500536"/>
    <s v="DINS-POL-200536"/>
    <x v="2"/>
    <x v="0"/>
    <x v="2"/>
    <x v="1"/>
    <x v="2"/>
    <d v="2024-10-27T00:00:00"/>
    <s v="Monthly"/>
    <d v="2024-12-05T00:00:00"/>
    <x v="1"/>
    <n v="37407"/>
    <n v="7591"/>
    <n v="34"/>
    <d v="2025-01-08T00:00:00"/>
    <x v="0"/>
    <x v="0"/>
    <x v="0"/>
    <n v="4.9278000000000004"/>
    <n v="39"/>
    <n v="2024"/>
    <s v="December"/>
  </r>
  <r>
    <s v="DINS-CLM-100537"/>
    <s v="DINS-CUS-500537"/>
    <s v="DINS-POL-200537"/>
    <x v="4"/>
    <x v="2"/>
    <x v="1"/>
    <x v="0"/>
    <x v="6"/>
    <d v="2023-12-12T00:00:00"/>
    <s v="Annual"/>
    <d v="2024-07-14T00:00:00"/>
    <x v="0"/>
    <n v="18767"/>
    <n v="1012"/>
    <s v="N/A - Not Settled"/>
    <s v="N/A - Not Settled"/>
    <x v="0"/>
    <x v="0"/>
    <x v="2"/>
    <n v="18.544499999999999"/>
    <n v="215"/>
    <n v="2024"/>
    <s v="July"/>
  </r>
  <r>
    <s v="DINS-CLM-100538"/>
    <s v="DINS-CUS-500538"/>
    <s v="DINS-POL-200538"/>
    <x v="0"/>
    <x v="1"/>
    <x v="2"/>
    <x v="0"/>
    <x v="5"/>
    <d v="2023-09-21T00:00:00"/>
    <s v="Monthly"/>
    <d v="2024-08-20T00:00:00"/>
    <x v="1"/>
    <n v="46196"/>
    <n v="5928"/>
    <n v="12"/>
    <d v="2024-09-01T00:00:00"/>
    <x v="0"/>
    <x v="0"/>
    <x v="0"/>
    <n v="7.7927999999999997"/>
    <n v="334"/>
    <n v="2024"/>
    <s v="August"/>
  </r>
  <r>
    <s v="DINS-CLM-100539"/>
    <s v="DINS-CUS-500539"/>
    <s v="DINS-POL-200539"/>
    <x v="5"/>
    <x v="1"/>
    <x v="4"/>
    <x v="0"/>
    <x v="2"/>
    <d v="2023-07-25T00:00:00"/>
    <s v="Monthly"/>
    <d v="2024-04-05T00:00:00"/>
    <x v="1"/>
    <n v="33105"/>
    <n v="1821"/>
    <n v="36"/>
    <d v="2024-05-11T00:00:00"/>
    <x v="0"/>
    <x v="0"/>
    <x v="2"/>
    <n v="18.179600000000001"/>
    <n v="255"/>
    <n v="2024"/>
    <s v="April"/>
  </r>
  <r>
    <s v="DINS-CLM-100540"/>
    <s v="DINS-CUS-500540"/>
    <s v="DINS-POL-200540"/>
    <x v="0"/>
    <x v="0"/>
    <x v="4"/>
    <x v="0"/>
    <x v="4"/>
    <d v="2023-08-15T00:00:00"/>
    <s v="Monthly"/>
    <d v="2024-05-08T00:00:00"/>
    <x v="1"/>
    <n v="53042"/>
    <n v="3022"/>
    <n v="38"/>
    <d v="2024-06-15T00:00:00"/>
    <x v="0"/>
    <x v="0"/>
    <x v="2"/>
    <n v="17.552"/>
    <n v="267"/>
    <n v="2024"/>
    <s v="May"/>
  </r>
  <r>
    <s v="DINS-CLM-100541"/>
    <s v="DINS-CUS-500541"/>
    <s v="DINS-POL-200541"/>
    <x v="2"/>
    <x v="0"/>
    <x v="1"/>
    <x v="2"/>
    <x v="4"/>
    <d v="2023-11-11T00:00:00"/>
    <s v="Annual"/>
    <d v="2024-11-07T00:00:00"/>
    <x v="1"/>
    <n v="33882"/>
    <n v="7468"/>
    <n v="45"/>
    <d v="2024-12-22T00:00:00"/>
    <x v="0"/>
    <x v="0"/>
    <x v="1"/>
    <n v="4.5369999999999999"/>
    <n v="362"/>
    <n v="2024"/>
    <s v="November"/>
  </r>
  <r>
    <s v="DINS-CLM-100542"/>
    <s v="DINS-CUS-500542"/>
    <s v="DINS-POL-200542"/>
    <x v="0"/>
    <x v="0"/>
    <x v="4"/>
    <x v="2"/>
    <x v="4"/>
    <d v="2023-12-09T00:00:00"/>
    <s v="Monthly"/>
    <d v="2024-04-28T00:00:00"/>
    <x v="1"/>
    <n v="48596"/>
    <n v="657"/>
    <n v="9"/>
    <d v="2024-05-07T00:00:00"/>
    <x v="0"/>
    <x v="0"/>
    <x v="1"/>
    <n v="73.966499999999996"/>
    <n v="141"/>
    <n v="2024"/>
    <s v="April"/>
  </r>
  <r>
    <s v="DINS-CLM-100543"/>
    <s v="DINS-CUS-500543"/>
    <s v="DINS-POL-200543"/>
    <x v="2"/>
    <x v="0"/>
    <x v="0"/>
    <x v="2"/>
    <x v="2"/>
    <d v="2024-04-12T00:00:00"/>
    <s v="Annual"/>
    <d v="2024-07-18T00:00:00"/>
    <x v="0"/>
    <n v="18668"/>
    <n v="8800"/>
    <s v="N/A - Not Settled"/>
    <s v="N/A - Not Settled"/>
    <x v="0"/>
    <x v="0"/>
    <x v="2"/>
    <n v="2.1214"/>
    <n v="97"/>
    <n v="2024"/>
    <s v="July"/>
  </r>
  <r>
    <s v="DINS-CLM-100544"/>
    <s v="DINS-CUS-500544"/>
    <s v="DINS-POL-200544"/>
    <x v="0"/>
    <x v="1"/>
    <x v="4"/>
    <x v="1"/>
    <x v="5"/>
    <d v="2024-03-05T00:00:00"/>
    <s v="Annual"/>
    <d v="2024-04-29T00:00:00"/>
    <x v="1"/>
    <n v="46241"/>
    <n v="6238"/>
    <n v="17"/>
    <d v="2024-05-16T00:00:00"/>
    <x v="0"/>
    <x v="0"/>
    <x v="1"/>
    <n v="7.4127999999999998"/>
    <n v="55"/>
    <n v="2024"/>
    <s v="April"/>
  </r>
  <r>
    <s v="DINS-CLM-100545"/>
    <s v="DINS-CUS-500545"/>
    <s v="DINS-POL-200545"/>
    <x v="2"/>
    <x v="0"/>
    <x v="5"/>
    <x v="0"/>
    <x v="4"/>
    <d v="2023-09-06T00:00:00"/>
    <s v="Annual"/>
    <d v="2024-06-24T00:00:00"/>
    <x v="1"/>
    <n v="3909"/>
    <n v="7836"/>
    <n v="11"/>
    <d v="2024-07-05T00:00:00"/>
    <x v="0"/>
    <x v="0"/>
    <x v="2"/>
    <n v="0.49890000000000001"/>
    <n v="292"/>
    <n v="2024"/>
    <s v="June"/>
  </r>
  <r>
    <s v="DINS-CLM-100546"/>
    <s v="DINS-CUS-500546"/>
    <s v="DINS-POL-200546"/>
    <x v="4"/>
    <x v="2"/>
    <x v="2"/>
    <x v="1"/>
    <x v="7"/>
    <d v="2023-09-12T00:00:00"/>
    <s v="Annual"/>
    <d v="2024-07-23T00:00:00"/>
    <x v="1"/>
    <n v="12981"/>
    <n v="7743"/>
    <n v="39"/>
    <d v="2024-08-31T00:00:00"/>
    <x v="0"/>
    <x v="0"/>
    <x v="1"/>
    <n v="1.6765000000000001"/>
    <n v="315"/>
    <n v="2024"/>
    <s v="July"/>
  </r>
  <r>
    <s v="DINS-CLM-100547"/>
    <s v="DINS-CUS-500547"/>
    <s v="DINS-POL-200547"/>
    <x v="3"/>
    <x v="2"/>
    <x v="1"/>
    <x v="1"/>
    <x v="6"/>
    <d v="2023-04-24T00:00:00"/>
    <s v="Monthly"/>
    <d v="2024-04-02T00:00:00"/>
    <x v="1"/>
    <n v="76864"/>
    <n v="3434"/>
    <n v="42"/>
    <d v="2024-05-14T00:00:00"/>
    <x v="0"/>
    <x v="0"/>
    <x v="0"/>
    <n v="22.383199999999999"/>
    <n v="344"/>
    <n v="2024"/>
    <s v="April"/>
  </r>
  <r>
    <s v="DINS-CLM-100548"/>
    <s v="DINS-CUS-500548"/>
    <s v="DINS-POL-200548"/>
    <x v="0"/>
    <x v="1"/>
    <x v="2"/>
    <x v="2"/>
    <x v="2"/>
    <d v="2023-10-19T00:00:00"/>
    <s v="Annual"/>
    <d v="2024-02-24T00:00:00"/>
    <x v="1"/>
    <n v="3172"/>
    <n v="8993"/>
    <n v="5"/>
    <d v="2024-02-29T00:00:00"/>
    <x v="0"/>
    <x v="0"/>
    <x v="1"/>
    <n v="0.35270000000000001"/>
    <n v="128"/>
    <n v="2024"/>
    <s v="February"/>
  </r>
  <r>
    <s v="DINS-CLM-100549"/>
    <s v="DINS-CUS-500549"/>
    <s v="DINS-POL-200549"/>
    <x v="3"/>
    <x v="1"/>
    <x v="3"/>
    <x v="2"/>
    <x v="1"/>
    <d v="2024-04-17T00:00:00"/>
    <s v="Monthly"/>
    <d v="2024-12-31T00:00:00"/>
    <x v="1"/>
    <n v="40815"/>
    <n v="758"/>
    <n v="12"/>
    <d v="2025-01-12T00:00:00"/>
    <x v="1"/>
    <x v="1"/>
    <x v="0"/>
    <n v="53.845599999999997"/>
    <n v="258"/>
    <n v="2024"/>
    <s v="December"/>
  </r>
  <r>
    <s v="DINS-CLM-100550"/>
    <s v="DINS-CUS-500550"/>
    <s v="DINS-POL-200550"/>
    <x v="4"/>
    <x v="1"/>
    <x v="1"/>
    <x v="0"/>
    <x v="6"/>
    <d v="2023-06-11T00:00:00"/>
    <s v="Monthly"/>
    <d v="2024-03-07T00:00:00"/>
    <x v="0"/>
    <n v="3166"/>
    <n v="7667"/>
    <s v="N/A - Not Settled"/>
    <s v="N/A - Not Settled"/>
    <x v="0"/>
    <x v="0"/>
    <x v="1"/>
    <n v="0.41289999999999999"/>
    <n v="270"/>
    <n v="2024"/>
    <s v="March"/>
  </r>
  <r>
    <s v="DINS-CLM-100551"/>
    <s v="DINS-CUS-500551"/>
    <s v="DINS-POL-200551"/>
    <x v="3"/>
    <x v="2"/>
    <x v="3"/>
    <x v="0"/>
    <x v="0"/>
    <d v="2024-05-03T00:00:00"/>
    <s v="Monthly"/>
    <d v="2024-06-09T00:00:00"/>
    <x v="1"/>
    <n v="61059"/>
    <n v="4726"/>
    <n v="18"/>
    <d v="2024-06-27T00:00:00"/>
    <x v="0"/>
    <x v="0"/>
    <x v="0"/>
    <n v="12.9198"/>
    <n v="37"/>
    <n v="2024"/>
    <s v="June"/>
  </r>
  <r>
    <s v="DINS-CLM-100552"/>
    <s v="DINS-CUS-500552"/>
    <s v="DINS-POL-200552"/>
    <x v="2"/>
    <x v="0"/>
    <x v="5"/>
    <x v="0"/>
    <x v="2"/>
    <d v="2024-07-06T00:00:00"/>
    <s v="Monthly"/>
    <d v="2024-10-04T00:00:00"/>
    <x v="1"/>
    <n v="4080"/>
    <n v="7763"/>
    <n v="22"/>
    <d v="2024-10-26T00:00:00"/>
    <x v="1"/>
    <x v="0"/>
    <x v="2"/>
    <n v="0.52559999999999996"/>
    <n v="90"/>
    <n v="2024"/>
    <s v="October"/>
  </r>
  <r>
    <s v="DINS-CLM-100553"/>
    <s v="DINS-CUS-500553"/>
    <s v="DINS-POL-200553"/>
    <x v="0"/>
    <x v="0"/>
    <x v="0"/>
    <x v="0"/>
    <x v="4"/>
    <d v="2024-01-02T00:00:00"/>
    <s v="Annual"/>
    <d v="2024-09-08T00:00:00"/>
    <x v="0"/>
    <n v="41710"/>
    <n v="5269"/>
    <s v="N/A - Not Settled"/>
    <s v="N/A - Not Settled"/>
    <x v="0"/>
    <x v="0"/>
    <x v="2"/>
    <n v="7.9161000000000001"/>
    <n v="250"/>
    <n v="2024"/>
    <s v="September"/>
  </r>
  <r>
    <s v="DINS-CLM-100554"/>
    <s v="DINS-CUS-500554"/>
    <s v="DINS-POL-200554"/>
    <x v="2"/>
    <x v="0"/>
    <x v="1"/>
    <x v="2"/>
    <x v="1"/>
    <d v="2023-12-13T00:00:00"/>
    <s v="Annual"/>
    <d v="2024-02-26T00:00:00"/>
    <x v="1"/>
    <n v="26375"/>
    <n v="8068"/>
    <n v="24"/>
    <d v="2024-03-21T00:00:00"/>
    <x v="0"/>
    <x v="0"/>
    <x v="1"/>
    <n v="3.2690999999999999"/>
    <n v="75"/>
    <n v="2024"/>
    <s v="February"/>
  </r>
  <r>
    <s v="DINS-CLM-100555"/>
    <s v="DINS-CUS-500555"/>
    <s v="DINS-POL-200555"/>
    <x v="2"/>
    <x v="0"/>
    <x v="1"/>
    <x v="2"/>
    <x v="1"/>
    <d v="2023-06-17T00:00:00"/>
    <s v="Annual"/>
    <d v="2024-05-13T00:00:00"/>
    <x v="1"/>
    <n v="34993"/>
    <n v="2046"/>
    <n v="35"/>
    <d v="2024-06-17T00:00:00"/>
    <x v="1"/>
    <x v="1"/>
    <x v="1"/>
    <n v="17.103100000000001"/>
    <n v="331"/>
    <n v="2024"/>
    <s v="May"/>
  </r>
  <r>
    <s v="DINS-CLM-100556"/>
    <s v="DINS-CUS-500556"/>
    <s v="DINS-POL-200556"/>
    <x v="0"/>
    <x v="1"/>
    <x v="4"/>
    <x v="0"/>
    <x v="3"/>
    <d v="2023-07-15T00:00:00"/>
    <s v="Annual"/>
    <d v="2024-04-29T00:00:00"/>
    <x v="1"/>
    <n v="39642"/>
    <n v="3528"/>
    <n v="30"/>
    <d v="2024-05-29T00:00:00"/>
    <x v="0"/>
    <x v="0"/>
    <x v="1"/>
    <n v="11.2364"/>
    <n v="289"/>
    <n v="2024"/>
    <s v="April"/>
  </r>
  <r>
    <s v="DINS-CLM-100557"/>
    <s v="DINS-CUS-500557"/>
    <s v="DINS-POL-200557"/>
    <x v="5"/>
    <x v="0"/>
    <x v="4"/>
    <x v="1"/>
    <x v="4"/>
    <d v="2023-10-04T00:00:00"/>
    <s v="Annual"/>
    <d v="2024-02-11T00:00:00"/>
    <x v="2"/>
    <n v="18569"/>
    <n v="1071"/>
    <s v="N/A - Not Settled"/>
    <s v="N/A - Not Settled"/>
    <x v="1"/>
    <x v="0"/>
    <x v="2"/>
    <n v="17.338000000000001"/>
    <n v="130"/>
    <n v="2024"/>
    <s v="February"/>
  </r>
  <r>
    <s v="DINS-CLM-100558"/>
    <s v="DINS-CUS-500558"/>
    <s v="DINS-POL-200558"/>
    <x v="2"/>
    <x v="2"/>
    <x v="4"/>
    <x v="0"/>
    <x v="6"/>
    <d v="2023-12-26T00:00:00"/>
    <s v="Annual"/>
    <d v="2024-03-20T00:00:00"/>
    <x v="1"/>
    <n v="38597"/>
    <n v="6715"/>
    <n v="9"/>
    <d v="2024-03-29T00:00:00"/>
    <x v="0"/>
    <x v="0"/>
    <x v="0"/>
    <n v="5.7478999999999996"/>
    <n v="85"/>
    <n v="2024"/>
    <s v="March"/>
  </r>
  <r>
    <s v="DINS-CLM-100559"/>
    <s v="DINS-CUS-500559"/>
    <s v="DINS-POL-200559"/>
    <x v="0"/>
    <x v="1"/>
    <x v="5"/>
    <x v="2"/>
    <x v="3"/>
    <d v="2024-01-06T00:00:00"/>
    <s v="Annual"/>
    <d v="2024-10-27T00:00:00"/>
    <x v="1"/>
    <n v="7037"/>
    <n v="4362"/>
    <n v="3"/>
    <d v="2024-10-30T00:00:00"/>
    <x v="0"/>
    <x v="0"/>
    <x v="1"/>
    <n v="1.6133"/>
    <n v="295"/>
    <n v="2024"/>
    <s v="October"/>
  </r>
  <r>
    <s v="DINS-CLM-100560"/>
    <s v="DINS-CUS-500560"/>
    <s v="DINS-POL-200560"/>
    <x v="0"/>
    <x v="0"/>
    <x v="4"/>
    <x v="0"/>
    <x v="2"/>
    <d v="2024-09-23T00:00:00"/>
    <s v="Annual"/>
    <d v="2024-12-10T00:00:00"/>
    <x v="0"/>
    <n v="45387"/>
    <n v="8105"/>
    <s v="N/A - Not Settled"/>
    <s v="N/A - Not Settled"/>
    <x v="0"/>
    <x v="0"/>
    <x v="2"/>
    <n v="5.5998999999999999"/>
    <n v="78"/>
    <n v="2024"/>
    <s v="December"/>
  </r>
  <r>
    <s v="DINS-CLM-100561"/>
    <s v="DINS-CUS-500561"/>
    <s v="DINS-POL-200561"/>
    <x v="2"/>
    <x v="2"/>
    <x v="3"/>
    <x v="2"/>
    <x v="2"/>
    <d v="2024-08-30T00:00:00"/>
    <s v="Annual"/>
    <d v="2024-11-16T00:00:00"/>
    <x v="1"/>
    <n v="13582"/>
    <n v="6763"/>
    <n v="19"/>
    <d v="2024-12-05T00:00:00"/>
    <x v="0"/>
    <x v="0"/>
    <x v="2"/>
    <n v="2.0083000000000002"/>
    <n v="78"/>
    <n v="2024"/>
    <s v="November"/>
  </r>
  <r>
    <s v="DINS-CLM-100562"/>
    <s v="DINS-CUS-500562"/>
    <s v="DINS-POL-200562"/>
    <x v="4"/>
    <x v="0"/>
    <x v="2"/>
    <x v="2"/>
    <x v="7"/>
    <d v="2024-02-14T00:00:00"/>
    <s v="Annual"/>
    <d v="2024-08-21T00:00:00"/>
    <x v="1"/>
    <n v="12231"/>
    <n v="8763"/>
    <n v="41"/>
    <d v="2024-10-01T00:00:00"/>
    <x v="0"/>
    <x v="0"/>
    <x v="2"/>
    <n v="1.3957999999999999"/>
    <n v="189"/>
    <n v="2024"/>
    <s v="August"/>
  </r>
  <r>
    <s v="DINS-CLM-100563"/>
    <s v="DINS-CUS-500563"/>
    <s v="DINS-POL-200563"/>
    <x v="5"/>
    <x v="0"/>
    <x v="3"/>
    <x v="2"/>
    <x v="1"/>
    <d v="2024-03-09T00:00:00"/>
    <s v="Monthly"/>
    <d v="2024-05-28T00:00:00"/>
    <x v="1"/>
    <n v="54846"/>
    <n v="2331"/>
    <n v="21"/>
    <d v="2024-06-18T00:00:00"/>
    <x v="0"/>
    <x v="0"/>
    <x v="2"/>
    <n v="23.529"/>
    <n v="80"/>
    <n v="2024"/>
    <s v="May"/>
  </r>
  <r>
    <s v="DINS-CLM-100564"/>
    <s v="DINS-CUS-500564"/>
    <s v="DINS-POL-200564"/>
    <x v="3"/>
    <x v="0"/>
    <x v="2"/>
    <x v="1"/>
    <x v="5"/>
    <d v="2023-06-04T00:00:00"/>
    <s v="Annual"/>
    <d v="2024-01-20T00:00:00"/>
    <x v="2"/>
    <n v="91790"/>
    <n v="3900"/>
    <s v="N/A - Not Settled"/>
    <s v="N/A - Not Settled"/>
    <x v="0"/>
    <x v="0"/>
    <x v="1"/>
    <n v="23.535900000000002"/>
    <n v="230"/>
    <n v="2024"/>
    <s v="January"/>
  </r>
  <r>
    <s v="DINS-CLM-100565"/>
    <s v="DINS-CUS-500565"/>
    <s v="DINS-POL-200565"/>
    <x v="0"/>
    <x v="2"/>
    <x v="3"/>
    <x v="1"/>
    <x v="2"/>
    <d v="2023-05-10T00:00:00"/>
    <s v="Monthly"/>
    <d v="2024-01-17T00:00:00"/>
    <x v="1"/>
    <n v="27406"/>
    <n v="8392"/>
    <n v="7"/>
    <d v="2024-01-24T00:00:00"/>
    <x v="1"/>
    <x v="1"/>
    <x v="1"/>
    <n v="3.2656999999999998"/>
    <n v="252"/>
    <n v="2024"/>
    <s v="January"/>
  </r>
  <r>
    <s v="DINS-CLM-100566"/>
    <s v="DINS-CUS-500566"/>
    <s v="DINS-POL-200566"/>
    <x v="0"/>
    <x v="1"/>
    <x v="4"/>
    <x v="2"/>
    <x v="2"/>
    <d v="2024-02-02T00:00:00"/>
    <s v="Monthly"/>
    <d v="2024-03-23T00:00:00"/>
    <x v="2"/>
    <n v="25889"/>
    <n v="2930"/>
    <s v="N/A - Not Settled"/>
    <s v="N/A - Not Settled"/>
    <x v="0"/>
    <x v="0"/>
    <x v="2"/>
    <n v="8.8358000000000008"/>
    <n v="50"/>
    <n v="2024"/>
    <s v="March"/>
  </r>
  <r>
    <s v="DINS-CLM-100567"/>
    <s v="DINS-CUS-500567"/>
    <s v="DINS-POL-200567"/>
    <x v="2"/>
    <x v="2"/>
    <x v="0"/>
    <x v="1"/>
    <x v="0"/>
    <d v="2024-03-15T00:00:00"/>
    <s v="Monthly"/>
    <d v="2024-06-13T00:00:00"/>
    <x v="1"/>
    <n v="9811"/>
    <n v="3232"/>
    <n v="45"/>
    <d v="2024-07-28T00:00:00"/>
    <x v="0"/>
    <x v="0"/>
    <x v="0"/>
    <n v="3.0356000000000001"/>
    <n v="90"/>
    <n v="2024"/>
    <s v="June"/>
  </r>
  <r>
    <s v="DINS-CLM-100568"/>
    <s v="DINS-CUS-500568"/>
    <s v="DINS-POL-200568"/>
    <x v="3"/>
    <x v="2"/>
    <x v="5"/>
    <x v="0"/>
    <x v="3"/>
    <d v="2024-05-18T00:00:00"/>
    <s v="Annual"/>
    <d v="2024-12-04T00:00:00"/>
    <x v="1"/>
    <n v="27877"/>
    <n v="6015"/>
    <n v="26"/>
    <d v="2024-12-30T00:00:00"/>
    <x v="0"/>
    <x v="0"/>
    <x v="1"/>
    <n v="4.6345999999999998"/>
    <n v="200"/>
    <n v="2024"/>
    <s v="December"/>
  </r>
  <r>
    <s v="DINS-CLM-100569"/>
    <s v="DINS-CUS-500569"/>
    <s v="DINS-POL-200569"/>
    <x v="0"/>
    <x v="1"/>
    <x v="5"/>
    <x v="1"/>
    <x v="0"/>
    <d v="2023-02-27T00:00:00"/>
    <s v="Monthly"/>
    <d v="2024-01-01T00:00:00"/>
    <x v="0"/>
    <n v="6810"/>
    <n v="8197"/>
    <s v="N/A - Not Settled"/>
    <s v="N/A - Not Settled"/>
    <x v="1"/>
    <x v="0"/>
    <x v="1"/>
    <n v="0.83079999999999998"/>
    <n v="308"/>
    <n v="2024"/>
    <s v="January"/>
  </r>
  <r>
    <s v="DINS-CLM-100570"/>
    <s v="DINS-CUS-500570"/>
    <s v="DINS-POL-200570"/>
    <x v="2"/>
    <x v="2"/>
    <x v="2"/>
    <x v="0"/>
    <x v="1"/>
    <d v="2024-01-16T00:00:00"/>
    <s v="Monthly"/>
    <d v="2024-07-16T00:00:00"/>
    <x v="2"/>
    <n v="30379"/>
    <n v="4347"/>
    <s v="N/A - Not Settled"/>
    <s v="N/A - Not Settled"/>
    <x v="1"/>
    <x v="1"/>
    <x v="0"/>
    <n v="6.9885000000000002"/>
    <n v="182"/>
    <n v="2024"/>
    <s v="July"/>
  </r>
  <r>
    <s v="DINS-CLM-100571"/>
    <s v="DINS-CUS-500571"/>
    <s v="DINS-POL-200571"/>
    <x v="1"/>
    <x v="2"/>
    <x v="0"/>
    <x v="0"/>
    <x v="7"/>
    <d v="2024-03-01T00:00:00"/>
    <s v="Annual"/>
    <d v="2024-03-31T00:00:00"/>
    <x v="2"/>
    <n v="46521"/>
    <n v="1191"/>
    <s v="N/A - Not Settled"/>
    <s v="N/A - Not Settled"/>
    <x v="0"/>
    <x v="0"/>
    <x v="1"/>
    <n v="39.060499999999998"/>
    <n v="30"/>
    <n v="2024"/>
    <s v="March"/>
  </r>
  <r>
    <s v="DINS-CLM-100572"/>
    <s v="DINS-CUS-500572"/>
    <s v="DINS-POL-200572"/>
    <x v="1"/>
    <x v="1"/>
    <x v="2"/>
    <x v="1"/>
    <x v="3"/>
    <d v="2023-06-06T00:00:00"/>
    <s v="Annual"/>
    <d v="2024-03-05T00:00:00"/>
    <x v="1"/>
    <n v="37330"/>
    <n v="1995"/>
    <n v="25"/>
    <d v="2024-03-30T00:00:00"/>
    <x v="0"/>
    <x v="0"/>
    <x v="0"/>
    <n v="18.7118"/>
    <n v="273"/>
    <n v="2024"/>
    <s v="March"/>
  </r>
  <r>
    <s v="DINS-CLM-100573"/>
    <s v="DINS-CUS-500573"/>
    <s v="DINS-POL-200573"/>
    <x v="0"/>
    <x v="1"/>
    <x v="0"/>
    <x v="1"/>
    <x v="0"/>
    <d v="2023-12-22T00:00:00"/>
    <s v="Annual"/>
    <d v="2024-11-24T00:00:00"/>
    <x v="1"/>
    <n v="41514"/>
    <n v="4976"/>
    <n v="42"/>
    <d v="2025-01-05T00:00:00"/>
    <x v="1"/>
    <x v="0"/>
    <x v="1"/>
    <n v="8.3428000000000004"/>
    <n v="338"/>
    <n v="2024"/>
    <s v="November"/>
  </r>
  <r>
    <s v="DINS-CLM-100574"/>
    <s v="DINS-CUS-500574"/>
    <s v="DINS-POL-200574"/>
    <x v="0"/>
    <x v="2"/>
    <x v="5"/>
    <x v="0"/>
    <x v="7"/>
    <d v="2023-12-11T00:00:00"/>
    <s v="Monthly"/>
    <d v="2024-08-16T00:00:00"/>
    <x v="1"/>
    <n v="3401"/>
    <n v="8533"/>
    <n v="34"/>
    <d v="2024-09-19T00:00:00"/>
    <x v="0"/>
    <x v="0"/>
    <x v="2"/>
    <n v="0.39860000000000001"/>
    <n v="249"/>
    <n v="2024"/>
    <s v="August"/>
  </r>
  <r>
    <s v="DINS-CLM-100575"/>
    <s v="DINS-CUS-500575"/>
    <s v="DINS-POL-200575"/>
    <x v="4"/>
    <x v="2"/>
    <x v="4"/>
    <x v="1"/>
    <x v="7"/>
    <d v="2024-04-24T00:00:00"/>
    <s v="Annual"/>
    <d v="2024-10-26T00:00:00"/>
    <x v="0"/>
    <n v="15280"/>
    <n v="3805"/>
    <s v="N/A - Not Settled"/>
    <s v="N/A - Not Settled"/>
    <x v="0"/>
    <x v="0"/>
    <x v="2"/>
    <n v="4.0157999999999996"/>
    <n v="185"/>
    <n v="2024"/>
    <s v="October"/>
  </r>
  <r>
    <s v="DINS-CLM-100576"/>
    <s v="DINS-CUS-500576"/>
    <s v="DINS-POL-200576"/>
    <x v="0"/>
    <x v="0"/>
    <x v="2"/>
    <x v="2"/>
    <x v="6"/>
    <d v="2024-01-10T00:00:00"/>
    <s v="Annual"/>
    <d v="2024-03-13T00:00:00"/>
    <x v="1"/>
    <n v="21024"/>
    <n v="2549"/>
    <n v="6"/>
    <d v="2024-03-19T00:00:00"/>
    <x v="1"/>
    <x v="0"/>
    <x v="0"/>
    <n v="8.2478999999999996"/>
    <n v="63"/>
    <n v="2024"/>
    <s v="March"/>
  </r>
  <r>
    <s v="DINS-CLM-100577"/>
    <s v="DINS-CUS-500577"/>
    <s v="DINS-POL-200577"/>
    <x v="2"/>
    <x v="0"/>
    <x v="5"/>
    <x v="1"/>
    <x v="0"/>
    <d v="2023-09-25T00:00:00"/>
    <s v="Annual"/>
    <d v="2024-05-04T00:00:00"/>
    <x v="1"/>
    <n v="24726"/>
    <n v="8402"/>
    <n v="4"/>
    <d v="2024-05-08T00:00:00"/>
    <x v="0"/>
    <x v="0"/>
    <x v="0"/>
    <n v="2.9428999999999998"/>
    <n v="222"/>
    <n v="2024"/>
    <s v="May"/>
  </r>
  <r>
    <s v="DINS-CLM-100578"/>
    <s v="DINS-CUS-500578"/>
    <s v="DINS-POL-200578"/>
    <x v="5"/>
    <x v="0"/>
    <x v="0"/>
    <x v="2"/>
    <x v="3"/>
    <d v="2024-01-03T00:00:00"/>
    <s v="Annual"/>
    <d v="2024-12-10T00:00:00"/>
    <x v="0"/>
    <n v="20186"/>
    <n v="1082"/>
    <s v="N/A - Not Settled"/>
    <s v="N/A - Not Settled"/>
    <x v="0"/>
    <x v="0"/>
    <x v="2"/>
    <n v="18.656199999999998"/>
    <n v="342"/>
    <n v="2024"/>
    <s v="December"/>
  </r>
  <r>
    <s v="DINS-CLM-100579"/>
    <s v="DINS-CUS-500579"/>
    <s v="DINS-POL-200579"/>
    <x v="1"/>
    <x v="0"/>
    <x v="1"/>
    <x v="2"/>
    <x v="3"/>
    <d v="2023-09-18T00:00:00"/>
    <s v="Annual"/>
    <d v="2024-03-24T00:00:00"/>
    <x v="1"/>
    <n v="54933"/>
    <n v="6809"/>
    <n v="39"/>
    <d v="2024-05-02T00:00:00"/>
    <x v="1"/>
    <x v="1"/>
    <x v="1"/>
    <n v="8.0677000000000003"/>
    <n v="188"/>
    <n v="2024"/>
    <s v="March"/>
  </r>
  <r>
    <s v="DINS-CLM-100580"/>
    <s v="DINS-CUS-500580"/>
    <s v="DINS-POL-200580"/>
    <x v="3"/>
    <x v="0"/>
    <x v="4"/>
    <x v="2"/>
    <x v="0"/>
    <d v="2023-12-16T00:00:00"/>
    <s v="Monthly"/>
    <d v="2024-12-02T00:00:00"/>
    <x v="0"/>
    <n v="47111"/>
    <n v="2687"/>
    <s v="N/A - Not Settled"/>
    <s v="N/A - Not Settled"/>
    <x v="0"/>
    <x v="0"/>
    <x v="0"/>
    <n v="17.532900000000001"/>
    <n v="352"/>
    <n v="2024"/>
    <s v="December"/>
  </r>
  <r>
    <s v="DINS-CLM-100581"/>
    <s v="DINS-CUS-500581"/>
    <s v="DINS-POL-200581"/>
    <x v="2"/>
    <x v="2"/>
    <x v="4"/>
    <x v="2"/>
    <x v="0"/>
    <d v="2023-05-20T00:00:00"/>
    <s v="Annual"/>
    <d v="2024-03-06T00:00:00"/>
    <x v="0"/>
    <n v="38787"/>
    <n v="2867"/>
    <s v="N/A - Not Settled"/>
    <s v="N/A - Not Settled"/>
    <x v="1"/>
    <x v="1"/>
    <x v="0"/>
    <n v="13.5288"/>
    <n v="291"/>
    <n v="2024"/>
    <s v="March"/>
  </r>
  <r>
    <s v="DINS-CLM-100582"/>
    <s v="DINS-CUS-500582"/>
    <s v="DINS-POL-200582"/>
    <x v="0"/>
    <x v="2"/>
    <x v="0"/>
    <x v="1"/>
    <x v="0"/>
    <d v="2024-03-09T00:00:00"/>
    <s v="Monthly"/>
    <d v="2024-07-04T00:00:00"/>
    <x v="1"/>
    <n v="6778"/>
    <n v="6138"/>
    <n v="42"/>
    <d v="2024-08-15T00:00:00"/>
    <x v="1"/>
    <x v="0"/>
    <x v="0"/>
    <n v="1.1043000000000001"/>
    <n v="117"/>
    <n v="2024"/>
    <s v="July"/>
  </r>
  <r>
    <s v="DINS-CLM-100583"/>
    <s v="DINS-CUS-500583"/>
    <s v="DINS-POL-200583"/>
    <x v="2"/>
    <x v="1"/>
    <x v="5"/>
    <x v="1"/>
    <x v="3"/>
    <d v="2023-11-21T00:00:00"/>
    <s v="Annual"/>
    <d v="2024-06-30T00:00:00"/>
    <x v="1"/>
    <n v="26031"/>
    <n v="7296"/>
    <n v="14"/>
    <d v="2024-07-14T00:00:00"/>
    <x v="0"/>
    <x v="0"/>
    <x v="2"/>
    <n v="3.5678000000000001"/>
    <n v="222"/>
    <n v="2024"/>
    <s v="June"/>
  </r>
  <r>
    <s v="DINS-CLM-100584"/>
    <s v="DINS-CUS-500584"/>
    <s v="DINS-POL-200584"/>
    <x v="4"/>
    <x v="1"/>
    <x v="4"/>
    <x v="0"/>
    <x v="5"/>
    <d v="2023-08-21T00:00:00"/>
    <s v="Annual"/>
    <d v="2024-02-21T00:00:00"/>
    <x v="1"/>
    <n v="19259"/>
    <n v="6497"/>
    <n v="26"/>
    <d v="2024-03-18T00:00:00"/>
    <x v="1"/>
    <x v="1"/>
    <x v="1"/>
    <n v="2.9643000000000002"/>
    <n v="184"/>
    <n v="2024"/>
    <s v="February"/>
  </r>
  <r>
    <s v="DINS-CLM-100585"/>
    <s v="DINS-CUS-500585"/>
    <s v="DINS-POL-200585"/>
    <x v="4"/>
    <x v="1"/>
    <x v="0"/>
    <x v="1"/>
    <x v="2"/>
    <d v="2024-06-15T00:00:00"/>
    <s v="Monthly"/>
    <d v="2024-12-09T00:00:00"/>
    <x v="1"/>
    <n v="10022"/>
    <n v="8977"/>
    <n v="15"/>
    <d v="2024-12-24T00:00:00"/>
    <x v="0"/>
    <x v="0"/>
    <x v="0"/>
    <n v="1.1164000000000001"/>
    <n v="177"/>
    <n v="2024"/>
    <s v="December"/>
  </r>
  <r>
    <s v="DINS-CLM-100586"/>
    <s v="DINS-CUS-500586"/>
    <s v="DINS-POL-200586"/>
    <x v="3"/>
    <x v="0"/>
    <x v="2"/>
    <x v="1"/>
    <x v="7"/>
    <d v="2024-04-07T00:00:00"/>
    <s v="Annual"/>
    <d v="2024-07-18T00:00:00"/>
    <x v="2"/>
    <n v="83160"/>
    <n v="8846"/>
    <s v="N/A - Not Settled"/>
    <s v="N/A - Not Settled"/>
    <x v="0"/>
    <x v="0"/>
    <x v="1"/>
    <n v="9.4009"/>
    <n v="102"/>
    <n v="2024"/>
    <s v="July"/>
  </r>
  <r>
    <s v="DINS-CLM-100587"/>
    <s v="DINS-CUS-500587"/>
    <s v="DINS-POL-200587"/>
    <x v="0"/>
    <x v="0"/>
    <x v="1"/>
    <x v="0"/>
    <x v="1"/>
    <d v="2023-03-22T00:00:00"/>
    <s v="Monthly"/>
    <d v="2024-01-12T00:00:00"/>
    <x v="1"/>
    <n v="12717"/>
    <n v="5283"/>
    <n v="45"/>
    <d v="2024-02-26T00:00:00"/>
    <x v="0"/>
    <x v="0"/>
    <x v="0"/>
    <n v="2.4072"/>
    <n v="296"/>
    <n v="2024"/>
    <s v="January"/>
  </r>
  <r>
    <s v="DINS-CLM-100588"/>
    <s v="DINS-CUS-500588"/>
    <s v="DINS-POL-200588"/>
    <x v="2"/>
    <x v="2"/>
    <x v="1"/>
    <x v="0"/>
    <x v="5"/>
    <d v="2024-05-04T00:00:00"/>
    <s v="Monthly"/>
    <d v="2024-09-21T00:00:00"/>
    <x v="1"/>
    <n v="14236"/>
    <n v="1732"/>
    <n v="39"/>
    <d v="2024-10-30T00:00:00"/>
    <x v="0"/>
    <x v="0"/>
    <x v="2"/>
    <n v="8.2194000000000003"/>
    <n v="140"/>
    <n v="2024"/>
    <s v="September"/>
  </r>
  <r>
    <s v="DINS-CLM-100589"/>
    <s v="DINS-CUS-500589"/>
    <s v="DINS-POL-200589"/>
    <x v="4"/>
    <x v="2"/>
    <x v="4"/>
    <x v="2"/>
    <x v="1"/>
    <d v="2024-07-02T00:00:00"/>
    <s v="Monthly"/>
    <d v="2024-12-17T00:00:00"/>
    <x v="1"/>
    <n v="19034"/>
    <n v="1457"/>
    <n v="44"/>
    <d v="2025-01-30T00:00:00"/>
    <x v="0"/>
    <x v="0"/>
    <x v="1"/>
    <n v="13.063800000000001"/>
    <n v="168"/>
    <n v="2024"/>
    <s v="December"/>
  </r>
  <r>
    <s v="DINS-CLM-100590"/>
    <s v="DINS-CUS-500590"/>
    <s v="DINS-POL-200590"/>
    <x v="3"/>
    <x v="1"/>
    <x v="0"/>
    <x v="1"/>
    <x v="1"/>
    <d v="2024-03-11T00:00:00"/>
    <s v="Monthly"/>
    <d v="2024-12-21T00:00:00"/>
    <x v="1"/>
    <n v="17769"/>
    <n v="7215"/>
    <n v="36"/>
    <d v="2025-01-26T00:00:00"/>
    <x v="0"/>
    <x v="0"/>
    <x v="2"/>
    <n v="2.4628000000000001"/>
    <n v="285"/>
    <n v="2024"/>
    <s v="December"/>
  </r>
  <r>
    <s v="DINS-CLM-100591"/>
    <s v="DINS-CUS-500591"/>
    <s v="DINS-POL-200591"/>
    <x v="2"/>
    <x v="1"/>
    <x v="4"/>
    <x v="2"/>
    <x v="6"/>
    <d v="2024-01-01T00:00:00"/>
    <s v="Annual"/>
    <d v="2024-10-26T00:00:00"/>
    <x v="1"/>
    <n v="28052"/>
    <n v="4063"/>
    <n v="34"/>
    <d v="2024-11-29T00:00:00"/>
    <x v="0"/>
    <x v="0"/>
    <x v="0"/>
    <n v="6.9043000000000001"/>
    <n v="299"/>
    <n v="2024"/>
    <s v="October"/>
  </r>
  <r>
    <s v="DINS-CLM-100592"/>
    <s v="DINS-CUS-500592"/>
    <s v="DINS-POL-200592"/>
    <x v="4"/>
    <x v="0"/>
    <x v="4"/>
    <x v="2"/>
    <x v="7"/>
    <d v="2024-02-18T00:00:00"/>
    <s v="Monthly"/>
    <d v="2024-09-30T00:00:00"/>
    <x v="1"/>
    <n v="8852"/>
    <n v="2728"/>
    <n v="13"/>
    <d v="2024-10-13T00:00:00"/>
    <x v="1"/>
    <x v="1"/>
    <x v="2"/>
    <n v="3.2448999999999999"/>
    <n v="225"/>
    <n v="2024"/>
    <s v="September"/>
  </r>
  <r>
    <s v="DINS-CLM-100593"/>
    <s v="DINS-CUS-500593"/>
    <s v="DINS-POL-200593"/>
    <x v="1"/>
    <x v="1"/>
    <x v="1"/>
    <x v="2"/>
    <x v="3"/>
    <d v="2024-04-07T00:00:00"/>
    <s v="Annual"/>
    <d v="2024-09-15T00:00:00"/>
    <x v="1"/>
    <n v="64837"/>
    <n v="5201"/>
    <n v="41"/>
    <d v="2024-10-26T00:00:00"/>
    <x v="0"/>
    <x v="0"/>
    <x v="2"/>
    <n v="12.4663"/>
    <n v="161"/>
    <n v="2024"/>
    <s v="September"/>
  </r>
  <r>
    <s v="DINS-CLM-100594"/>
    <s v="DINS-CUS-500594"/>
    <s v="DINS-POL-200594"/>
    <x v="3"/>
    <x v="0"/>
    <x v="3"/>
    <x v="2"/>
    <x v="1"/>
    <d v="2024-06-21T00:00:00"/>
    <s v="Monthly"/>
    <d v="2024-08-10T00:00:00"/>
    <x v="1"/>
    <n v="50489"/>
    <n v="8230"/>
    <n v="24"/>
    <d v="2024-09-03T00:00:00"/>
    <x v="0"/>
    <x v="0"/>
    <x v="2"/>
    <n v="6.1348000000000003"/>
    <n v="50"/>
    <n v="2024"/>
    <s v="August"/>
  </r>
  <r>
    <s v="DINS-CLM-100595"/>
    <s v="DINS-CUS-500595"/>
    <s v="DINS-POL-200595"/>
    <x v="0"/>
    <x v="2"/>
    <x v="4"/>
    <x v="2"/>
    <x v="6"/>
    <d v="2023-09-09T00:00:00"/>
    <s v="Monthly"/>
    <d v="2024-01-23T00:00:00"/>
    <x v="0"/>
    <n v="41302"/>
    <n v="2414"/>
    <s v="N/A - Not Settled"/>
    <s v="N/A - Not Settled"/>
    <x v="1"/>
    <x v="0"/>
    <x v="2"/>
    <n v="17.109400000000001"/>
    <n v="136"/>
    <n v="2024"/>
    <s v="January"/>
  </r>
  <r>
    <s v="DINS-CLM-100596"/>
    <s v="DINS-CUS-500596"/>
    <s v="DINS-POL-200596"/>
    <x v="5"/>
    <x v="2"/>
    <x v="1"/>
    <x v="2"/>
    <x v="0"/>
    <d v="2023-07-03T00:00:00"/>
    <s v="Annual"/>
    <d v="2024-03-18T00:00:00"/>
    <x v="1"/>
    <n v="78149"/>
    <n v="6105"/>
    <n v="17"/>
    <d v="2024-04-04T00:00:00"/>
    <x v="0"/>
    <x v="0"/>
    <x v="2"/>
    <n v="12.800800000000001"/>
    <n v="259"/>
    <n v="2024"/>
    <s v="March"/>
  </r>
  <r>
    <s v="DINS-CLM-100597"/>
    <s v="DINS-CUS-500597"/>
    <s v="DINS-POL-200597"/>
    <x v="3"/>
    <x v="0"/>
    <x v="0"/>
    <x v="2"/>
    <x v="0"/>
    <d v="2023-09-21T00:00:00"/>
    <s v="Annual"/>
    <d v="2024-01-03T00:00:00"/>
    <x v="1"/>
    <n v="93538"/>
    <n v="6357"/>
    <n v="13"/>
    <d v="2024-01-16T00:00:00"/>
    <x v="0"/>
    <x v="0"/>
    <x v="1"/>
    <n v="14.7142"/>
    <n v="104"/>
    <n v="2024"/>
    <s v="January"/>
  </r>
  <r>
    <s v="DINS-CLM-100598"/>
    <s v="DINS-CUS-500598"/>
    <s v="DINS-POL-200598"/>
    <x v="2"/>
    <x v="0"/>
    <x v="3"/>
    <x v="0"/>
    <x v="4"/>
    <d v="2024-07-30T00:00:00"/>
    <s v="Annual"/>
    <d v="2024-11-02T00:00:00"/>
    <x v="1"/>
    <n v="5012"/>
    <n v="5250"/>
    <n v="9"/>
    <d v="2024-11-11T00:00:00"/>
    <x v="0"/>
    <x v="0"/>
    <x v="2"/>
    <n v="0.95469999999999999"/>
    <n v="95"/>
    <n v="2024"/>
    <s v="November"/>
  </r>
  <r>
    <s v="DINS-CLM-100599"/>
    <s v="DINS-CUS-500599"/>
    <s v="DINS-POL-200599"/>
    <x v="0"/>
    <x v="2"/>
    <x v="1"/>
    <x v="0"/>
    <x v="2"/>
    <d v="2024-02-26T00:00:00"/>
    <s v="Monthly"/>
    <d v="2024-08-09T00:00:00"/>
    <x v="1"/>
    <n v="17678"/>
    <n v="4750"/>
    <n v="43"/>
    <d v="2024-09-21T00:00:00"/>
    <x v="0"/>
    <x v="0"/>
    <x v="2"/>
    <n v="3.7216999999999998"/>
    <n v="165"/>
    <n v="2024"/>
    <s v="August"/>
  </r>
  <r>
    <s v="DINS-CLM-100600"/>
    <s v="DINS-CUS-500600"/>
    <s v="DINS-POL-200600"/>
    <x v="1"/>
    <x v="0"/>
    <x v="5"/>
    <x v="1"/>
    <x v="7"/>
    <d v="2024-07-24T00:00:00"/>
    <s v="Annual"/>
    <d v="2024-09-07T00:00:00"/>
    <x v="0"/>
    <n v="56093"/>
    <n v="3235"/>
    <s v="N/A - Not Settled"/>
    <s v="N/A - Not Settled"/>
    <x v="0"/>
    <x v="0"/>
    <x v="1"/>
    <n v="17.339400000000001"/>
    <n v="45"/>
    <n v="2024"/>
    <s v="September"/>
  </r>
  <r>
    <s v="DINS-CLM-100601"/>
    <s v="DINS-CUS-500601"/>
    <s v="DINS-POL-200601"/>
    <x v="2"/>
    <x v="1"/>
    <x v="0"/>
    <x v="1"/>
    <x v="3"/>
    <d v="2024-03-15T00:00:00"/>
    <s v="Annual"/>
    <d v="2024-10-08T00:00:00"/>
    <x v="1"/>
    <n v="4354"/>
    <n v="4264"/>
    <n v="22"/>
    <d v="2024-10-30T00:00:00"/>
    <x v="0"/>
    <x v="0"/>
    <x v="1"/>
    <n v="1.0210999999999999"/>
    <n v="207"/>
    <n v="2024"/>
    <s v="October"/>
  </r>
  <r>
    <s v="DINS-CLM-100602"/>
    <s v="DINS-CUS-500602"/>
    <s v="DINS-POL-200602"/>
    <x v="4"/>
    <x v="2"/>
    <x v="4"/>
    <x v="0"/>
    <x v="6"/>
    <d v="2024-06-21T00:00:00"/>
    <s v="Monthly"/>
    <d v="2024-11-03T00:00:00"/>
    <x v="0"/>
    <n v="13681"/>
    <n v="6957"/>
    <s v="N/A - Not Settled"/>
    <s v="N/A - Not Settled"/>
    <x v="0"/>
    <x v="0"/>
    <x v="2"/>
    <n v="1.9664999999999999"/>
    <n v="135"/>
    <n v="2024"/>
    <s v="November"/>
  </r>
  <r>
    <s v="DINS-CLM-100603"/>
    <s v="DINS-CUS-500603"/>
    <s v="DINS-POL-200603"/>
    <x v="4"/>
    <x v="2"/>
    <x v="5"/>
    <x v="2"/>
    <x v="0"/>
    <d v="2023-05-27T00:00:00"/>
    <s v="Monthly"/>
    <d v="2024-04-08T00:00:00"/>
    <x v="1"/>
    <n v="18390"/>
    <n v="4212"/>
    <n v="28"/>
    <d v="2024-05-06T00:00:00"/>
    <x v="0"/>
    <x v="0"/>
    <x v="1"/>
    <n v="4.3661000000000003"/>
    <n v="317"/>
    <n v="2024"/>
    <s v="April"/>
  </r>
  <r>
    <s v="DINS-CLM-100604"/>
    <s v="DINS-CUS-500604"/>
    <s v="DINS-POL-200604"/>
    <x v="4"/>
    <x v="1"/>
    <x v="1"/>
    <x v="1"/>
    <x v="7"/>
    <d v="2024-08-23T00:00:00"/>
    <s v="Monthly"/>
    <d v="2024-09-28T00:00:00"/>
    <x v="0"/>
    <n v="8302"/>
    <n v="1109"/>
    <s v="N/A - Not Settled"/>
    <s v="N/A - Not Settled"/>
    <x v="0"/>
    <x v="0"/>
    <x v="2"/>
    <n v="7.4859999999999998"/>
    <n v="36"/>
    <n v="2024"/>
    <s v="September"/>
  </r>
  <r>
    <s v="DINS-CLM-100605"/>
    <s v="DINS-CUS-500605"/>
    <s v="DINS-POL-200605"/>
    <x v="0"/>
    <x v="1"/>
    <x v="3"/>
    <x v="2"/>
    <x v="5"/>
    <d v="2023-01-27T00:00:00"/>
    <s v="Annual"/>
    <d v="2024-01-14T00:00:00"/>
    <x v="1"/>
    <n v="19535"/>
    <n v="5001"/>
    <n v="22"/>
    <d v="2024-02-05T00:00:00"/>
    <x v="0"/>
    <x v="0"/>
    <x v="2"/>
    <n v="3.9062000000000001"/>
    <n v="352"/>
    <n v="2024"/>
    <s v="January"/>
  </r>
  <r>
    <s v="DINS-CLM-100606"/>
    <s v="DINS-CUS-500606"/>
    <s v="DINS-POL-200606"/>
    <x v="4"/>
    <x v="0"/>
    <x v="1"/>
    <x v="0"/>
    <x v="2"/>
    <d v="2023-09-15T00:00:00"/>
    <s v="Annual"/>
    <d v="2024-07-28T00:00:00"/>
    <x v="1"/>
    <n v="14031"/>
    <n v="7946"/>
    <n v="4"/>
    <d v="2024-08-01T00:00:00"/>
    <x v="0"/>
    <x v="0"/>
    <x v="2"/>
    <n v="1.7658"/>
    <n v="317"/>
    <n v="2024"/>
    <s v="July"/>
  </r>
  <r>
    <s v="DINS-CLM-100607"/>
    <s v="DINS-CUS-500607"/>
    <s v="DINS-POL-200607"/>
    <x v="3"/>
    <x v="0"/>
    <x v="5"/>
    <x v="0"/>
    <x v="5"/>
    <d v="2023-12-06T00:00:00"/>
    <s v="Monthly"/>
    <d v="2024-09-19T00:00:00"/>
    <x v="1"/>
    <n v="50200"/>
    <n v="4786"/>
    <n v="29"/>
    <d v="2024-10-18T00:00:00"/>
    <x v="0"/>
    <x v="0"/>
    <x v="0"/>
    <n v="10.488899999999999"/>
    <n v="288"/>
    <n v="2024"/>
    <s v="September"/>
  </r>
  <r>
    <s v="DINS-CLM-100608"/>
    <s v="DINS-CUS-500608"/>
    <s v="DINS-POL-200608"/>
    <x v="0"/>
    <x v="0"/>
    <x v="1"/>
    <x v="0"/>
    <x v="4"/>
    <d v="2023-08-22T00:00:00"/>
    <s v="Monthly"/>
    <d v="2024-06-22T00:00:00"/>
    <x v="1"/>
    <n v="28668"/>
    <n v="1434"/>
    <n v="34"/>
    <d v="2024-07-26T00:00:00"/>
    <x v="0"/>
    <x v="0"/>
    <x v="0"/>
    <n v="19.991599999999998"/>
    <n v="305"/>
    <n v="2024"/>
    <s v="June"/>
  </r>
  <r>
    <s v="DINS-CLM-100609"/>
    <s v="DINS-CUS-500609"/>
    <s v="DINS-POL-200609"/>
    <x v="5"/>
    <x v="0"/>
    <x v="3"/>
    <x v="0"/>
    <x v="0"/>
    <d v="2024-03-04T00:00:00"/>
    <s v="Annual"/>
    <d v="2024-11-15T00:00:00"/>
    <x v="0"/>
    <n v="45193"/>
    <n v="4764"/>
    <s v="N/A - Not Settled"/>
    <s v="N/A - Not Settled"/>
    <x v="0"/>
    <x v="0"/>
    <x v="0"/>
    <n v="9.4863999999999997"/>
    <n v="256"/>
    <n v="2024"/>
    <s v="November"/>
  </r>
  <r>
    <s v="DINS-CLM-100610"/>
    <s v="DINS-CUS-500610"/>
    <s v="DINS-POL-200610"/>
    <x v="1"/>
    <x v="0"/>
    <x v="1"/>
    <x v="1"/>
    <x v="7"/>
    <d v="2023-06-21T00:00:00"/>
    <s v="Monthly"/>
    <d v="2024-02-20T00:00:00"/>
    <x v="1"/>
    <n v="54593"/>
    <n v="3370"/>
    <n v="24"/>
    <d v="2024-03-15T00:00:00"/>
    <x v="0"/>
    <x v="0"/>
    <x v="2"/>
    <n v="16.1997"/>
    <n v="244"/>
    <n v="2024"/>
    <s v="February"/>
  </r>
  <r>
    <s v="DINS-CLM-100611"/>
    <s v="DINS-CUS-500611"/>
    <s v="DINS-POL-200611"/>
    <x v="3"/>
    <x v="0"/>
    <x v="5"/>
    <x v="2"/>
    <x v="6"/>
    <d v="2023-06-14T00:00:00"/>
    <s v="Monthly"/>
    <d v="2024-01-04T00:00:00"/>
    <x v="1"/>
    <n v="71555"/>
    <n v="4632"/>
    <n v="21"/>
    <d v="2024-01-25T00:00:00"/>
    <x v="0"/>
    <x v="0"/>
    <x v="1"/>
    <n v="15.448"/>
    <n v="204"/>
    <n v="2024"/>
    <s v="January"/>
  </r>
  <r>
    <s v="DINS-CLM-100612"/>
    <s v="DINS-CUS-500612"/>
    <s v="DINS-POL-200612"/>
    <x v="0"/>
    <x v="1"/>
    <x v="0"/>
    <x v="0"/>
    <x v="2"/>
    <d v="2023-12-25T00:00:00"/>
    <s v="Annual"/>
    <d v="2024-04-05T00:00:00"/>
    <x v="0"/>
    <n v="33161"/>
    <n v="4351"/>
    <s v="N/A - Not Settled"/>
    <s v="N/A - Not Settled"/>
    <x v="0"/>
    <x v="0"/>
    <x v="0"/>
    <n v="7.6215000000000002"/>
    <n v="102"/>
    <n v="2024"/>
    <s v="April"/>
  </r>
  <r>
    <s v="DINS-CLM-100613"/>
    <s v="DINS-CUS-500613"/>
    <s v="DINS-POL-200613"/>
    <x v="2"/>
    <x v="1"/>
    <x v="3"/>
    <x v="2"/>
    <x v="4"/>
    <d v="2023-09-11T00:00:00"/>
    <s v="Monthly"/>
    <d v="2024-04-27T00:00:00"/>
    <x v="1"/>
    <n v="21808"/>
    <n v="2100"/>
    <n v="26"/>
    <d v="2024-05-23T00:00:00"/>
    <x v="0"/>
    <x v="0"/>
    <x v="2"/>
    <n v="10.3848"/>
    <n v="229"/>
    <n v="2024"/>
    <s v="April"/>
  </r>
  <r>
    <s v="DINS-CLM-100614"/>
    <s v="DINS-CUS-500614"/>
    <s v="DINS-POL-200614"/>
    <x v="2"/>
    <x v="0"/>
    <x v="2"/>
    <x v="1"/>
    <x v="0"/>
    <d v="2024-01-23T00:00:00"/>
    <s v="Monthly"/>
    <d v="2024-04-13T00:00:00"/>
    <x v="1"/>
    <n v="38454"/>
    <n v="4773"/>
    <n v="24"/>
    <d v="2024-05-07T00:00:00"/>
    <x v="0"/>
    <x v="0"/>
    <x v="1"/>
    <n v="8.0565999999999995"/>
    <n v="81"/>
    <n v="2024"/>
    <s v="April"/>
  </r>
  <r>
    <s v="DINS-CLM-100615"/>
    <s v="DINS-CUS-500615"/>
    <s v="DINS-POL-200615"/>
    <x v="0"/>
    <x v="1"/>
    <x v="1"/>
    <x v="1"/>
    <x v="6"/>
    <d v="2023-09-24T00:00:00"/>
    <s v="Monthly"/>
    <d v="2024-02-09T00:00:00"/>
    <x v="1"/>
    <n v="27386"/>
    <n v="4097"/>
    <n v="19"/>
    <d v="2024-02-28T00:00:00"/>
    <x v="0"/>
    <x v="0"/>
    <x v="0"/>
    <n v="6.6844000000000001"/>
    <n v="138"/>
    <n v="2024"/>
    <s v="February"/>
  </r>
  <r>
    <s v="DINS-CLM-100616"/>
    <s v="DINS-CUS-500616"/>
    <s v="DINS-POL-200616"/>
    <x v="2"/>
    <x v="0"/>
    <x v="4"/>
    <x v="0"/>
    <x v="6"/>
    <d v="2024-01-23T00:00:00"/>
    <s v="Annual"/>
    <d v="2024-09-12T00:00:00"/>
    <x v="1"/>
    <n v="18045"/>
    <n v="1584"/>
    <n v="18"/>
    <d v="2024-09-30T00:00:00"/>
    <x v="0"/>
    <x v="0"/>
    <x v="2"/>
    <n v="11.391999999999999"/>
    <n v="233"/>
    <n v="2024"/>
    <s v="September"/>
  </r>
  <r>
    <s v="DINS-CLM-100617"/>
    <s v="DINS-CUS-500617"/>
    <s v="DINS-POL-200617"/>
    <x v="2"/>
    <x v="0"/>
    <x v="4"/>
    <x v="2"/>
    <x v="5"/>
    <d v="2024-08-12T00:00:00"/>
    <s v="Annual"/>
    <d v="2024-11-10T00:00:00"/>
    <x v="0"/>
    <n v="5003"/>
    <n v="2232"/>
    <s v="N/A - Not Settled"/>
    <s v="N/A - Not Settled"/>
    <x v="0"/>
    <x v="0"/>
    <x v="2"/>
    <n v="2.2414999999999998"/>
    <n v="90"/>
    <n v="2024"/>
    <s v="November"/>
  </r>
  <r>
    <s v="DINS-CLM-100618"/>
    <s v="DINS-CUS-500618"/>
    <s v="DINS-POL-200618"/>
    <x v="0"/>
    <x v="2"/>
    <x v="4"/>
    <x v="0"/>
    <x v="5"/>
    <d v="2023-12-04T00:00:00"/>
    <s v="Monthly"/>
    <d v="2024-04-08T00:00:00"/>
    <x v="1"/>
    <n v="44825"/>
    <n v="1430"/>
    <n v="21"/>
    <d v="2024-04-29T00:00:00"/>
    <x v="0"/>
    <x v="0"/>
    <x v="0"/>
    <n v="31.3462"/>
    <n v="126"/>
    <n v="2024"/>
    <s v="April"/>
  </r>
  <r>
    <s v="DINS-CLM-100619"/>
    <s v="DINS-CUS-500619"/>
    <s v="DINS-POL-200619"/>
    <x v="0"/>
    <x v="1"/>
    <x v="1"/>
    <x v="1"/>
    <x v="1"/>
    <d v="2023-11-15T00:00:00"/>
    <s v="Monthly"/>
    <d v="2024-07-28T00:00:00"/>
    <x v="1"/>
    <n v="33894"/>
    <n v="6592"/>
    <n v="5"/>
    <d v="2024-08-02T00:00:00"/>
    <x v="0"/>
    <x v="0"/>
    <x v="1"/>
    <n v="5.1417000000000002"/>
    <n v="256"/>
    <n v="2024"/>
    <s v="July"/>
  </r>
  <r>
    <s v="DINS-CLM-100620"/>
    <s v="DINS-CUS-500620"/>
    <s v="DINS-POL-200620"/>
    <x v="2"/>
    <x v="1"/>
    <x v="5"/>
    <x v="0"/>
    <x v="6"/>
    <d v="2024-09-20T00:00:00"/>
    <s v="Annual"/>
    <d v="2024-12-17T00:00:00"/>
    <x v="1"/>
    <n v="14252"/>
    <n v="5575"/>
    <n v="13"/>
    <d v="2024-12-30T00:00:00"/>
    <x v="0"/>
    <x v="0"/>
    <x v="2"/>
    <n v="2.5564"/>
    <n v="88"/>
    <n v="2024"/>
    <s v="December"/>
  </r>
  <r>
    <s v="DINS-CLM-100621"/>
    <s v="DINS-CUS-500621"/>
    <s v="DINS-POL-200621"/>
    <x v="2"/>
    <x v="2"/>
    <x v="3"/>
    <x v="1"/>
    <x v="6"/>
    <d v="2023-09-25T00:00:00"/>
    <s v="Monthly"/>
    <d v="2024-06-04T00:00:00"/>
    <x v="1"/>
    <n v="10585"/>
    <n v="6018"/>
    <n v="3"/>
    <d v="2024-06-07T00:00:00"/>
    <x v="1"/>
    <x v="0"/>
    <x v="2"/>
    <n v="1.7588999999999999"/>
    <n v="253"/>
    <n v="2024"/>
    <s v="June"/>
  </r>
  <r>
    <s v="DINS-CLM-100622"/>
    <s v="DINS-CUS-500622"/>
    <s v="DINS-POL-200622"/>
    <x v="4"/>
    <x v="0"/>
    <x v="2"/>
    <x v="1"/>
    <x v="6"/>
    <d v="2023-08-05T00:00:00"/>
    <s v="Monthly"/>
    <d v="2024-05-17T00:00:00"/>
    <x v="0"/>
    <n v="16079"/>
    <n v="1447"/>
    <s v="N/A - Not Settled"/>
    <s v="N/A - Not Settled"/>
    <x v="0"/>
    <x v="0"/>
    <x v="0"/>
    <n v="11.112"/>
    <n v="286"/>
    <n v="2024"/>
    <s v="May"/>
  </r>
  <r>
    <s v="DINS-CLM-100623"/>
    <s v="DINS-CUS-500623"/>
    <s v="DINS-POL-200623"/>
    <x v="4"/>
    <x v="1"/>
    <x v="3"/>
    <x v="0"/>
    <x v="2"/>
    <d v="2023-09-08T00:00:00"/>
    <s v="Monthly"/>
    <d v="2024-05-04T00:00:00"/>
    <x v="1"/>
    <n v="16936"/>
    <n v="6609"/>
    <n v="26"/>
    <d v="2024-05-30T00:00:00"/>
    <x v="0"/>
    <x v="0"/>
    <x v="0"/>
    <n v="2.5626000000000002"/>
    <n v="239"/>
    <n v="2024"/>
    <s v="May"/>
  </r>
  <r>
    <s v="DINS-CLM-100624"/>
    <s v="DINS-CUS-500624"/>
    <s v="DINS-POL-200624"/>
    <x v="3"/>
    <x v="2"/>
    <x v="2"/>
    <x v="1"/>
    <x v="4"/>
    <d v="2024-08-19T00:00:00"/>
    <s v="Annual"/>
    <d v="2024-10-25T00:00:00"/>
    <x v="1"/>
    <n v="93658"/>
    <n v="7176"/>
    <n v="17"/>
    <d v="2024-11-11T00:00:00"/>
    <x v="1"/>
    <x v="0"/>
    <x v="2"/>
    <n v="13.051600000000001"/>
    <n v="67"/>
    <n v="2024"/>
    <s v="October"/>
  </r>
  <r>
    <s v="DINS-CLM-100625"/>
    <s v="DINS-CUS-500625"/>
    <s v="DINS-POL-200625"/>
    <x v="0"/>
    <x v="0"/>
    <x v="1"/>
    <x v="1"/>
    <x v="3"/>
    <d v="2024-04-21T00:00:00"/>
    <s v="Monthly"/>
    <d v="2024-12-15T00:00:00"/>
    <x v="1"/>
    <n v="41247"/>
    <n v="5074"/>
    <n v="22"/>
    <d v="2025-01-06T00:00:00"/>
    <x v="0"/>
    <x v="0"/>
    <x v="1"/>
    <n v="8.1290999999999993"/>
    <n v="238"/>
    <n v="2024"/>
    <s v="December"/>
  </r>
  <r>
    <s v="DINS-CLM-100626"/>
    <s v="DINS-CUS-500626"/>
    <s v="DINS-POL-200626"/>
    <x v="0"/>
    <x v="2"/>
    <x v="1"/>
    <x v="0"/>
    <x v="7"/>
    <d v="2023-12-01T00:00:00"/>
    <s v="Monthly"/>
    <d v="2024-05-25T00:00:00"/>
    <x v="1"/>
    <n v="46172"/>
    <n v="1672"/>
    <n v="13"/>
    <d v="2024-06-07T00:00:00"/>
    <x v="0"/>
    <x v="0"/>
    <x v="0"/>
    <n v="27.614799999999999"/>
    <n v="176"/>
    <n v="2024"/>
    <s v="May"/>
  </r>
  <r>
    <s v="DINS-CLM-100627"/>
    <s v="DINS-CUS-500627"/>
    <s v="DINS-POL-200627"/>
    <x v="4"/>
    <x v="0"/>
    <x v="1"/>
    <x v="0"/>
    <x v="1"/>
    <d v="2024-05-20T00:00:00"/>
    <s v="Monthly"/>
    <d v="2024-12-31T00:00:00"/>
    <x v="1"/>
    <n v="16168"/>
    <n v="8726"/>
    <n v="11"/>
    <d v="2025-01-11T00:00:00"/>
    <x v="0"/>
    <x v="0"/>
    <x v="2"/>
    <n v="1.8529"/>
    <n v="225"/>
    <n v="2024"/>
    <s v="December"/>
  </r>
  <r>
    <s v="DINS-CLM-100628"/>
    <s v="DINS-CUS-500628"/>
    <s v="DINS-POL-200628"/>
    <x v="2"/>
    <x v="2"/>
    <x v="3"/>
    <x v="1"/>
    <x v="2"/>
    <d v="2023-04-10T00:00:00"/>
    <s v="Annual"/>
    <d v="2024-02-17T00:00:00"/>
    <x v="1"/>
    <n v="9814"/>
    <n v="3341"/>
    <n v="3"/>
    <d v="2024-02-20T00:00:00"/>
    <x v="0"/>
    <x v="0"/>
    <x v="1"/>
    <n v="2.9373999999999998"/>
    <n v="313"/>
    <n v="2024"/>
    <s v="February"/>
  </r>
  <r>
    <s v="DINS-CLM-100629"/>
    <s v="DINS-CUS-500629"/>
    <s v="DINS-POL-200629"/>
    <x v="1"/>
    <x v="0"/>
    <x v="5"/>
    <x v="1"/>
    <x v="0"/>
    <d v="2023-10-15T00:00:00"/>
    <s v="Annual"/>
    <d v="2024-05-18T00:00:00"/>
    <x v="1"/>
    <n v="29720"/>
    <n v="3955"/>
    <n v="41"/>
    <d v="2024-06-28T00:00:00"/>
    <x v="1"/>
    <x v="1"/>
    <x v="0"/>
    <n v="7.5145"/>
    <n v="216"/>
    <n v="2024"/>
    <s v="May"/>
  </r>
  <r>
    <s v="DINS-CLM-100630"/>
    <s v="DINS-CUS-500630"/>
    <s v="DINS-POL-200630"/>
    <x v="0"/>
    <x v="2"/>
    <x v="3"/>
    <x v="1"/>
    <x v="6"/>
    <d v="2024-07-13T00:00:00"/>
    <s v="Annual"/>
    <d v="2024-12-13T00:00:00"/>
    <x v="0"/>
    <n v="59384"/>
    <n v="669"/>
    <s v="N/A - Not Settled"/>
    <s v="N/A - Not Settled"/>
    <x v="0"/>
    <x v="0"/>
    <x v="0"/>
    <n v="88.765299999999996"/>
    <n v="153"/>
    <n v="2024"/>
    <s v="December"/>
  </r>
  <r>
    <s v="DINS-CLM-100631"/>
    <s v="DINS-CUS-500631"/>
    <s v="DINS-POL-200631"/>
    <x v="3"/>
    <x v="1"/>
    <x v="1"/>
    <x v="0"/>
    <x v="0"/>
    <d v="2024-04-23T00:00:00"/>
    <s v="Annual"/>
    <d v="2024-09-30T00:00:00"/>
    <x v="1"/>
    <n v="26094"/>
    <n v="6388"/>
    <n v="4"/>
    <d v="2024-10-04T00:00:00"/>
    <x v="0"/>
    <x v="0"/>
    <x v="2"/>
    <n v="4.0848000000000004"/>
    <n v="160"/>
    <n v="2024"/>
    <s v="September"/>
  </r>
  <r>
    <s v="DINS-CLM-100632"/>
    <s v="DINS-CUS-500632"/>
    <s v="DINS-POL-200632"/>
    <x v="3"/>
    <x v="2"/>
    <x v="3"/>
    <x v="2"/>
    <x v="2"/>
    <d v="2023-04-24T00:00:00"/>
    <s v="Annual"/>
    <d v="2024-04-08T00:00:00"/>
    <x v="1"/>
    <n v="69645"/>
    <n v="1173"/>
    <n v="32"/>
    <d v="2024-05-10T00:00:00"/>
    <x v="1"/>
    <x v="1"/>
    <x v="1"/>
    <n v="59.373399999999997"/>
    <n v="350"/>
    <n v="2024"/>
    <s v="April"/>
  </r>
  <r>
    <s v="DINS-CLM-100633"/>
    <s v="DINS-CUS-500633"/>
    <s v="DINS-POL-200633"/>
    <x v="2"/>
    <x v="0"/>
    <x v="4"/>
    <x v="2"/>
    <x v="1"/>
    <d v="2024-01-01T00:00:00"/>
    <s v="Annual"/>
    <d v="2024-11-30T00:00:00"/>
    <x v="0"/>
    <n v="11849"/>
    <n v="6916"/>
    <s v="N/A - Not Settled"/>
    <s v="N/A - Not Settled"/>
    <x v="0"/>
    <x v="0"/>
    <x v="2"/>
    <n v="1.7133"/>
    <n v="334"/>
    <n v="2024"/>
    <s v="November"/>
  </r>
  <r>
    <s v="DINS-CLM-100634"/>
    <s v="DINS-CUS-500634"/>
    <s v="DINS-POL-200634"/>
    <x v="2"/>
    <x v="0"/>
    <x v="1"/>
    <x v="1"/>
    <x v="1"/>
    <d v="2024-02-16T00:00:00"/>
    <s v="Annual"/>
    <d v="2024-10-25T00:00:00"/>
    <x v="1"/>
    <n v="32652"/>
    <n v="4103"/>
    <n v="40"/>
    <d v="2024-12-04T00:00:00"/>
    <x v="0"/>
    <x v="0"/>
    <x v="2"/>
    <n v="7.9581"/>
    <n v="252"/>
    <n v="2024"/>
    <s v="October"/>
  </r>
  <r>
    <s v="DINS-CLM-100635"/>
    <s v="DINS-CUS-500635"/>
    <s v="DINS-POL-200635"/>
    <x v="1"/>
    <x v="1"/>
    <x v="4"/>
    <x v="0"/>
    <x v="5"/>
    <d v="2024-08-22T00:00:00"/>
    <s v="Annual"/>
    <d v="2024-10-14T00:00:00"/>
    <x v="2"/>
    <n v="19857"/>
    <n v="687"/>
    <s v="N/A - Not Settled"/>
    <s v="N/A - Not Settled"/>
    <x v="0"/>
    <x v="0"/>
    <x v="0"/>
    <n v="28.9039"/>
    <n v="53"/>
    <n v="2024"/>
    <s v="October"/>
  </r>
  <r>
    <s v="DINS-CLM-100636"/>
    <s v="DINS-CUS-500636"/>
    <s v="DINS-POL-200636"/>
    <x v="1"/>
    <x v="2"/>
    <x v="4"/>
    <x v="2"/>
    <x v="7"/>
    <d v="2024-03-20T00:00:00"/>
    <s v="Monthly"/>
    <d v="2024-12-01T00:00:00"/>
    <x v="0"/>
    <n v="19805"/>
    <n v="6011"/>
    <s v="N/A - Not Settled"/>
    <s v="N/A - Not Settled"/>
    <x v="0"/>
    <x v="0"/>
    <x v="2"/>
    <n v="3.2948"/>
    <n v="256"/>
    <n v="2024"/>
    <s v="December"/>
  </r>
  <r>
    <s v="DINS-CLM-100637"/>
    <s v="DINS-CUS-500637"/>
    <s v="DINS-POL-200637"/>
    <x v="3"/>
    <x v="1"/>
    <x v="0"/>
    <x v="2"/>
    <x v="0"/>
    <d v="2023-04-21T00:00:00"/>
    <s v="Annual"/>
    <d v="2024-03-27T00:00:00"/>
    <x v="1"/>
    <n v="48752"/>
    <n v="7689"/>
    <n v="37"/>
    <d v="2024-05-03T00:00:00"/>
    <x v="0"/>
    <x v="0"/>
    <x v="0"/>
    <n v="6.3404999999999996"/>
    <n v="341"/>
    <n v="2024"/>
    <s v="March"/>
  </r>
  <r>
    <s v="DINS-CLM-100638"/>
    <s v="DINS-CUS-500638"/>
    <s v="DINS-POL-200638"/>
    <x v="5"/>
    <x v="0"/>
    <x v="0"/>
    <x v="1"/>
    <x v="1"/>
    <d v="2023-07-04T00:00:00"/>
    <s v="Annual"/>
    <d v="2024-01-11T00:00:00"/>
    <x v="2"/>
    <n v="30578"/>
    <n v="2274"/>
    <s v="N/A - Not Settled"/>
    <s v="N/A - Not Settled"/>
    <x v="0"/>
    <x v="0"/>
    <x v="1"/>
    <n v="13.4468"/>
    <n v="191"/>
    <n v="2024"/>
    <s v="January"/>
  </r>
  <r>
    <s v="DINS-CLM-100639"/>
    <s v="DINS-CUS-500639"/>
    <s v="DINS-POL-200639"/>
    <x v="2"/>
    <x v="1"/>
    <x v="1"/>
    <x v="0"/>
    <x v="1"/>
    <d v="2023-11-19T00:00:00"/>
    <s v="Annual"/>
    <d v="2024-06-09T00:00:00"/>
    <x v="1"/>
    <n v="19237"/>
    <n v="5777"/>
    <n v="43"/>
    <d v="2024-07-22T00:00:00"/>
    <x v="0"/>
    <x v="0"/>
    <x v="1"/>
    <n v="3.3298999999999999"/>
    <n v="203"/>
    <n v="2024"/>
    <s v="June"/>
  </r>
  <r>
    <s v="DINS-CLM-100640"/>
    <s v="DINS-CUS-500640"/>
    <s v="DINS-POL-200640"/>
    <x v="3"/>
    <x v="2"/>
    <x v="4"/>
    <x v="2"/>
    <x v="1"/>
    <d v="2024-07-29T00:00:00"/>
    <s v="Annual"/>
    <d v="2024-12-03T00:00:00"/>
    <x v="1"/>
    <n v="37854"/>
    <n v="3292"/>
    <n v="26"/>
    <d v="2024-12-29T00:00:00"/>
    <x v="1"/>
    <x v="1"/>
    <x v="1"/>
    <n v="11.498799999999999"/>
    <n v="127"/>
    <n v="2024"/>
    <s v="December"/>
  </r>
  <r>
    <s v="DINS-CLM-100641"/>
    <s v="DINS-CUS-500641"/>
    <s v="DINS-POL-200641"/>
    <x v="4"/>
    <x v="2"/>
    <x v="1"/>
    <x v="2"/>
    <x v="4"/>
    <d v="2024-07-09T00:00:00"/>
    <s v="Annual"/>
    <d v="2024-08-09T00:00:00"/>
    <x v="1"/>
    <n v="18138"/>
    <n v="3078"/>
    <n v="12"/>
    <d v="2024-08-21T00:00:00"/>
    <x v="0"/>
    <x v="0"/>
    <x v="0"/>
    <n v="5.8928000000000003"/>
    <n v="31"/>
    <n v="2024"/>
    <s v="August"/>
  </r>
  <r>
    <s v="DINS-CLM-100642"/>
    <s v="DINS-CUS-500642"/>
    <s v="DINS-POL-200642"/>
    <x v="0"/>
    <x v="2"/>
    <x v="0"/>
    <x v="1"/>
    <x v="3"/>
    <d v="2023-08-13T00:00:00"/>
    <s v="Monthly"/>
    <d v="2024-01-29T00:00:00"/>
    <x v="2"/>
    <n v="50250"/>
    <n v="6386"/>
    <s v="N/A - Not Settled"/>
    <s v="N/A - Not Settled"/>
    <x v="0"/>
    <x v="0"/>
    <x v="2"/>
    <n v="7.8688000000000002"/>
    <n v="169"/>
    <n v="2024"/>
    <s v="January"/>
  </r>
  <r>
    <s v="DINS-CLM-100643"/>
    <s v="DINS-CUS-500643"/>
    <s v="DINS-POL-200643"/>
    <x v="4"/>
    <x v="1"/>
    <x v="3"/>
    <x v="2"/>
    <x v="7"/>
    <d v="2023-06-06T00:00:00"/>
    <s v="Annual"/>
    <d v="2024-02-19T00:00:00"/>
    <x v="2"/>
    <n v="13744"/>
    <n v="1457"/>
    <s v="N/A - Not Settled"/>
    <s v="N/A - Not Settled"/>
    <x v="0"/>
    <x v="0"/>
    <x v="0"/>
    <n v="9.4330999999999996"/>
    <n v="258"/>
    <n v="2024"/>
    <s v="February"/>
  </r>
  <r>
    <s v="DINS-CLM-100644"/>
    <s v="DINS-CUS-500644"/>
    <s v="DINS-POL-200644"/>
    <x v="5"/>
    <x v="2"/>
    <x v="0"/>
    <x v="0"/>
    <x v="0"/>
    <d v="2024-07-30T00:00:00"/>
    <s v="Annual"/>
    <d v="2024-11-12T00:00:00"/>
    <x v="1"/>
    <n v="67826"/>
    <n v="4758"/>
    <n v="16"/>
    <d v="2024-11-28T00:00:00"/>
    <x v="0"/>
    <x v="0"/>
    <x v="2"/>
    <n v="14.255100000000001"/>
    <n v="105"/>
    <n v="2024"/>
    <s v="November"/>
  </r>
  <r>
    <s v="DINS-CLM-100645"/>
    <s v="DINS-CUS-500645"/>
    <s v="DINS-POL-200645"/>
    <x v="0"/>
    <x v="2"/>
    <x v="3"/>
    <x v="1"/>
    <x v="1"/>
    <d v="2024-04-29T00:00:00"/>
    <s v="Annual"/>
    <d v="2024-06-05T00:00:00"/>
    <x v="1"/>
    <n v="22000"/>
    <n v="7076"/>
    <n v="6"/>
    <d v="2024-06-11T00:00:00"/>
    <x v="1"/>
    <x v="1"/>
    <x v="0"/>
    <n v="3.1091000000000002"/>
    <n v="37"/>
    <n v="2024"/>
    <s v="June"/>
  </r>
  <r>
    <s v="DINS-CLM-100646"/>
    <s v="DINS-CUS-500646"/>
    <s v="DINS-POL-200646"/>
    <x v="1"/>
    <x v="0"/>
    <x v="2"/>
    <x v="2"/>
    <x v="4"/>
    <d v="2024-02-28T00:00:00"/>
    <s v="Monthly"/>
    <d v="2024-12-23T00:00:00"/>
    <x v="1"/>
    <n v="51506"/>
    <n v="4922"/>
    <n v="30"/>
    <d v="2025-01-22T00:00:00"/>
    <x v="0"/>
    <x v="0"/>
    <x v="2"/>
    <n v="10.464399999999999"/>
    <n v="299"/>
    <n v="2024"/>
    <s v="December"/>
  </r>
  <r>
    <s v="DINS-CLM-100647"/>
    <s v="DINS-CUS-500647"/>
    <s v="DINS-POL-200647"/>
    <x v="2"/>
    <x v="0"/>
    <x v="4"/>
    <x v="1"/>
    <x v="5"/>
    <d v="2023-05-19T00:00:00"/>
    <s v="Monthly"/>
    <d v="2024-03-16T00:00:00"/>
    <x v="1"/>
    <n v="7650"/>
    <n v="1664"/>
    <n v="2"/>
    <d v="2024-03-18T00:00:00"/>
    <x v="0"/>
    <x v="0"/>
    <x v="1"/>
    <n v="4.5974000000000004"/>
    <n v="302"/>
    <n v="2024"/>
    <s v="March"/>
  </r>
  <r>
    <s v="DINS-CLM-100648"/>
    <s v="DINS-CUS-500648"/>
    <s v="DINS-POL-200648"/>
    <x v="0"/>
    <x v="2"/>
    <x v="0"/>
    <x v="2"/>
    <x v="2"/>
    <d v="2024-11-18T00:00:00"/>
    <s v="Annual"/>
    <d v="2024-12-18T00:00:00"/>
    <x v="1"/>
    <n v="56189"/>
    <n v="7927"/>
    <n v="3"/>
    <d v="2024-12-21T00:00:00"/>
    <x v="0"/>
    <x v="0"/>
    <x v="2"/>
    <n v="7.0883000000000003"/>
    <n v="30"/>
    <n v="2024"/>
    <s v="December"/>
  </r>
  <r>
    <s v="DINS-CLM-100649"/>
    <s v="DINS-CUS-500649"/>
    <s v="DINS-POL-200649"/>
    <x v="0"/>
    <x v="2"/>
    <x v="2"/>
    <x v="1"/>
    <x v="7"/>
    <d v="2024-08-23T00:00:00"/>
    <s v="Annual"/>
    <d v="2024-10-13T00:00:00"/>
    <x v="1"/>
    <n v="18697"/>
    <n v="5599"/>
    <n v="6"/>
    <d v="2024-10-19T00:00:00"/>
    <x v="0"/>
    <x v="0"/>
    <x v="2"/>
    <n v="3.3393000000000002"/>
    <n v="51"/>
    <n v="2024"/>
    <s v="October"/>
  </r>
  <r>
    <s v="DINS-CLM-100650"/>
    <s v="DINS-CUS-500650"/>
    <s v="DINS-POL-200650"/>
    <x v="2"/>
    <x v="0"/>
    <x v="2"/>
    <x v="2"/>
    <x v="7"/>
    <d v="2024-06-28T00:00:00"/>
    <s v="Monthly"/>
    <d v="2024-09-05T00:00:00"/>
    <x v="0"/>
    <n v="3404"/>
    <n v="4760"/>
    <s v="N/A - Not Settled"/>
    <s v="N/A - Not Settled"/>
    <x v="0"/>
    <x v="0"/>
    <x v="1"/>
    <n v="0.71509999999999996"/>
    <n v="69"/>
    <n v="2024"/>
    <s v="September"/>
  </r>
  <r>
    <s v="DINS-CLM-100651"/>
    <s v="DINS-CUS-500651"/>
    <s v="DINS-POL-200651"/>
    <x v="2"/>
    <x v="1"/>
    <x v="0"/>
    <x v="1"/>
    <x v="7"/>
    <d v="2023-11-28T00:00:00"/>
    <s v="Monthly"/>
    <d v="2024-08-22T00:00:00"/>
    <x v="1"/>
    <n v="27570"/>
    <n v="7812"/>
    <n v="6"/>
    <d v="2024-08-28T00:00:00"/>
    <x v="1"/>
    <x v="1"/>
    <x v="2"/>
    <n v="3.5291999999999999"/>
    <n v="268"/>
    <n v="2024"/>
    <s v="August"/>
  </r>
  <r>
    <s v="DINS-CLM-100652"/>
    <s v="DINS-CUS-500652"/>
    <s v="DINS-POL-200652"/>
    <x v="2"/>
    <x v="1"/>
    <x v="4"/>
    <x v="1"/>
    <x v="2"/>
    <d v="2024-08-28T00:00:00"/>
    <s v="Annual"/>
    <d v="2024-10-22T00:00:00"/>
    <x v="0"/>
    <n v="12208"/>
    <n v="7523"/>
    <s v="N/A - Not Settled"/>
    <s v="N/A - Not Settled"/>
    <x v="0"/>
    <x v="0"/>
    <x v="0"/>
    <n v="1.6228"/>
    <n v="55"/>
    <n v="2024"/>
    <s v="October"/>
  </r>
  <r>
    <s v="DINS-CLM-100653"/>
    <s v="DINS-CUS-500653"/>
    <s v="DINS-POL-200653"/>
    <x v="2"/>
    <x v="0"/>
    <x v="5"/>
    <x v="0"/>
    <x v="5"/>
    <d v="2024-01-06T00:00:00"/>
    <s v="Monthly"/>
    <d v="2024-08-14T00:00:00"/>
    <x v="0"/>
    <n v="9203"/>
    <n v="7656"/>
    <s v="N/A - Not Settled"/>
    <s v="N/A - Not Settled"/>
    <x v="0"/>
    <x v="0"/>
    <x v="2"/>
    <n v="1.2020999999999999"/>
    <n v="221"/>
    <n v="2024"/>
    <s v="August"/>
  </r>
  <r>
    <s v="DINS-CLM-100654"/>
    <s v="DINS-CUS-500654"/>
    <s v="DINS-POL-200654"/>
    <x v="1"/>
    <x v="1"/>
    <x v="2"/>
    <x v="0"/>
    <x v="7"/>
    <d v="2024-07-06T00:00:00"/>
    <s v="Annual"/>
    <d v="2024-12-06T00:00:00"/>
    <x v="0"/>
    <n v="16192"/>
    <n v="7031"/>
    <s v="N/A - Not Settled"/>
    <s v="N/A - Not Settled"/>
    <x v="0"/>
    <x v="0"/>
    <x v="0"/>
    <n v="2.3029000000000002"/>
    <n v="153"/>
    <n v="2024"/>
    <s v="December"/>
  </r>
  <r>
    <s v="DINS-CLM-100655"/>
    <s v="DINS-CUS-500655"/>
    <s v="DINS-POL-200655"/>
    <x v="0"/>
    <x v="1"/>
    <x v="5"/>
    <x v="1"/>
    <x v="1"/>
    <d v="2024-05-30T00:00:00"/>
    <s v="Monthly"/>
    <d v="2024-10-07T00:00:00"/>
    <x v="1"/>
    <n v="48667"/>
    <n v="5112"/>
    <n v="11"/>
    <d v="2024-10-18T00:00:00"/>
    <x v="0"/>
    <x v="0"/>
    <x v="0"/>
    <n v="9.5200999999999993"/>
    <n v="130"/>
    <n v="2024"/>
    <s v="October"/>
  </r>
  <r>
    <s v="DINS-CLM-100656"/>
    <s v="DINS-CUS-500656"/>
    <s v="DINS-POL-200656"/>
    <x v="3"/>
    <x v="0"/>
    <x v="3"/>
    <x v="2"/>
    <x v="1"/>
    <d v="2024-02-11T00:00:00"/>
    <s v="Annual"/>
    <d v="2024-09-25T00:00:00"/>
    <x v="1"/>
    <n v="48401"/>
    <n v="2485"/>
    <n v="6"/>
    <d v="2024-10-01T00:00:00"/>
    <x v="0"/>
    <x v="0"/>
    <x v="1"/>
    <n v="19.4773"/>
    <n v="227"/>
    <n v="2024"/>
    <s v="September"/>
  </r>
  <r>
    <s v="DINS-CLM-100657"/>
    <s v="DINS-CUS-500657"/>
    <s v="DINS-POL-200657"/>
    <x v="0"/>
    <x v="1"/>
    <x v="3"/>
    <x v="2"/>
    <x v="7"/>
    <d v="2024-08-15T00:00:00"/>
    <s v="Monthly"/>
    <d v="2024-12-21T00:00:00"/>
    <x v="1"/>
    <n v="11055"/>
    <n v="7601"/>
    <n v="14"/>
    <d v="2025-01-04T00:00:00"/>
    <x v="0"/>
    <x v="0"/>
    <x v="0"/>
    <n v="1.4543999999999999"/>
    <n v="128"/>
    <n v="2024"/>
    <s v="December"/>
  </r>
  <r>
    <s v="DINS-CLM-100658"/>
    <s v="DINS-CUS-500658"/>
    <s v="DINS-POL-200658"/>
    <x v="0"/>
    <x v="0"/>
    <x v="2"/>
    <x v="0"/>
    <x v="0"/>
    <d v="2023-10-13T00:00:00"/>
    <s v="Annual"/>
    <d v="2024-03-30T00:00:00"/>
    <x v="1"/>
    <n v="5587"/>
    <n v="555"/>
    <n v="37"/>
    <d v="2024-05-06T00:00:00"/>
    <x v="0"/>
    <x v="0"/>
    <x v="2"/>
    <n v="10.066700000000001"/>
    <n v="169"/>
    <n v="2024"/>
    <s v="March"/>
  </r>
  <r>
    <s v="DINS-CLM-100659"/>
    <s v="DINS-CUS-500659"/>
    <s v="DINS-POL-200659"/>
    <x v="4"/>
    <x v="2"/>
    <x v="5"/>
    <x v="1"/>
    <x v="0"/>
    <d v="2024-07-07T00:00:00"/>
    <s v="Annual"/>
    <d v="2024-11-29T00:00:00"/>
    <x v="0"/>
    <n v="18941"/>
    <n v="2281"/>
    <s v="N/A - Not Settled"/>
    <s v="N/A - Not Settled"/>
    <x v="0"/>
    <x v="0"/>
    <x v="0"/>
    <n v="8.3038000000000007"/>
    <n v="145"/>
    <n v="2024"/>
    <s v="November"/>
  </r>
  <r>
    <s v="DINS-CLM-100660"/>
    <s v="DINS-CUS-500660"/>
    <s v="DINS-POL-200660"/>
    <x v="3"/>
    <x v="1"/>
    <x v="0"/>
    <x v="1"/>
    <x v="6"/>
    <d v="2023-06-21T00:00:00"/>
    <s v="Monthly"/>
    <d v="2024-02-12T00:00:00"/>
    <x v="0"/>
    <n v="90930"/>
    <n v="2780"/>
    <s v="N/A - Not Settled"/>
    <s v="N/A - Not Settled"/>
    <x v="0"/>
    <x v="0"/>
    <x v="2"/>
    <n v="32.708599999999997"/>
    <n v="236"/>
    <n v="2024"/>
    <s v="February"/>
  </r>
  <r>
    <s v="DINS-CLM-100661"/>
    <s v="DINS-CUS-500661"/>
    <s v="DINS-POL-200661"/>
    <x v="2"/>
    <x v="0"/>
    <x v="4"/>
    <x v="0"/>
    <x v="5"/>
    <d v="2023-10-30T00:00:00"/>
    <s v="Monthly"/>
    <d v="2024-02-21T00:00:00"/>
    <x v="2"/>
    <n v="15833"/>
    <n v="4703"/>
    <s v="N/A - Not Settled"/>
    <s v="N/A - Not Settled"/>
    <x v="0"/>
    <x v="0"/>
    <x v="2"/>
    <n v="3.3666"/>
    <n v="114"/>
    <n v="2024"/>
    <s v="February"/>
  </r>
  <r>
    <s v="DINS-CLM-100662"/>
    <s v="DINS-CUS-500662"/>
    <s v="DINS-POL-200662"/>
    <x v="2"/>
    <x v="2"/>
    <x v="5"/>
    <x v="1"/>
    <x v="5"/>
    <d v="2024-04-29T00:00:00"/>
    <s v="Annual"/>
    <d v="2024-10-14T00:00:00"/>
    <x v="1"/>
    <n v="5730"/>
    <n v="6147"/>
    <n v="35"/>
    <d v="2024-11-18T00:00:00"/>
    <x v="0"/>
    <x v="0"/>
    <x v="1"/>
    <n v="0.93220000000000003"/>
    <n v="168"/>
    <n v="2024"/>
    <s v="October"/>
  </r>
  <r>
    <s v="DINS-CLM-100663"/>
    <s v="DINS-CUS-500663"/>
    <s v="DINS-POL-200663"/>
    <x v="5"/>
    <x v="1"/>
    <x v="5"/>
    <x v="0"/>
    <x v="4"/>
    <d v="2023-06-30T00:00:00"/>
    <s v="Monthly"/>
    <d v="2024-06-29T00:00:00"/>
    <x v="1"/>
    <n v="48639"/>
    <n v="7965"/>
    <n v="22"/>
    <d v="2024-07-21T00:00:00"/>
    <x v="0"/>
    <x v="0"/>
    <x v="1"/>
    <n v="6.1066000000000003"/>
    <n v="365"/>
    <n v="2024"/>
    <s v="June"/>
  </r>
  <r>
    <s v="DINS-CLM-100664"/>
    <s v="DINS-CUS-500664"/>
    <s v="DINS-POL-200664"/>
    <x v="3"/>
    <x v="2"/>
    <x v="4"/>
    <x v="1"/>
    <x v="6"/>
    <d v="2024-05-08T00:00:00"/>
    <s v="Monthly"/>
    <d v="2024-08-18T00:00:00"/>
    <x v="1"/>
    <n v="96711"/>
    <n v="992"/>
    <n v="20"/>
    <d v="2024-09-07T00:00:00"/>
    <x v="0"/>
    <x v="0"/>
    <x v="2"/>
    <n v="97.490899999999996"/>
    <n v="102"/>
    <n v="2024"/>
    <s v="August"/>
  </r>
  <r>
    <s v="DINS-CLM-100665"/>
    <s v="DINS-CUS-500665"/>
    <s v="DINS-POL-200665"/>
    <x v="2"/>
    <x v="0"/>
    <x v="2"/>
    <x v="1"/>
    <x v="0"/>
    <d v="2024-06-05T00:00:00"/>
    <s v="Annual"/>
    <d v="2024-10-24T00:00:00"/>
    <x v="1"/>
    <n v="29696"/>
    <n v="2541"/>
    <n v="16"/>
    <d v="2024-11-09T00:00:00"/>
    <x v="0"/>
    <x v="0"/>
    <x v="1"/>
    <n v="11.6867"/>
    <n v="141"/>
    <n v="2024"/>
    <s v="October"/>
  </r>
  <r>
    <s v="DINS-CLM-100666"/>
    <s v="DINS-CUS-500666"/>
    <s v="DINS-POL-200666"/>
    <x v="4"/>
    <x v="1"/>
    <x v="4"/>
    <x v="2"/>
    <x v="1"/>
    <d v="2023-03-10T00:00:00"/>
    <s v="Monthly"/>
    <d v="2024-01-11T00:00:00"/>
    <x v="1"/>
    <n v="8490"/>
    <n v="1815"/>
    <n v="24"/>
    <d v="2024-02-04T00:00:00"/>
    <x v="0"/>
    <x v="0"/>
    <x v="1"/>
    <n v="4.6776999999999997"/>
    <n v="307"/>
    <n v="2024"/>
    <s v="January"/>
  </r>
  <r>
    <s v="DINS-CLM-100667"/>
    <s v="DINS-CUS-500667"/>
    <s v="DINS-POL-200667"/>
    <x v="2"/>
    <x v="2"/>
    <x v="2"/>
    <x v="1"/>
    <x v="6"/>
    <d v="2023-11-04T00:00:00"/>
    <s v="Monthly"/>
    <d v="2024-04-08T00:00:00"/>
    <x v="1"/>
    <n v="17091"/>
    <n v="8264"/>
    <n v="5"/>
    <d v="2024-04-13T00:00:00"/>
    <x v="0"/>
    <x v="0"/>
    <x v="2"/>
    <n v="2.0680999999999998"/>
    <n v="156"/>
    <n v="2024"/>
    <s v="April"/>
  </r>
  <r>
    <s v="DINS-CLM-100668"/>
    <s v="DINS-CUS-500668"/>
    <s v="DINS-POL-200668"/>
    <x v="0"/>
    <x v="2"/>
    <x v="2"/>
    <x v="2"/>
    <x v="4"/>
    <d v="2024-01-25T00:00:00"/>
    <s v="Monthly"/>
    <d v="2024-04-14T00:00:00"/>
    <x v="2"/>
    <n v="52229"/>
    <n v="8765"/>
    <s v="N/A - Not Settled"/>
    <s v="N/A - Not Settled"/>
    <x v="0"/>
    <x v="0"/>
    <x v="0"/>
    <n v="5.9588000000000001"/>
    <n v="80"/>
    <n v="2024"/>
    <s v="April"/>
  </r>
  <r>
    <s v="DINS-CLM-100669"/>
    <s v="DINS-CUS-500669"/>
    <s v="DINS-POL-200669"/>
    <x v="1"/>
    <x v="0"/>
    <x v="4"/>
    <x v="1"/>
    <x v="1"/>
    <d v="2024-07-24T00:00:00"/>
    <s v="Monthly"/>
    <d v="2024-08-26T00:00:00"/>
    <x v="0"/>
    <n v="33041"/>
    <n v="8881"/>
    <s v="N/A - Not Settled"/>
    <s v="N/A - Not Settled"/>
    <x v="0"/>
    <x v="0"/>
    <x v="0"/>
    <n v="3.7204000000000002"/>
    <n v="33"/>
    <n v="2024"/>
    <s v="August"/>
  </r>
  <r>
    <s v="DINS-CLM-100670"/>
    <s v="DINS-CUS-500670"/>
    <s v="DINS-POL-200670"/>
    <x v="0"/>
    <x v="1"/>
    <x v="2"/>
    <x v="2"/>
    <x v="0"/>
    <d v="2024-04-03T00:00:00"/>
    <s v="Annual"/>
    <d v="2024-09-26T00:00:00"/>
    <x v="2"/>
    <n v="40938"/>
    <n v="7555"/>
    <s v="N/A - Not Settled"/>
    <s v="N/A - Not Settled"/>
    <x v="0"/>
    <x v="0"/>
    <x v="0"/>
    <n v="5.4187000000000003"/>
    <n v="176"/>
    <n v="2024"/>
    <s v="September"/>
  </r>
  <r>
    <s v="DINS-CLM-100671"/>
    <s v="DINS-CUS-500671"/>
    <s v="DINS-POL-200671"/>
    <x v="1"/>
    <x v="2"/>
    <x v="3"/>
    <x v="2"/>
    <x v="0"/>
    <d v="2023-12-17T00:00:00"/>
    <s v="Monthly"/>
    <d v="2024-06-20T00:00:00"/>
    <x v="1"/>
    <n v="26058"/>
    <n v="7708"/>
    <n v="9"/>
    <d v="2024-06-29T00:00:00"/>
    <x v="1"/>
    <x v="0"/>
    <x v="1"/>
    <n v="3.3805999999999998"/>
    <n v="186"/>
    <n v="2024"/>
    <s v="June"/>
  </r>
  <r>
    <s v="DINS-CLM-100672"/>
    <s v="DINS-CUS-500672"/>
    <s v="DINS-POL-200672"/>
    <x v="1"/>
    <x v="2"/>
    <x v="3"/>
    <x v="1"/>
    <x v="7"/>
    <d v="2024-05-24T00:00:00"/>
    <s v="Monthly"/>
    <d v="2024-11-16T00:00:00"/>
    <x v="2"/>
    <n v="20972"/>
    <n v="1797"/>
    <s v="N/A - Not Settled"/>
    <s v="N/A - Not Settled"/>
    <x v="0"/>
    <x v="0"/>
    <x v="0"/>
    <n v="11.6706"/>
    <n v="176"/>
    <n v="2024"/>
    <s v="November"/>
  </r>
  <r>
    <s v="DINS-CLM-100673"/>
    <s v="DINS-CUS-500673"/>
    <s v="DINS-POL-200673"/>
    <x v="1"/>
    <x v="1"/>
    <x v="1"/>
    <x v="1"/>
    <x v="0"/>
    <d v="2024-02-01T00:00:00"/>
    <s v="Annual"/>
    <d v="2024-03-28T00:00:00"/>
    <x v="1"/>
    <n v="26612"/>
    <n v="7047"/>
    <n v="28"/>
    <d v="2024-04-25T00:00:00"/>
    <x v="0"/>
    <x v="0"/>
    <x v="2"/>
    <n v="3.7764000000000002"/>
    <n v="56"/>
    <n v="2024"/>
    <s v="March"/>
  </r>
  <r>
    <s v="DINS-CLM-100674"/>
    <s v="DINS-CUS-500674"/>
    <s v="DINS-POL-200674"/>
    <x v="1"/>
    <x v="0"/>
    <x v="4"/>
    <x v="0"/>
    <x v="4"/>
    <d v="2024-01-30T00:00:00"/>
    <s v="Annual"/>
    <d v="2024-10-04T00:00:00"/>
    <x v="1"/>
    <n v="57954"/>
    <n v="3190"/>
    <n v="39"/>
    <d v="2024-11-12T00:00:00"/>
    <x v="0"/>
    <x v="0"/>
    <x v="0"/>
    <n v="18.167400000000001"/>
    <n v="248"/>
    <n v="2024"/>
    <s v="October"/>
  </r>
  <r>
    <s v="DINS-CLM-100675"/>
    <s v="DINS-CUS-500675"/>
    <s v="DINS-POL-200675"/>
    <x v="5"/>
    <x v="0"/>
    <x v="4"/>
    <x v="1"/>
    <x v="6"/>
    <d v="2023-06-03T00:00:00"/>
    <s v="Monthly"/>
    <d v="2024-01-14T00:00:00"/>
    <x v="1"/>
    <n v="52602"/>
    <n v="4108"/>
    <n v="42"/>
    <d v="2024-02-25T00:00:00"/>
    <x v="1"/>
    <x v="0"/>
    <x v="1"/>
    <n v="12.8048"/>
    <n v="225"/>
    <n v="2024"/>
    <s v="January"/>
  </r>
  <r>
    <s v="DINS-CLM-100676"/>
    <s v="DINS-CUS-500676"/>
    <s v="DINS-POL-200676"/>
    <x v="0"/>
    <x v="2"/>
    <x v="1"/>
    <x v="1"/>
    <x v="7"/>
    <d v="2023-07-28T00:00:00"/>
    <s v="Annual"/>
    <d v="2024-05-08T00:00:00"/>
    <x v="2"/>
    <n v="52560"/>
    <n v="3868"/>
    <s v="N/A - Not Settled"/>
    <s v="N/A - Not Settled"/>
    <x v="0"/>
    <x v="0"/>
    <x v="1"/>
    <n v="13.5884"/>
    <n v="285"/>
    <n v="2024"/>
    <s v="May"/>
  </r>
  <r>
    <s v="DINS-CLM-100677"/>
    <s v="DINS-CUS-500677"/>
    <s v="DINS-POL-200677"/>
    <x v="5"/>
    <x v="0"/>
    <x v="1"/>
    <x v="0"/>
    <x v="5"/>
    <d v="2023-07-17T00:00:00"/>
    <s v="Annual"/>
    <d v="2024-05-13T00:00:00"/>
    <x v="0"/>
    <n v="13739"/>
    <n v="7383"/>
    <s v="N/A - Not Settled"/>
    <s v="N/A - Not Settled"/>
    <x v="0"/>
    <x v="0"/>
    <x v="0"/>
    <n v="1.8609"/>
    <n v="301"/>
    <n v="2024"/>
    <s v="May"/>
  </r>
  <r>
    <s v="DINS-CLM-100678"/>
    <s v="DINS-CUS-500678"/>
    <s v="DINS-POL-200678"/>
    <x v="5"/>
    <x v="2"/>
    <x v="3"/>
    <x v="1"/>
    <x v="2"/>
    <d v="2024-03-30T00:00:00"/>
    <s v="Annual"/>
    <d v="2024-05-29T00:00:00"/>
    <x v="1"/>
    <n v="70653"/>
    <n v="1720"/>
    <n v="41"/>
    <d v="2024-07-09T00:00:00"/>
    <x v="0"/>
    <x v="0"/>
    <x v="2"/>
    <n v="41.077300000000001"/>
    <n v="60"/>
    <n v="2024"/>
    <s v="May"/>
  </r>
  <r>
    <s v="DINS-CLM-100679"/>
    <s v="DINS-CUS-500679"/>
    <s v="DINS-POL-200679"/>
    <x v="3"/>
    <x v="0"/>
    <x v="1"/>
    <x v="0"/>
    <x v="6"/>
    <d v="2024-01-30T00:00:00"/>
    <s v="Annual"/>
    <d v="2024-03-15T00:00:00"/>
    <x v="0"/>
    <n v="55651"/>
    <n v="7527"/>
    <s v="N/A - Not Settled"/>
    <s v="N/A - Not Settled"/>
    <x v="1"/>
    <x v="0"/>
    <x v="1"/>
    <n v="7.3935000000000004"/>
    <n v="45"/>
    <n v="2024"/>
    <s v="March"/>
  </r>
  <r>
    <s v="DINS-CLM-100680"/>
    <s v="DINS-CUS-500680"/>
    <s v="DINS-POL-200680"/>
    <x v="5"/>
    <x v="2"/>
    <x v="2"/>
    <x v="1"/>
    <x v="1"/>
    <d v="2024-01-23T00:00:00"/>
    <s v="Monthly"/>
    <d v="2024-04-03T00:00:00"/>
    <x v="1"/>
    <n v="45777"/>
    <n v="7699"/>
    <n v="40"/>
    <d v="2024-05-13T00:00:00"/>
    <x v="1"/>
    <x v="1"/>
    <x v="0"/>
    <n v="5.9458000000000002"/>
    <n v="71"/>
    <n v="2024"/>
    <s v="April"/>
  </r>
  <r>
    <s v="DINS-CLM-100681"/>
    <s v="DINS-CUS-500681"/>
    <s v="DINS-POL-200681"/>
    <x v="2"/>
    <x v="0"/>
    <x v="5"/>
    <x v="0"/>
    <x v="1"/>
    <d v="2024-08-24T00:00:00"/>
    <s v="Annual"/>
    <d v="2024-11-13T00:00:00"/>
    <x v="0"/>
    <n v="39415"/>
    <n v="4312"/>
    <s v="N/A - Not Settled"/>
    <s v="N/A - Not Settled"/>
    <x v="0"/>
    <x v="0"/>
    <x v="2"/>
    <n v="9.1408000000000005"/>
    <n v="81"/>
    <n v="2024"/>
    <s v="November"/>
  </r>
  <r>
    <s v="DINS-CLM-100682"/>
    <s v="DINS-CUS-500682"/>
    <s v="DINS-POL-200682"/>
    <x v="0"/>
    <x v="1"/>
    <x v="4"/>
    <x v="1"/>
    <x v="2"/>
    <d v="2024-05-13T00:00:00"/>
    <s v="Monthly"/>
    <d v="2024-07-11T00:00:00"/>
    <x v="1"/>
    <n v="14405"/>
    <n v="8351"/>
    <n v="43"/>
    <d v="2024-08-23T00:00:00"/>
    <x v="1"/>
    <x v="0"/>
    <x v="2"/>
    <n v="1.7249000000000001"/>
    <n v="59"/>
    <n v="2024"/>
    <s v="July"/>
  </r>
  <r>
    <s v="DINS-CLM-100683"/>
    <s v="DINS-CUS-500683"/>
    <s v="DINS-POL-200683"/>
    <x v="2"/>
    <x v="0"/>
    <x v="3"/>
    <x v="0"/>
    <x v="3"/>
    <d v="2023-10-09T00:00:00"/>
    <s v="Monthly"/>
    <d v="2024-04-27T00:00:00"/>
    <x v="2"/>
    <n v="29736"/>
    <n v="1599"/>
    <s v="N/A - Not Settled"/>
    <s v="N/A - Not Settled"/>
    <x v="0"/>
    <x v="0"/>
    <x v="2"/>
    <n v="18.596599999999999"/>
    <n v="201"/>
    <n v="2024"/>
    <s v="April"/>
  </r>
  <r>
    <s v="DINS-CLM-100684"/>
    <s v="DINS-CUS-500684"/>
    <s v="DINS-POL-200684"/>
    <x v="2"/>
    <x v="2"/>
    <x v="5"/>
    <x v="2"/>
    <x v="6"/>
    <d v="2024-08-21T00:00:00"/>
    <s v="Annual"/>
    <d v="2024-10-27T00:00:00"/>
    <x v="0"/>
    <n v="14011"/>
    <n v="1823"/>
    <s v="N/A - Not Settled"/>
    <s v="N/A - Not Settled"/>
    <x v="0"/>
    <x v="0"/>
    <x v="2"/>
    <n v="7.6856999999999998"/>
    <n v="67"/>
    <n v="2024"/>
    <s v="October"/>
  </r>
  <r>
    <s v="DINS-CLM-100685"/>
    <s v="DINS-CUS-500685"/>
    <s v="DINS-POL-200685"/>
    <x v="3"/>
    <x v="0"/>
    <x v="2"/>
    <x v="0"/>
    <x v="3"/>
    <d v="2024-06-20T00:00:00"/>
    <s v="Annual"/>
    <d v="2024-11-23T00:00:00"/>
    <x v="1"/>
    <n v="64282"/>
    <n v="6444"/>
    <n v="45"/>
    <d v="2025-01-07T00:00:00"/>
    <x v="0"/>
    <x v="0"/>
    <x v="1"/>
    <n v="9.9755000000000003"/>
    <n v="156"/>
    <n v="2024"/>
    <s v="November"/>
  </r>
  <r>
    <s v="DINS-CLM-100686"/>
    <s v="DINS-CUS-500686"/>
    <s v="DINS-POL-200686"/>
    <x v="1"/>
    <x v="0"/>
    <x v="4"/>
    <x v="1"/>
    <x v="5"/>
    <d v="2023-10-29T00:00:00"/>
    <s v="Annual"/>
    <d v="2024-03-01T00:00:00"/>
    <x v="0"/>
    <n v="59371"/>
    <n v="6047"/>
    <s v="N/A - Not Settled"/>
    <s v="N/A - Not Settled"/>
    <x v="0"/>
    <x v="0"/>
    <x v="1"/>
    <n v="9.8183000000000007"/>
    <n v="124"/>
    <n v="2024"/>
    <s v="March"/>
  </r>
  <r>
    <s v="DINS-CLM-100687"/>
    <s v="DINS-CUS-500687"/>
    <s v="DINS-POL-200687"/>
    <x v="0"/>
    <x v="1"/>
    <x v="2"/>
    <x v="2"/>
    <x v="1"/>
    <d v="2024-07-13T00:00:00"/>
    <s v="Monthly"/>
    <d v="2024-10-04T00:00:00"/>
    <x v="1"/>
    <n v="49350"/>
    <n v="6888"/>
    <n v="13"/>
    <d v="2024-10-17T00:00:00"/>
    <x v="0"/>
    <x v="0"/>
    <x v="0"/>
    <n v="7.1646000000000001"/>
    <n v="83"/>
    <n v="2024"/>
    <s v="October"/>
  </r>
  <r>
    <s v="DINS-CLM-100688"/>
    <s v="DINS-CUS-500688"/>
    <s v="DINS-POL-200688"/>
    <x v="0"/>
    <x v="1"/>
    <x v="0"/>
    <x v="0"/>
    <x v="7"/>
    <d v="2023-08-15T00:00:00"/>
    <s v="Annual"/>
    <d v="2024-08-04T00:00:00"/>
    <x v="1"/>
    <n v="32780"/>
    <n v="7594"/>
    <n v="45"/>
    <d v="2024-09-18T00:00:00"/>
    <x v="1"/>
    <x v="0"/>
    <x v="0"/>
    <n v="4.3166000000000002"/>
    <n v="355"/>
    <n v="2024"/>
    <s v="August"/>
  </r>
  <r>
    <s v="DINS-CLM-100689"/>
    <s v="DINS-CUS-500689"/>
    <s v="DINS-POL-200689"/>
    <x v="3"/>
    <x v="1"/>
    <x v="1"/>
    <x v="1"/>
    <x v="4"/>
    <d v="2023-07-15T00:00:00"/>
    <s v="Monthly"/>
    <d v="2024-06-11T00:00:00"/>
    <x v="1"/>
    <n v="24978"/>
    <n v="5254"/>
    <n v="40"/>
    <d v="2024-07-21T00:00:00"/>
    <x v="1"/>
    <x v="1"/>
    <x v="1"/>
    <n v="4.7541000000000002"/>
    <n v="332"/>
    <n v="2024"/>
    <s v="June"/>
  </r>
  <r>
    <s v="DINS-CLM-100690"/>
    <s v="DINS-CUS-500690"/>
    <s v="DINS-POL-200690"/>
    <x v="0"/>
    <x v="0"/>
    <x v="1"/>
    <x v="0"/>
    <x v="4"/>
    <d v="2024-05-09T00:00:00"/>
    <s v="Annual"/>
    <d v="2024-06-30T00:00:00"/>
    <x v="1"/>
    <n v="21968"/>
    <n v="4702"/>
    <n v="36"/>
    <d v="2024-08-05T00:00:00"/>
    <x v="0"/>
    <x v="0"/>
    <x v="2"/>
    <n v="4.6721000000000004"/>
    <n v="52"/>
    <n v="2024"/>
    <s v="June"/>
  </r>
  <r>
    <s v="DINS-CLM-100691"/>
    <s v="DINS-CUS-500691"/>
    <s v="DINS-POL-200691"/>
    <x v="1"/>
    <x v="0"/>
    <x v="3"/>
    <x v="1"/>
    <x v="3"/>
    <d v="2024-04-23T00:00:00"/>
    <s v="Monthly"/>
    <d v="2024-07-15T00:00:00"/>
    <x v="1"/>
    <n v="21916"/>
    <n v="7825"/>
    <n v="10"/>
    <d v="2024-07-25T00:00:00"/>
    <x v="0"/>
    <x v="0"/>
    <x v="0"/>
    <n v="2.8008000000000002"/>
    <n v="83"/>
    <n v="2024"/>
    <s v="July"/>
  </r>
  <r>
    <s v="DINS-CLM-100692"/>
    <s v="DINS-CUS-500692"/>
    <s v="DINS-POL-200692"/>
    <x v="3"/>
    <x v="1"/>
    <x v="1"/>
    <x v="2"/>
    <x v="3"/>
    <d v="2024-08-23T00:00:00"/>
    <s v="Monthly"/>
    <d v="2024-11-09T00:00:00"/>
    <x v="0"/>
    <n v="54007"/>
    <n v="6430"/>
    <s v="N/A - Not Settled"/>
    <s v="N/A - Not Settled"/>
    <x v="0"/>
    <x v="0"/>
    <x v="1"/>
    <n v="8.3992000000000004"/>
    <n v="78"/>
    <n v="2024"/>
    <s v="November"/>
  </r>
  <r>
    <s v="DINS-CLM-100693"/>
    <s v="DINS-CUS-500693"/>
    <s v="DINS-POL-200693"/>
    <x v="2"/>
    <x v="0"/>
    <x v="3"/>
    <x v="2"/>
    <x v="6"/>
    <d v="2024-02-06T00:00:00"/>
    <s v="Annual"/>
    <d v="2024-04-16T00:00:00"/>
    <x v="2"/>
    <n v="22891"/>
    <n v="8312"/>
    <s v="N/A - Not Settled"/>
    <s v="N/A - Not Settled"/>
    <x v="0"/>
    <x v="0"/>
    <x v="0"/>
    <n v="2.754"/>
    <n v="70"/>
    <n v="2024"/>
    <s v="April"/>
  </r>
  <r>
    <s v="DINS-CLM-100694"/>
    <s v="DINS-CUS-500694"/>
    <s v="DINS-POL-200694"/>
    <x v="3"/>
    <x v="0"/>
    <x v="0"/>
    <x v="1"/>
    <x v="0"/>
    <d v="2024-05-29T00:00:00"/>
    <s v="Annual"/>
    <d v="2024-10-01T00:00:00"/>
    <x v="1"/>
    <n v="51058"/>
    <n v="7352"/>
    <n v="41"/>
    <d v="2024-11-11T00:00:00"/>
    <x v="1"/>
    <x v="1"/>
    <x v="0"/>
    <n v="6.9447999999999999"/>
    <n v="125"/>
    <n v="2024"/>
    <s v="October"/>
  </r>
  <r>
    <s v="DINS-CLM-100695"/>
    <s v="DINS-CUS-500695"/>
    <s v="DINS-POL-200695"/>
    <x v="0"/>
    <x v="0"/>
    <x v="2"/>
    <x v="1"/>
    <x v="1"/>
    <d v="2023-09-11T00:00:00"/>
    <s v="Monthly"/>
    <d v="2024-02-14T00:00:00"/>
    <x v="1"/>
    <n v="47491"/>
    <n v="2713"/>
    <n v="23"/>
    <d v="2024-03-08T00:00:00"/>
    <x v="0"/>
    <x v="0"/>
    <x v="1"/>
    <n v="17.504999999999999"/>
    <n v="156"/>
    <n v="2024"/>
    <s v="February"/>
  </r>
  <r>
    <s v="DINS-CLM-100696"/>
    <s v="DINS-CUS-500696"/>
    <s v="DINS-POL-200696"/>
    <x v="0"/>
    <x v="1"/>
    <x v="2"/>
    <x v="2"/>
    <x v="6"/>
    <d v="2023-02-16T00:00:00"/>
    <s v="Annual"/>
    <d v="2024-02-01T00:00:00"/>
    <x v="2"/>
    <n v="55956"/>
    <n v="8900"/>
    <s v="N/A - Not Settled"/>
    <s v="N/A - Not Settled"/>
    <x v="0"/>
    <x v="0"/>
    <x v="0"/>
    <n v="6.2872000000000003"/>
    <n v="350"/>
    <n v="2024"/>
    <s v="February"/>
  </r>
  <r>
    <s v="DINS-CLM-100697"/>
    <s v="DINS-CUS-500697"/>
    <s v="DINS-POL-200697"/>
    <x v="0"/>
    <x v="1"/>
    <x v="1"/>
    <x v="2"/>
    <x v="0"/>
    <d v="2023-09-03T00:00:00"/>
    <s v="Annual"/>
    <d v="2024-08-22T00:00:00"/>
    <x v="1"/>
    <n v="52862"/>
    <n v="4990"/>
    <n v="42"/>
    <d v="2024-10-03T00:00:00"/>
    <x v="0"/>
    <x v="0"/>
    <x v="1"/>
    <n v="10.5936"/>
    <n v="354"/>
    <n v="2024"/>
    <s v="August"/>
  </r>
  <r>
    <s v="DINS-CLM-100698"/>
    <s v="DINS-CUS-500698"/>
    <s v="DINS-POL-200698"/>
    <x v="1"/>
    <x v="0"/>
    <x v="5"/>
    <x v="1"/>
    <x v="0"/>
    <d v="2023-12-29T00:00:00"/>
    <s v="Monthly"/>
    <d v="2024-05-14T00:00:00"/>
    <x v="1"/>
    <n v="22756"/>
    <n v="6991"/>
    <n v="44"/>
    <d v="2024-06-27T00:00:00"/>
    <x v="0"/>
    <x v="0"/>
    <x v="0"/>
    <n v="3.2549999999999999"/>
    <n v="137"/>
    <n v="2024"/>
    <s v="May"/>
  </r>
  <r>
    <s v="DINS-CLM-100699"/>
    <s v="DINS-CUS-500699"/>
    <s v="DINS-POL-200699"/>
    <x v="4"/>
    <x v="1"/>
    <x v="4"/>
    <x v="1"/>
    <x v="0"/>
    <d v="2024-10-25T00:00:00"/>
    <s v="Monthly"/>
    <d v="2024-11-30T00:00:00"/>
    <x v="2"/>
    <n v="11117"/>
    <n v="4287"/>
    <s v="N/A - Not Settled"/>
    <s v="N/A - Not Settled"/>
    <x v="0"/>
    <x v="0"/>
    <x v="2"/>
    <n v="2.5931999999999999"/>
    <n v="36"/>
    <n v="2024"/>
    <s v="November"/>
  </r>
  <r>
    <s v="DINS-CLM-100700"/>
    <s v="DINS-CUS-500700"/>
    <s v="DINS-POL-200700"/>
    <x v="2"/>
    <x v="0"/>
    <x v="4"/>
    <x v="0"/>
    <x v="2"/>
    <d v="2023-12-14T00:00:00"/>
    <s v="Monthly"/>
    <d v="2024-08-01T00:00:00"/>
    <x v="1"/>
    <n v="20615"/>
    <n v="752"/>
    <n v="34"/>
    <d v="2024-09-04T00:00:00"/>
    <x v="0"/>
    <x v="0"/>
    <x v="2"/>
    <n v="27.413599999999999"/>
    <n v="231"/>
    <n v="2024"/>
    <s v="August"/>
  </r>
  <r>
    <s v="DINS-CLM-100701"/>
    <s v="DINS-CUS-500701"/>
    <s v="DINS-POL-200701"/>
    <x v="0"/>
    <x v="0"/>
    <x v="4"/>
    <x v="0"/>
    <x v="6"/>
    <d v="2023-11-26T00:00:00"/>
    <s v="Monthly"/>
    <d v="2024-09-12T00:00:00"/>
    <x v="1"/>
    <n v="42525"/>
    <n v="5179"/>
    <n v="32"/>
    <d v="2024-10-14T00:00:00"/>
    <x v="0"/>
    <x v="0"/>
    <x v="0"/>
    <n v="8.2110000000000003"/>
    <n v="291"/>
    <n v="2024"/>
    <s v="September"/>
  </r>
  <r>
    <s v="DINS-CLM-100702"/>
    <s v="DINS-CUS-500702"/>
    <s v="DINS-POL-200702"/>
    <x v="0"/>
    <x v="2"/>
    <x v="2"/>
    <x v="2"/>
    <x v="3"/>
    <d v="2023-08-04T00:00:00"/>
    <s v="Monthly"/>
    <d v="2024-05-22T00:00:00"/>
    <x v="0"/>
    <n v="53097"/>
    <n v="5265"/>
    <s v="N/A - Not Settled"/>
    <s v="N/A - Not Settled"/>
    <x v="0"/>
    <x v="0"/>
    <x v="1"/>
    <n v="10.084899999999999"/>
    <n v="292"/>
    <n v="2024"/>
    <s v="May"/>
  </r>
  <r>
    <s v="DINS-CLM-100703"/>
    <s v="DINS-CUS-500703"/>
    <s v="DINS-POL-200703"/>
    <x v="2"/>
    <x v="2"/>
    <x v="5"/>
    <x v="2"/>
    <x v="1"/>
    <d v="2023-12-30T00:00:00"/>
    <s v="Monthly"/>
    <d v="2024-01-30T00:00:00"/>
    <x v="1"/>
    <n v="2679"/>
    <n v="7367"/>
    <n v="36"/>
    <d v="2024-03-06T00:00:00"/>
    <x v="0"/>
    <x v="0"/>
    <x v="0"/>
    <n v="0.36359999999999998"/>
    <n v="31"/>
    <n v="2024"/>
    <s v="January"/>
  </r>
  <r>
    <s v="DINS-CLM-100704"/>
    <s v="DINS-CUS-500704"/>
    <s v="DINS-POL-200704"/>
    <x v="2"/>
    <x v="1"/>
    <x v="2"/>
    <x v="0"/>
    <x v="1"/>
    <d v="2024-04-10T00:00:00"/>
    <s v="Annual"/>
    <d v="2024-08-10T00:00:00"/>
    <x v="1"/>
    <n v="12916"/>
    <n v="3091"/>
    <n v="38"/>
    <d v="2024-09-17T00:00:00"/>
    <x v="0"/>
    <x v="0"/>
    <x v="1"/>
    <n v="4.1786000000000003"/>
    <n v="122"/>
    <n v="2024"/>
    <s v="August"/>
  </r>
  <r>
    <s v="DINS-CLM-100705"/>
    <s v="DINS-CUS-500705"/>
    <s v="DINS-POL-200705"/>
    <x v="0"/>
    <x v="1"/>
    <x v="0"/>
    <x v="2"/>
    <x v="5"/>
    <d v="2023-10-03T00:00:00"/>
    <s v="Monthly"/>
    <d v="2024-06-12T00:00:00"/>
    <x v="1"/>
    <n v="12345"/>
    <n v="2303"/>
    <n v="16"/>
    <d v="2024-06-28T00:00:00"/>
    <x v="0"/>
    <x v="0"/>
    <x v="2"/>
    <n v="5.3604000000000003"/>
    <n v="253"/>
    <n v="2024"/>
    <s v="June"/>
  </r>
  <r>
    <s v="DINS-CLM-100706"/>
    <s v="DINS-CUS-500706"/>
    <s v="DINS-POL-200706"/>
    <x v="2"/>
    <x v="0"/>
    <x v="0"/>
    <x v="0"/>
    <x v="7"/>
    <d v="2024-09-09T00:00:00"/>
    <s v="Monthly"/>
    <d v="2024-10-13T00:00:00"/>
    <x v="1"/>
    <n v="22979"/>
    <n v="2460"/>
    <n v="24"/>
    <d v="2024-11-06T00:00:00"/>
    <x v="0"/>
    <x v="0"/>
    <x v="1"/>
    <n v="9.3411000000000008"/>
    <n v="34"/>
    <n v="2024"/>
    <s v="October"/>
  </r>
  <r>
    <s v="DINS-CLM-100707"/>
    <s v="DINS-CUS-500707"/>
    <s v="DINS-POL-200707"/>
    <x v="0"/>
    <x v="1"/>
    <x v="4"/>
    <x v="1"/>
    <x v="5"/>
    <d v="2023-04-22T00:00:00"/>
    <s v="Annual"/>
    <d v="2024-03-01T00:00:00"/>
    <x v="1"/>
    <n v="14404"/>
    <n v="3356"/>
    <n v="25"/>
    <d v="2024-03-26T00:00:00"/>
    <x v="0"/>
    <x v="0"/>
    <x v="1"/>
    <n v="4.2919999999999998"/>
    <n v="314"/>
    <n v="2024"/>
    <s v="March"/>
  </r>
  <r>
    <s v="DINS-CLM-100708"/>
    <s v="DINS-CUS-500708"/>
    <s v="DINS-POL-200708"/>
    <x v="0"/>
    <x v="0"/>
    <x v="0"/>
    <x v="0"/>
    <x v="5"/>
    <d v="2024-02-04T00:00:00"/>
    <s v="Monthly"/>
    <d v="2024-03-16T00:00:00"/>
    <x v="2"/>
    <n v="46451"/>
    <n v="6501"/>
    <s v="N/A - Not Settled"/>
    <s v="N/A - Not Settled"/>
    <x v="0"/>
    <x v="0"/>
    <x v="0"/>
    <n v="7.1452"/>
    <n v="41"/>
    <n v="2024"/>
    <s v="March"/>
  </r>
  <r>
    <s v="DINS-CLM-100709"/>
    <s v="DINS-CUS-500709"/>
    <s v="DINS-POL-200709"/>
    <x v="0"/>
    <x v="1"/>
    <x v="2"/>
    <x v="2"/>
    <x v="1"/>
    <d v="2023-05-18T00:00:00"/>
    <s v="Annual"/>
    <d v="2024-01-09T00:00:00"/>
    <x v="0"/>
    <n v="43125"/>
    <n v="8745"/>
    <s v="N/A - Not Settled"/>
    <s v="N/A - Not Settled"/>
    <x v="0"/>
    <x v="0"/>
    <x v="2"/>
    <n v="4.9314"/>
    <n v="236"/>
    <n v="2024"/>
    <s v="January"/>
  </r>
  <r>
    <s v="DINS-CLM-100710"/>
    <s v="DINS-CUS-500710"/>
    <s v="DINS-POL-200710"/>
    <x v="0"/>
    <x v="0"/>
    <x v="5"/>
    <x v="2"/>
    <x v="1"/>
    <d v="2023-11-16T00:00:00"/>
    <s v="Annual"/>
    <d v="2024-07-08T00:00:00"/>
    <x v="1"/>
    <n v="13958"/>
    <n v="8068"/>
    <n v="15"/>
    <d v="2024-07-23T00:00:00"/>
    <x v="1"/>
    <x v="1"/>
    <x v="2"/>
    <n v="1.73"/>
    <n v="235"/>
    <n v="2024"/>
    <s v="July"/>
  </r>
  <r>
    <s v="DINS-CLM-100711"/>
    <s v="DINS-CUS-500711"/>
    <s v="DINS-POL-200711"/>
    <x v="1"/>
    <x v="1"/>
    <x v="0"/>
    <x v="0"/>
    <x v="0"/>
    <d v="2023-12-28T00:00:00"/>
    <s v="Annual"/>
    <d v="2024-02-04T00:00:00"/>
    <x v="0"/>
    <n v="32535"/>
    <n v="772"/>
    <s v="N/A - Not Settled"/>
    <s v="N/A - Not Settled"/>
    <x v="0"/>
    <x v="0"/>
    <x v="2"/>
    <n v="42.143799999999999"/>
    <n v="38"/>
    <n v="2024"/>
    <s v="February"/>
  </r>
  <r>
    <s v="DINS-CLM-100712"/>
    <s v="DINS-CUS-500712"/>
    <s v="DINS-POL-200712"/>
    <x v="3"/>
    <x v="2"/>
    <x v="5"/>
    <x v="0"/>
    <x v="4"/>
    <d v="2023-03-22T00:00:00"/>
    <s v="Monthly"/>
    <d v="2024-03-01T00:00:00"/>
    <x v="1"/>
    <n v="39397"/>
    <n v="1297"/>
    <n v="44"/>
    <d v="2024-04-14T00:00:00"/>
    <x v="0"/>
    <x v="0"/>
    <x v="2"/>
    <n v="30.375499999999999"/>
    <n v="345"/>
    <n v="2024"/>
    <s v="March"/>
  </r>
  <r>
    <s v="DINS-CLM-100713"/>
    <s v="DINS-CUS-500713"/>
    <s v="DINS-POL-200713"/>
    <x v="5"/>
    <x v="1"/>
    <x v="1"/>
    <x v="1"/>
    <x v="5"/>
    <d v="2024-03-08T00:00:00"/>
    <s v="Monthly"/>
    <d v="2024-07-10T00:00:00"/>
    <x v="1"/>
    <n v="72628"/>
    <n v="1014"/>
    <n v="21"/>
    <d v="2024-07-31T00:00:00"/>
    <x v="0"/>
    <x v="0"/>
    <x v="2"/>
    <n v="71.625200000000007"/>
    <n v="124"/>
    <n v="2024"/>
    <s v="July"/>
  </r>
  <r>
    <s v="DINS-CLM-100714"/>
    <s v="DINS-CUS-500714"/>
    <s v="DINS-POL-200714"/>
    <x v="2"/>
    <x v="1"/>
    <x v="2"/>
    <x v="0"/>
    <x v="3"/>
    <d v="2023-11-21T00:00:00"/>
    <s v="Monthly"/>
    <d v="2024-02-03T00:00:00"/>
    <x v="0"/>
    <n v="3028"/>
    <n v="8311"/>
    <s v="N/A - Not Settled"/>
    <s v="N/A - Not Settled"/>
    <x v="0"/>
    <x v="0"/>
    <x v="2"/>
    <n v="0.36430000000000001"/>
    <n v="74"/>
    <n v="2024"/>
    <s v="February"/>
  </r>
  <r>
    <s v="DINS-CLM-100715"/>
    <s v="DINS-CUS-500715"/>
    <s v="DINS-POL-200715"/>
    <x v="4"/>
    <x v="2"/>
    <x v="5"/>
    <x v="1"/>
    <x v="3"/>
    <d v="2023-10-30T00:00:00"/>
    <s v="Annual"/>
    <d v="2024-06-29T00:00:00"/>
    <x v="0"/>
    <n v="12504"/>
    <n v="2354"/>
    <s v="N/A - Not Settled"/>
    <s v="N/A - Not Settled"/>
    <x v="0"/>
    <x v="0"/>
    <x v="2"/>
    <n v="5.3117999999999999"/>
    <n v="243"/>
    <n v="2024"/>
    <s v="June"/>
  </r>
  <r>
    <s v="DINS-CLM-100716"/>
    <s v="DINS-CUS-500716"/>
    <s v="DINS-POL-200716"/>
    <x v="2"/>
    <x v="2"/>
    <x v="4"/>
    <x v="0"/>
    <x v="3"/>
    <d v="2024-05-07T00:00:00"/>
    <s v="Monthly"/>
    <d v="2024-09-01T00:00:00"/>
    <x v="1"/>
    <n v="22724"/>
    <n v="8904"/>
    <n v="12"/>
    <d v="2024-09-13T00:00:00"/>
    <x v="0"/>
    <x v="0"/>
    <x v="0"/>
    <n v="2.5520999999999998"/>
    <n v="117"/>
    <n v="2024"/>
    <s v="September"/>
  </r>
  <r>
    <s v="DINS-CLM-100717"/>
    <s v="DINS-CUS-500717"/>
    <s v="DINS-POL-200717"/>
    <x v="0"/>
    <x v="2"/>
    <x v="2"/>
    <x v="0"/>
    <x v="3"/>
    <d v="2023-07-29T00:00:00"/>
    <s v="Monthly"/>
    <d v="2024-05-22T00:00:00"/>
    <x v="0"/>
    <n v="10773"/>
    <n v="6760"/>
    <s v="N/A - Not Settled"/>
    <s v="N/A - Not Settled"/>
    <x v="0"/>
    <x v="0"/>
    <x v="1"/>
    <n v="1.5935999999999999"/>
    <n v="298"/>
    <n v="2024"/>
    <s v="May"/>
  </r>
  <r>
    <s v="DINS-CLM-100718"/>
    <s v="DINS-CUS-500718"/>
    <s v="DINS-POL-200718"/>
    <x v="3"/>
    <x v="0"/>
    <x v="4"/>
    <x v="2"/>
    <x v="3"/>
    <d v="2024-01-02T00:00:00"/>
    <s v="Monthly"/>
    <d v="2024-07-07T00:00:00"/>
    <x v="1"/>
    <n v="78193"/>
    <n v="1937"/>
    <n v="4"/>
    <d v="2024-07-11T00:00:00"/>
    <x v="0"/>
    <x v="0"/>
    <x v="2"/>
    <n v="40.368099999999998"/>
    <n v="187"/>
    <n v="2024"/>
    <s v="July"/>
  </r>
  <r>
    <s v="DINS-CLM-100719"/>
    <s v="DINS-CUS-500719"/>
    <s v="DINS-POL-200719"/>
    <x v="0"/>
    <x v="0"/>
    <x v="3"/>
    <x v="1"/>
    <x v="4"/>
    <d v="2023-08-12T00:00:00"/>
    <s v="Annual"/>
    <d v="2024-05-10T00:00:00"/>
    <x v="1"/>
    <n v="56898"/>
    <n v="905"/>
    <n v="6"/>
    <d v="2024-05-16T00:00:00"/>
    <x v="0"/>
    <x v="0"/>
    <x v="2"/>
    <n v="62.870699999999999"/>
    <n v="272"/>
    <n v="2024"/>
    <s v="May"/>
  </r>
  <r>
    <s v="DINS-CLM-100720"/>
    <s v="DINS-CUS-500720"/>
    <s v="DINS-POL-200720"/>
    <x v="0"/>
    <x v="2"/>
    <x v="0"/>
    <x v="2"/>
    <x v="2"/>
    <d v="2023-10-31T00:00:00"/>
    <s v="Monthly"/>
    <d v="2024-06-01T00:00:00"/>
    <x v="0"/>
    <n v="54130"/>
    <n v="3301"/>
    <s v="N/A - Not Settled"/>
    <s v="N/A - Not Settled"/>
    <x v="0"/>
    <x v="0"/>
    <x v="2"/>
    <n v="16.398099999999999"/>
    <n v="214"/>
    <n v="2024"/>
    <s v="June"/>
  </r>
  <r>
    <s v="DINS-CLM-100721"/>
    <s v="DINS-CUS-500721"/>
    <s v="DINS-POL-200721"/>
    <x v="0"/>
    <x v="0"/>
    <x v="3"/>
    <x v="1"/>
    <x v="0"/>
    <d v="2024-03-19T00:00:00"/>
    <s v="Annual"/>
    <d v="2024-04-26T00:00:00"/>
    <x v="0"/>
    <n v="11557"/>
    <n v="1327"/>
    <s v="N/A - Not Settled"/>
    <s v="N/A - Not Settled"/>
    <x v="1"/>
    <x v="1"/>
    <x v="2"/>
    <n v="8.7090999999999994"/>
    <n v="38"/>
    <n v="2024"/>
    <s v="April"/>
  </r>
  <r>
    <s v="DINS-CLM-100722"/>
    <s v="DINS-CUS-500722"/>
    <s v="DINS-POL-200722"/>
    <x v="3"/>
    <x v="0"/>
    <x v="1"/>
    <x v="2"/>
    <x v="4"/>
    <d v="2023-10-26T00:00:00"/>
    <s v="Monthly"/>
    <d v="2024-10-18T00:00:00"/>
    <x v="1"/>
    <n v="84520"/>
    <n v="2589"/>
    <n v="29"/>
    <d v="2024-11-16T00:00:00"/>
    <x v="1"/>
    <x v="1"/>
    <x v="1"/>
    <n v="32.645800000000001"/>
    <n v="358"/>
    <n v="2024"/>
    <s v="October"/>
  </r>
  <r>
    <s v="DINS-CLM-100723"/>
    <s v="DINS-CUS-500723"/>
    <s v="DINS-POL-200723"/>
    <x v="0"/>
    <x v="2"/>
    <x v="4"/>
    <x v="1"/>
    <x v="4"/>
    <d v="2023-06-14T00:00:00"/>
    <s v="Annual"/>
    <d v="2024-01-28T00:00:00"/>
    <x v="1"/>
    <n v="20951"/>
    <n v="6287"/>
    <n v="44"/>
    <d v="2024-03-12T00:00:00"/>
    <x v="0"/>
    <x v="0"/>
    <x v="2"/>
    <n v="3.3323999999999998"/>
    <n v="228"/>
    <n v="2024"/>
    <s v="January"/>
  </r>
  <r>
    <s v="DINS-CLM-100724"/>
    <s v="DINS-CUS-500724"/>
    <s v="DINS-POL-200724"/>
    <x v="3"/>
    <x v="0"/>
    <x v="5"/>
    <x v="0"/>
    <x v="2"/>
    <d v="2023-06-25T00:00:00"/>
    <s v="Annual"/>
    <d v="2024-06-23T00:00:00"/>
    <x v="1"/>
    <n v="50052"/>
    <n v="5809"/>
    <n v="10"/>
    <d v="2024-07-03T00:00:00"/>
    <x v="0"/>
    <x v="0"/>
    <x v="2"/>
    <n v="8.6163000000000007"/>
    <n v="364"/>
    <n v="2024"/>
    <s v="June"/>
  </r>
  <r>
    <s v="DINS-CLM-100725"/>
    <s v="DINS-CUS-500725"/>
    <s v="DINS-POL-200725"/>
    <x v="0"/>
    <x v="0"/>
    <x v="3"/>
    <x v="2"/>
    <x v="5"/>
    <d v="2023-11-22T00:00:00"/>
    <s v="Annual"/>
    <d v="2024-03-12T00:00:00"/>
    <x v="2"/>
    <n v="58956"/>
    <n v="7543"/>
    <s v="N/A - Not Settled"/>
    <s v="N/A - Not Settled"/>
    <x v="0"/>
    <x v="0"/>
    <x v="0"/>
    <n v="7.8159999999999998"/>
    <n v="111"/>
    <n v="2024"/>
    <s v="March"/>
  </r>
  <r>
    <s v="DINS-CLM-100726"/>
    <s v="DINS-CUS-500726"/>
    <s v="DINS-POL-200726"/>
    <x v="2"/>
    <x v="0"/>
    <x v="5"/>
    <x v="1"/>
    <x v="4"/>
    <d v="2024-01-29T00:00:00"/>
    <s v="Monthly"/>
    <d v="2024-05-16T00:00:00"/>
    <x v="1"/>
    <n v="4749"/>
    <n v="4363"/>
    <n v="22"/>
    <d v="2024-06-07T00:00:00"/>
    <x v="0"/>
    <x v="0"/>
    <x v="0"/>
    <n v="1.0885"/>
    <n v="108"/>
    <n v="2024"/>
    <s v="May"/>
  </r>
  <r>
    <s v="DINS-CLM-100727"/>
    <s v="DINS-CUS-500727"/>
    <s v="DINS-POL-200727"/>
    <x v="0"/>
    <x v="2"/>
    <x v="5"/>
    <x v="2"/>
    <x v="1"/>
    <d v="2024-01-15T00:00:00"/>
    <s v="Monthly"/>
    <d v="2024-03-21T00:00:00"/>
    <x v="1"/>
    <n v="46231"/>
    <n v="6803"/>
    <n v="42"/>
    <d v="2024-05-02T00:00:00"/>
    <x v="0"/>
    <x v="0"/>
    <x v="0"/>
    <n v="6.7957000000000001"/>
    <n v="66"/>
    <n v="2024"/>
    <s v="March"/>
  </r>
  <r>
    <s v="DINS-CLM-100728"/>
    <s v="DINS-CUS-500728"/>
    <s v="DINS-POL-200728"/>
    <x v="2"/>
    <x v="0"/>
    <x v="0"/>
    <x v="2"/>
    <x v="7"/>
    <d v="2024-05-11T00:00:00"/>
    <s v="Monthly"/>
    <d v="2024-08-11T00:00:00"/>
    <x v="1"/>
    <n v="2939"/>
    <n v="1704"/>
    <n v="18"/>
    <d v="2024-08-29T00:00:00"/>
    <x v="0"/>
    <x v="0"/>
    <x v="2"/>
    <n v="1.7248000000000001"/>
    <n v="92"/>
    <n v="2024"/>
    <s v="August"/>
  </r>
  <r>
    <s v="DINS-CLM-100729"/>
    <s v="DINS-CUS-500729"/>
    <s v="DINS-POL-200729"/>
    <x v="3"/>
    <x v="2"/>
    <x v="5"/>
    <x v="2"/>
    <x v="5"/>
    <d v="2023-05-31T00:00:00"/>
    <s v="Annual"/>
    <d v="2024-05-25T00:00:00"/>
    <x v="1"/>
    <n v="23718"/>
    <n v="6271"/>
    <n v="37"/>
    <d v="2024-07-01T00:00:00"/>
    <x v="0"/>
    <x v="0"/>
    <x v="1"/>
    <n v="3.7822"/>
    <n v="360"/>
    <n v="2024"/>
    <s v="May"/>
  </r>
  <r>
    <s v="DINS-CLM-100730"/>
    <s v="DINS-CUS-500730"/>
    <s v="DINS-POL-200730"/>
    <x v="5"/>
    <x v="1"/>
    <x v="2"/>
    <x v="0"/>
    <x v="2"/>
    <d v="2024-05-12T00:00:00"/>
    <s v="Monthly"/>
    <d v="2024-07-21T00:00:00"/>
    <x v="1"/>
    <n v="20540"/>
    <n v="605"/>
    <n v="4"/>
    <d v="2024-07-25T00:00:00"/>
    <x v="0"/>
    <x v="0"/>
    <x v="1"/>
    <n v="33.950400000000002"/>
    <n v="70"/>
    <n v="2024"/>
    <s v="July"/>
  </r>
  <r>
    <s v="DINS-CLM-100731"/>
    <s v="DINS-CUS-500731"/>
    <s v="DINS-POL-200731"/>
    <x v="5"/>
    <x v="1"/>
    <x v="3"/>
    <x v="2"/>
    <x v="0"/>
    <d v="2023-06-23T00:00:00"/>
    <s v="Annual"/>
    <d v="2024-04-27T00:00:00"/>
    <x v="1"/>
    <n v="40624"/>
    <n v="6733"/>
    <n v="37"/>
    <d v="2024-06-03T00:00:00"/>
    <x v="0"/>
    <x v="0"/>
    <x v="1"/>
    <n v="6.0335999999999999"/>
    <n v="309"/>
    <n v="2024"/>
    <s v="April"/>
  </r>
  <r>
    <s v="DINS-CLM-100732"/>
    <s v="DINS-CUS-500732"/>
    <s v="DINS-POL-200732"/>
    <x v="1"/>
    <x v="0"/>
    <x v="0"/>
    <x v="2"/>
    <x v="2"/>
    <d v="2023-09-16T00:00:00"/>
    <s v="Monthly"/>
    <d v="2024-07-19T00:00:00"/>
    <x v="1"/>
    <n v="41333"/>
    <n v="5519"/>
    <n v="3"/>
    <d v="2024-07-22T00:00:00"/>
    <x v="1"/>
    <x v="0"/>
    <x v="0"/>
    <n v="7.4892000000000003"/>
    <n v="307"/>
    <n v="2024"/>
    <s v="July"/>
  </r>
  <r>
    <s v="DINS-CLM-100733"/>
    <s v="DINS-CUS-500733"/>
    <s v="DINS-POL-200733"/>
    <x v="0"/>
    <x v="1"/>
    <x v="3"/>
    <x v="0"/>
    <x v="1"/>
    <d v="2024-05-22T00:00:00"/>
    <s v="Monthly"/>
    <d v="2024-10-21T00:00:00"/>
    <x v="1"/>
    <n v="10574"/>
    <n v="4938"/>
    <n v="43"/>
    <d v="2024-12-03T00:00:00"/>
    <x v="1"/>
    <x v="0"/>
    <x v="0"/>
    <n v="2.1414"/>
    <n v="152"/>
    <n v="2024"/>
    <s v="October"/>
  </r>
  <r>
    <s v="DINS-CLM-100734"/>
    <s v="DINS-CUS-500734"/>
    <s v="DINS-POL-200734"/>
    <x v="2"/>
    <x v="1"/>
    <x v="2"/>
    <x v="1"/>
    <x v="7"/>
    <d v="2024-03-27T00:00:00"/>
    <s v="Monthly"/>
    <d v="2024-06-15T00:00:00"/>
    <x v="0"/>
    <n v="36863"/>
    <n v="845"/>
    <s v="N/A - Not Settled"/>
    <s v="N/A - Not Settled"/>
    <x v="0"/>
    <x v="0"/>
    <x v="0"/>
    <n v="43.624899999999997"/>
    <n v="80"/>
    <n v="2024"/>
    <s v="June"/>
  </r>
  <r>
    <s v="DINS-CLM-100735"/>
    <s v="DINS-CUS-500735"/>
    <s v="DINS-POL-200735"/>
    <x v="1"/>
    <x v="1"/>
    <x v="3"/>
    <x v="1"/>
    <x v="7"/>
    <d v="2024-01-14T00:00:00"/>
    <s v="Annual"/>
    <d v="2024-12-31T00:00:00"/>
    <x v="1"/>
    <n v="27952"/>
    <n v="3690"/>
    <n v="12"/>
    <d v="2025-01-12T00:00:00"/>
    <x v="0"/>
    <x v="0"/>
    <x v="1"/>
    <n v="7.5750999999999999"/>
    <n v="352"/>
    <n v="2024"/>
    <s v="December"/>
  </r>
  <r>
    <s v="DINS-CLM-100736"/>
    <s v="DINS-CUS-500736"/>
    <s v="DINS-POL-200736"/>
    <x v="0"/>
    <x v="2"/>
    <x v="5"/>
    <x v="1"/>
    <x v="1"/>
    <d v="2024-03-12T00:00:00"/>
    <s v="Annual"/>
    <d v="2024-11-28T00:00:00"/>
    <x v="0"/>
    <n v="38946"/>
    <n v="4762"/>
    <s v="N/A - Not Settled"/>
    <s v="N/A - Not Settled"/>
    <x v="0"/>
    <x v="0"/>
    <x v="0"/>
    <n v="8.1784999999999997"/>
    <n v="261"/>
    <n v="2024"/>
    <s v="November"/>
  </r>
  <r>
    <s v="DINS-CLM-100737"/>
    <s v="DINS-CUS-500737"/>
    <s v="DINS-POL-200737"/>
    <x v="0"/>
    <x v="0"/>
    <x v="0"/>
    <x v="0"/>
    <x v="7"/>
    <d v="2023-08-01T00:00:00"/>
    <s v="Monthly"/>
    <d v="2024-06-30T00:00:00"/>
    <x v="2"/>
    <n v="9228"/>
    <n v="1084"/>
    <s v="N/A - Not Settled"/>
    <s v="N/A - Not Settled"/>
    <x v="1"/>
    <x v="0"/>
    <x v="1"/>
    <n v="8.5129000000000001"/>
    <n v="334"/>
    <n v="2024"/>
    <s v="June"/>
  </r>
  <r>
    <s v="DINS-CLM-100738"/>
    <s v="DINS-CUS-500738"/>
    <s v="DINS-POL-200738"/>
    <x v="2"/>
    <x v="1"/>
    <x v="5"/>
    <x v="1"/>
    <x v="3"/>
    <d v="2024-06-26T00:00:00"/>
    <s v="Monthly"/>
    <d v="2024-09-26T00:00:00"/>
    <x v="1"/>
    <n v="11986"/>
    <n v="936"/>
    <n v="3"/>
    <d v="2024-09-29T00:00:00"/>
    <x v="1"/>
    <x v="1"/>
    <x v="1"/>
    <n v="12.8056"/>
    <n v="92"/>
    <n v="2024"/>
    <s v="September"/>
  </r>
  <r>
    <s v="DINS-CLM-100739"/>
    <s v="DINS-CUS-500739"/>
    <s v="DINS-POL-200739"/>
    <x v="4"/>
    <x v="2"/>
    <x v="1"/>
    <x v="1"/>
    <x v="2"/>
    <d v="2024-02-03T00:00:00"/>
    <s v="Monthly"/>
    <d v="2024-12-11T00:00:00"/>
    <x v="2"/>
    <n v="11202"/>
    <n v="6701"/>
    <s v="N/A - Not Settled"/>
    <s v="N/A - Not Settled"/>
    <x v="0"/>
    <x v="0"/>
    <x v="1"/>
    <n v="1.6717"/>
    <n v="312"/>
    <n v="2024"/>
    <s v="December"/>
  </r>
  <r>
    <s v="DINS-CLM-100740"/>
    <s v="DINS-CUS-500740"/>
    <s v="DINS-POL-200740"/>
    <x v="3"/>
    <x v="0"/>
    <x v="3"/>
    <x v="0"/>
    <x v="6"/>
    <d v="2024-08-07T00:00:00"/>
    <s v="Monthly"/>
    <d v="2024-12-08T00:00:00"/>
    <x v="0"/>
    <n v="43646"/>
    <n v="6056"/>
    <s v="N/A - Not Settled"/>
    <s v="N/A - Not Settled"/>
    <x v="0"/>
    <x v="0"/>
    <x v="0"/>
    <n v="7.2070999999999996"/>
    <n v="123"/>
    <n v="2024"/>
    <s v="December"/>
  </r>
  <r>
    <s v="DINS-CLM-100741"/>
    <s v="DINS-CUS-500741"/>
    <s v="DINS-POL-200741"/>
    <x v="5"/>
    <x v="2"/>
    <x v="0"/>
    <x v="0"/>
    <x v="2"/>
    <d v="2023-04-20T00:00:00"/>
    <s v="Monthly"/>
    <d v="2024-04-11T00:00:00"/>
    <x v="2"/>
    <n v="73559"/>
    <n v="8545"/>
    <s v="N/A - Not Settled"/>
    <s v="N/A - Not Settled"/>
    <x v="0"/>
    <x v="0"/>
    <x v="2"/>
    <n v="8.6083999999999996"/>
    <n v="357"/>
    <n v="2024"/>
    <s v="April"/>
  </r>
  <r>
    <s v="DINS-CLM-100742"/>
    <s v="DINS-CUS-500742"/>
    <s v="DINS-POL-200742"/>
    <x v="3"/>
    <x v="0"/>
    <x v="1"/>
    <x v="1"/>
    <x v="6"/>
    <d v="2024-03-12T00:00:00"/>
    <s v="Annual"/>
    <d v="2024-05-14T00:00:00"/>
    <x v="1"/>
    <n v="54624"/>
    <n v="1487"/>
    <n v="44"/>
    <d v="2024-06-27T00:00:00"/>
    <x v="0"/>
    <x v="0"/>
    <x v="0"/>
    <n v="36.734400000000001"/>
    <n v="63"/>
    <n v="2024"/>
    <s v="May"/>
  </r>
  <r>
    <s v="DINS-CLM-100743"/>
    <s v="DINS-CUS-500743"/>
    <s v="DINS-POL-200743"/>
    <x v="2"/>
    <x v="2"/>
    <x v="0"/>
    <x v="1"/>
    <x v="0"/>
    <d v="2024-03-05T00:00:00"/>
    <s v="Annual"/>
    <d v="2024-05-18T00:00:00"/>
    <x v="1"/>
    <n v="16948"/>
    <n v="5230"/>
    <n v="45"/>
    <d v="2024-07-02T00:00:00"/>
    <x v="0"/>
    <x v="0"/>
    <x v="1"/>
    <n v="3.2404999999999999"/>
    <n v="74"/>
    <n v="2024"/>
    <s v="May"/>
  </r>
  <r>
    <s v="DINS-CLM-100744"/>
    <s v="DINS-CUS-500744"/>
    <s v="DINS-POL-200744"/>
    <x v="2"/>
    <x v="2"/>
    <x v="3"/>
    <x v="2"/>
    <x v="4"/>
    <d v="2024-03-06T00:00:00"/>
    <s v="Annual"/>
    <d v="2024-08-17T00:00:00"/>
    <x v="1"/>
    <n v="2108"/>
    <n v="8493"/>
    <n v="18"/>
    <d v="2024-09-04T00:00:00"/>
    <x v="0"/>
    <x v="0"/>
    <x v="1"/>
    <n v="0.2482"/>
    <n v="164"/>
    <n v="2024"/>
    <s v="August"/>
  </r>
  <r>
    <s v="DINS-CLM-100745"/>
    <s v="DINS-CUS-500745"/>
    <s v="DINS-POL-200745"/>
    <x v="4"/>
    <x v="2"/>
    <x v="0"/>
    <x v="2"/>
    <x v="6"/>
    <d v="2023-10-10T00:00:00"/>
    <s v="Monthly"/>
    <d v="2024-03-12T00:00:00"/>
    <x v="0"/>
    <n v="2647"/>
    <n v="1509"/>
    <s v="N/A - Not Settled"/>
    <s v="N/A - Not Settled"/>
    <x v="0"/>
    <x v="0"/>
    <x v="0"/>
    <n v="1.7541"/>
    <n v="154"/>
    <n v="2024"/>
    <s v="March"/>
  </r>
  <r>
    <s v="DINS-CLM-100746"/>
    <s v="DINS-CUS-500746"/>
    <s v="DINS-POL-200746"/>
    <x v="2"/>
    <x v="0"/>
    <x v="5"/>
    <x v="0"/>
    <x v="1"/>
    <d v="2023-10-19T00:00:00"/>
    <s v="Annual"/>
    <d v="2024-09-02T00:00:00"/>
    <x v="1"/>
    <n v="6126"/>
    <n v="1974"/>
    <n v="35"/>
    <d v="2024-10-07T00:00:00"/>
    <x v="0"/>
    <x v="0"/>
    <x v="0"/>
    <n v="3.1032999999999999"/>
    <n v="319"/>
    <n v="2024"/>
    <s v="September"/>
  </r>
  <r>
    <s v="DINS-CLM-100747"/>
    <s v="DINS-CUS-500747"/>
    <s v="DINS-POL-200747"/>
    <x v="2"/>
    <x v="0"/>
    <x v="0"/>
    <x v="2"/>
    <x v="3"/>
    <d v="2024-04-12T00:00:00"/>
    <s v="Annual"/>
    <d v="2024-08-14T00:00:00"/>
    <x v="1"/>
    <n v="27002"/>
    <n v="725"/>
    <n v="9"/>
    <d v="2024-08-23T00:00:00"/>
    <x v="0"/>
    <x v="0"/>
    <x v="1"/>
    <n v="37.244100000000003"/>
    <n v="124"/>
    <n v="2024"/>
    <s v="August"/>
  </r>
  <r>
    <s v="DINS-CLM-100748"/>
    <s v="DINS-CUS-500748"/>
    <s v="DINS-POL-200748"/>
    <x v="3"/>
    <x v="0"/>
    <x v="4"/>
    <x v="1"/>
    <x v="2"/>
    <d v="2024-06-11T00:00:00"/>
    <s v="Annual"/>
    <d v="2024-11-20T00:00:00"/>
    <x v="0"/>
    <n v="85348"/>
    <n v="887"/>
    <s v="N/A - Not Settled"/>
    <s v="N/A - Not Settled"/>
    <x v="1"/>
    <x v="0"/>
    <x v="1"/>
    <n v="96.221000000000004"/>
    <n v="162"/>
    <n v="2024"/>
    <s v="November"/>
  </r>
  <r>
    <s v="DINS-CLM-100749"/>
    <s v="DINS-CUS-500749"/>
    <s v="DINS-POL-200749"/>
    <x v="0"/>
    <x v="0"/>
    <x v="0"/>
    <x v="1"/>
    <x v="4"/>
    <d v="2024-01-21T00:00:00"/>
    <s v="Monthly"/>
    <d v="2024-04-15T00:00:00"/>
    <x v="1"/>
    <n v="8479"/>
    <n v="5919"/>
    <n v="33"/>
    <d v="2024-05-18T00:00:00"/>
    <x v="0"/>
    <x v="0"/>
    <x v="1"/>
    <n v="1.4325000000000001"/>
    <n v="85"/>
    <n v="2024"/>
    <s v="April"/>
  </r>
  <r>
    <s v="DINS-CLM-100750"/>
    <s v="DINS-CUS-500750"/>
    <s v="DINS-POL-200750"/>
    <x v="2"/>
    <x v="0"/>
    <x v="5"/>
    <x v="2"/>
    <x v="5"/>
    <d v="2024-02-17T00:00:00"/>
    <s v="Monthly"/>
    <d v="2024-04-18T00:00:00"/>
    <x v="2"/>
    <n v="9248"/>
    <n v="1823"/>
    <s v="N/A - Not Settled"/>
    <s v="N/A - Not Settled"/>
    <x v="0"/>
    <x v="0"/>
    <x v="0"/>
    <n v="5.0730000000000004"/>
    <n v="61"/>
    <n v="2024"/>
    <s v="April"/>
  </r>
  <r>
    <s v="DINS-CLM-100751"/>
    <s v="DINS-CUS-500751"/>
    <s v="DINS-POL-200751"/>
    <x v="3"/>
    <x v="0"/>
    <x v="1"/>
    <x v="0"/>
    <x v="7"/>
    <d v="2024-07-03T00:00:00"/>
    <s v="Monthly"/>
    <d v="2024-09-01T00:00:00"/>
    <x v="1"/>
    <n v="63081"/>
    <n v="8272"/>
    <n v="25"/>
    <d v="2024-09-26T00:00:00"/>
    <x v="0"/>
    <x v="0"/>
    <x v="0"/>
    <n v="7.6257999999999999"/>
    <n v="60"/>
    <n v="2024"/>
    <s v="September"/>
  </r>
  <r>
    <s v="DINS-CLM-100752"/>
    <s v="DINS-CUS-500752"/>
    <s v="DINS-POL-200752"/>
    <x v="1"/>
    <x v="0"/>
    <x v="2"/>
    <x v="1"/>
    <x v="1"/>
    <d v="2024-05-31T00:00:00"/>
    <s v="Monthly"/>
    <d v="2024-10-13T00:00:00"/>
    <x v="0"/>
    <n v="51899"/>
    <n v="8729"/>
    <s v="N/A - Not Settled"/>
    <s v="N/A - Not Settled"/>
    <x v="0"/>
    <x v="0"/>
    <x v="2"/>
    <n v="5.9455999999999998"/>
    <n v="135"/>
    <n v="2024"/>
    <s v="October"/>
  </r>
  <r>
    <s v="DINS-CLM-100753"/>
    <s v="DINS-CUS-500753"/>
    <s v="DINS-POL-200753"/>
    <x v="3"/>
    <x v="2"/>
    <x v="5"/>
    <x v="1"/>
    <x v="7"/>
    <d v="2023-06-12T00:00:00"/>
    <s v="Monthly"/>
    <d v="2024-01-15T00:00:00"/>
    <x v="1"/>
    <n v="88363"/>
    <n v="3363"/>
    <n v="22"/>
    <d v="2024-02-06T00:00:00"/>
    <x v="1"/>
    <x v="1"/>
    <x v="0"/>
    <n v="26.275099999999998"/>
    <n v="217"/>
    <n v="2024"/>
    <s v="January"/>
  </r>
  <r>
    <s v="DINS-CLM-100754"/>
    <s v="DINS-CUS-500754"/>
    <s v="DINS-POL-200754"/>
    <x v="1"/>
    <x v="0"/>
    <x v="4"/>
    <x v="1"/>
    <x v="7"/>
    <d v="2023-12-09T00:00:00"/>
    <s v="Monthly"/>
    <d v="2024-07-17T00:00:00"/>
    <x v="1"/>
    <n v="38776"/>
    <n v="7633"/>
    <n v="41"/>
    <d v="2024-08-27T00:00:00"/>
    <x v="0"/>
    <x v="0"/>
    <x v="2"/>
    <n v="5.08"/>
    <n v="221"/>
    <n v="2024"/>
    <s v="July"/>
  </r>
  <r>
    <s v="DINS-CLM-100755"/>
    <s v="DINS-CUS-500755"/>
    <s v="DINS-POL-200755"/>
    <x v="4"/>
    <x v="0"/>
    <x v="4"/>
    <x v="1"/>
    <x v="6"/>
    <d v="2023-11-29T00:00:00"/>
    <s v="Annual"/>
    <d v="2024-09-28T00:00:00"/>
    <x v="1"/>
    <n v="6479"/>
    <n v="4796"/>
    <n v="8"/>
    <d v="2024-10-06T00:00:00"/>
    <x v="0"/>
    <x v="0"/>
    <x v="0"/>
    <n v="1.3509"/>
    <n v="304"/>
    <n v="2024"/>
    <s v="September"/>
  </r>
  <r>
    <s v="DINS-CLM-100756"/>
    <s v="DINS-CUS-500756"/>
    <s v="DINS-POL-200756"/>
    <x v="0"/>
    <x v="2"/>
    <x v="4"/>
    <x v="2"/>
    <x v="7"/>
    <d v="2023-10-07T00:00:00"/>
    <s v="Monthly"/>
    <d v="2024-03-16T00:00:00"/>
    <x v="2"/>
    <n v="47130"/>
    <n v="2080"/>
    <s v="N/A - Not Settled"/>
    <s v="N/A - Not Settled"/>
    <x v="0"/>
    <x v="0"/>
    <x v="2"/>
    <n v="22.6587"/>
    <n v="161"/>
    <n v="2024"/>
    <s v="March"/>
  </r>
  <r>
    <s v="DINS-CLM-100757"/>
    <s v="DINS-CUS-500757"/>
    <s v="DINS-POL-200757"/>
    <x v="2"/>
    <x v="2"/>
    <x v="2"/>
    <x v="1"/>
    <x v="5"/>
    <d v="2024-06-23T00:00:00"/>
    <s v="Monthly"/>
    <d v="2024-09-15T00:00:00"/>
    <x v="1"/>
    <n v="15096"/>
    <n v="5265"/>
    <n v="38"/>
    <d v="2024-10-23T00:00:00"/>
    <x v="0"/>
    <x v="0"/>
    <x v="2"/>
    <n v="2.8672"/>
    <n v="84"/>
    <n v="2024"/>
    <s v="September"/>
  </r>
  <r>
    <s v="DINS-CLM-100758"/>
    <s v="DINS-CUS-500758"/>
    <s v="DINS-POL-200758"/>
    <x v="3"/>
    <x v="2"/>
    <x v="0"/>
    <x v="2"/>
    <x v="3"/>
    <d v="2024-01-18T00:00:00"/>
    <s v="Annual"/>
    <d v="2024-11-21T00:00:00"/>
    <x v="1"/>
    <n v="96397"/>
    <n v="1892"/>
    <n v="7"/>
    <d v="2024-11-28T00:00:00"/>
    <x v="0"/>
    <x v="0"/>
    <x v="1"/>
    <n v="50.949800000000003"/>
    <n v="308"/>
    <n v="2024"/>
    <s v="November"/>
  </r>
  <r>
    <s v="DINS-CLM-100759"/>
    <s v="DINS-CUS-500759"/>
    <s v="DINS-POL-200759"/>
    <x v="1"/>
    <x v="0"/>
    <x v="2"/>
    <x v="2"/>
    <x v="4"/>
    <d v="2023-08-10T00:00:00"/>
    <s v="Monthly"/>
    <d v="2024-04-07T00:00:00"/>
    <x v="1"/>
    <n v="42628"/>
    <n v="5513"/>
    <n v="9"/>
    <d v="2024-04-16T00:00:00"/>
    <x v="0"/>
    <x v="0"/>
    <x v="2"/>
    <n v="7.7323000000000004"/>
    <n v="241"/>
    <n v="2024"/>
    <s v="April"/>
  </r>
  <r>
    <s v="DINS-CLM-100760"/>
    <s v="DINS-CUS-500760"/>
    <s v="DINS-POL-200760"/>
    <x v="3"/>
    <x v="0"/>
    <x v="1"/>
    <x v="1"/>
    <x v="6"/>
    <d v="2024-02-09T00:00:00"/>
    <s v="Annual"/>
    <d v="2024-05-27T00:00:00"/>
    <x v="1"/>
    <n v="68866"/>
    <n v="7690"/>
    <n v="4"/>
    <d v="2024-05-31T00:00:00"/>
    <x v="1"/>
    <x v="0"/>
    <x v="1"/>
    <n v="8.9552999999999994"/>
    <n v="108"/>
    <n v="2024"/>
    <s v="May"/>
  </r>
  <r>
    <s v="DINS-CLM-100761"/>
    <s v="DINS-CUS-500761"/>
    <s v="DINS-POL-200761"/>
    <x v="2"/>
    <x v="1"/>
    <x v="3"/>
    <x v="0"/>
    <x v="0"/>
    <d v="2024-02-24T00:00:00"/>
    <s v="Monthly"/>
    <d v="2024-04-21T00:00:00"/>
    <x v="1"/>
    <n v="18590"/>
    <n v="5243"/>
    <n v="43"/>
    <d v="2024-06-03T00:00:00"/>
    <x v="0"/>
    <x v="0"/>
    <x v="1"/>
    <n v="3.5457000000000001"/>
    <n v="57"/>
    <n v="2024"/>
    <s v="April"/>
  </r>
  <r>
    <s v="DINS-CLM-100762"/>
    <s v="DINS-CUS-500762"/>
    <s v="DINS-POL-200762"/>
    <x v="2"/>
    <x v="0"/>
    <x v="3"/>
    <x v="0"/>
    <x v="0"/>
    <d v="2023-11-30T00:00:00"/>
    <s v="Annual"/>
    <d v="2024-07-18T00:00:00"/>
    <x v="1"/>
    <n v="39627"/>
    <n v="2029"/>
    <n v="34"/>
    <d v="2024-08-21T00:00:00"/>
    <x v="0"/>
    <x v="0"/>
    <x v="2"/>
    <n v="19.5303"/>
    <n v="231"/>
    <n v="2024"/>
    <s v="July"/>
  </r>
  <r>
    <s v="DINS-CLM-100763"/>
    <s v="DINS-CUS-500763"/>
    <s v="DINS-POL-200763"/>
    <x v="5"/>
    <x v="0"/>
    <x v="5"/>
    <x v="0"/>
    <x v="3"/>
    <d v="2024-04-17T00:00:00"/>
    <s v="Annual"/>
    <d v="2024-11-12T00:00:00"/>
    <x v="1"/>
    <n v="40529"/>
    <n v="6499"/>
    <n v="43"/>
    <d v="2024-12-25T00:00:00"/>
    <x v="0"/>
    <x v="0"/>
    <x v="2"/>
    <n v="6.2362000000000002"/>
    <n v="209"/>
    <n v="2024"/>
    <s v="November"/>
  </r>
  <r>
    <s v="DINS-CLM-100764"/>
    <s v="DINS-CUS-500764"/>
    <s v="DINS-POL-200764"/>
    <x v="3"/>
    <x v="0"/>
    <x v="0"/>
    <x v="1"/>
    <x v="2"/>
    <d v="2024-10-12T00:00:00"/>
    <s v="Monthly"/>
    <d v="2024-11-30T00:00:00"/>
    <x v="1"/>
    <n v="37534"/>
    <n v="3725"/>
    <n v="30"/>
    <d v="2024-12-30T00:00:00"/>
    <x v="1"/>
    <x v="0"/>
    <x v="2"/>
    <n v="10.0762"/>
    <n v="49"/>
    <n v="2024"/>
    <s v="November"/>
  </r>
  <r>
    <s v="DINS-CLM-100765"/>
    <s v="DINS-CUS-500765"/>
    <s v="DINS-POL-200765"/>
    <x v="3"/>
    <x v="0"/>
    <x v="5"/>
    <x v="1"/>
    <x v="4"/>
    <d v="2024-05-13T00:00:00"/>
    <s v="Monthly"/>
    <d v="2024-12-29T00:00:00"/>
    <x v="1"/>
    <n v="23417"/>
    <n v="953"/>
    <n v="35"/>
    <d v="2025-02-02T00:00:00"/>
    <x v="1"/>
    <x v="0"/>
    <x v="2"/>
    <n v="24.571899999999999"/>
    <n v="230"/>
    <n v="2024"/>
    <s v="December"/>
  </r>
  <r>
    <s v="DINS-CLM-100766"/>
    <s v="DINS-CUS-500766"/>
    <s v="DINS-POL-200766"/>
    <x v="2"/>
    <x v="1"/>
    <x v="4"/>
    <x v="0"/>
    <x v="0"/>
    <d v="2023-08-23T00:00:00"/>
    <s v="Monthly"/>
    <d v="2024-02-21T00:00:00"/>
    <x v="1"/>
    <n v="6224"/>
    <n v="7465"/>
    <n v="12"/>
    <d v="2024-03-04T00:00:00"/>
    <x v="0"/>
    <x v="0"/>
    <x v="0"/>
    <n v="0.83379999999999999"/>
    <n v="182"/>
    <n v="2024"/>
    <s v="February"/>
  </r>
  <r>
    <s v="DINS-CLM-100767"/>
    <s v="DINS-CUS-500767"/>
    <s v="DINS-POL-200767"/>
    <x v="4"/>
    <x v="0"/>
    <x v="2"/>
    <x v="1"/>
    <x v="3"/>
    <d v="2023-08-12T00:00:00"/>
    <s v="Annual"/>
    <d v="2024-02-03T00:00:00"/>
    <x v="1"/>
    <n v="4411"/>
    <n v="8058"/>
    <n v="33"/>
    <d v="2024-03-07T00:00:00"/>
    <x v="0"/>
    <x v="0"/>
    <x v="0"/>
    <n v="0.5474"/>
    <n v="175"/>
    <n v="2024"/>
    <s v="February"/>
  </r>
  <r>
    <s v="DINS-CLM-100768"/>
    <s v="DINS-CUS-500768"/>
    <s v="DINS-POL-200768"/>
    <x v="2"/>
    <x v="2"/>
    <x v="4"/>
    <x v="0"/>
    <x v="3"/>
    <d v="2023-06-18T00:00:00"/>
    <s v="Annual"/>
    <d v="2024-05-06T00:00:00"/>
    <x v="1"/>
    <n v="33021"/>
    <n v="7032"/>
    <n v="30"/>
    <d v="2024-06-05T00:00:00"/>
    <x v="0"/>
    <x v="0"/>
    <x v="0"/>
    <n v="4.6958000000000002"/>
    <n v="323"/>
    <n v="2024"/>
    <s v="May"/>
  </r>
  <r>
    <s v="DINS-CLM-100769"/>
    <s v="DINS-CUS-500769"/>
    <s v="DINS-POL-200769"/>
    <x v="2"/>
    <x v="2"/>
    <x v="4"/>
    <x v="1"/>
    <x v="0"/>
    <d v="2023-05-22T00:00:00"/>
    <s v="Annual"/>
    <d v="2024-05-09T00:00:00"/>
    <x v="1"/>
    <n v="19700"/>
    <n v="4242"/>
    <n v="26"/>
    <d v="2024-06-04T00:00:00"/>
    <x v="0"/>
    <x v="0"/>
    <x v="2"/>
    <n v="4.6440000000000001"/>
    <n v="353"/>
    <n v="2024"/>
    <s v="May"/>
  </r>
  <r>
    <s v="DINS-CLM-100770"/>
    <s v="DINS-CUS-500770"/>
    <s v="DINS-POL-200770"/>
    <x v="2"/>
    <x v="1"/>
    <x v="0"/>
    <x v="2"/>
    <x v="6"/>
    <d v="2023-08-08T00:00:00"/>
    <s v="Annual"/>
    <d v="2024-01-23T00:00:00"/>
    <x v="1"/>
    <n v="10589"/>
    <n v="7245"/>
    <n v="39"/>
    <d v="2024-03-02T00:00:00"/>
    <x v="0"/>
    <x v="0"/>
    <x v="0"/>
    <n v="1.4616"/>
    <n v="168"/>
    <n v="2024"/>
    <s v="January"/>
  </r>
  <r>
    <s v="DINS-CLM-100771"/>
    <s v="DINS-CUS-500771"/>
    <s v="DINS-POL-200771"/>
    <x v="2"/>
    <x v="2"/>
    <x v="3"/>
    <x v="1"/>
    <x v="1"/>
    <d v="2023-10-13T00:00:00"/>
    <s v="Monthly"/>
    <d v="2024-09-03T00:00:00"/>
    <x v="1"/>
    <n v="10203"/>
    <n v="7643"/>
    <n v="3"/>
    <d v="2024-09-06T00:00:00"/>
    <x v="0"/>
    <x v="0"/>
    <x v="1"/>
    <n v="1.3349"/>
    <n v="326"/>
    <n v="2024"/>
    <s v="September"/>
  </r>
  <r>
    <s v="DINS-CLM-100772"/>
    <s v="DINS-CUS-500772"/>
    <s v="DINS-POL-200772"/>
    <x v="2"/>
    <x v="2"/>
    <x v="3"/>
    <x v="1"/>
    <x v="6"/>
    <d v="2023-07-07T00:00:00"/>
    <s v="Monthly"/>
    <d v="2024-05-03T00:00:00"/>
    <x v="1"/>
    <n v="20906"/>
    <n v="2859"/>
    <n v="27"/>
    <d v="2024-05-30T00:00:00"/>
    <x v="0"/>
    <x v="0"/>
    <x v="2"/>
    <n v="7.3122999999999996"/>
    <n v="301"/>
    <n v="2024"/>
    <s v="May"/>
  </r>
  <r>
    <s v="DINS-CLM-100773"/>
    <s v="DINS-CUS-500773"/>
    <s v="DINS-POL-200773"/>
    <x v="1"/>
    <x v="0"/>
    <x v="3"/>
    <x v="2"/>
    <x v="7"/>
    <d v="2023-12-25T00:00:00"/>
    <s v="Annual"/>
    <d v="2024-04-07T00:00:00"/>
    <x v="1"/>
    <n v="25252"/>
    <n v="6614"/>
    <n v="6"/>
    <d v="2024-04-13T00:00:00"/>
    <x v="1"/>
    <x v="0"/>
    <x v="1"/>
    <n v="3.8180000000000001"/>
    <n v="104"/>
    <n v="2024"/>
    <s v="April"/>
  </r>
  <r>
    <s v="DINS-CLM-100774"/>
    <s v="DINS-CUS-500774"/>
    <s v="DINS-POL-200774"/>
    <x v="2"/>
    <x v="2"/>
    <x v="1"/>
    <x v="2"/>
    <x v="7"/>
    <d v="2023-10-20T00:00:00"/>
    <s v="Monthly"/>
    <d v="2024-02-27T00:00:00"/>
    <x v="1"/>
    <n v="7984"/>
    <n v="3893"/>
    <n v="34"/>
    <d v="2024-04-01T00:00:00"/>
    <x v="0"/>
    <x v="0"/>
    <x v="2"/>
    <n v="2.0508999999999999"/>
    <n v="130"/>
    <n v="2024"/>
    <s v="February"/>
  </r>
  <r>
    <s v="DINS-CLM-100775"/>
    <s v="DINS-CUS-500775"/>
    <s v="DINS-POL-200775"/>
    <x v="3"/>
    <x v="0"/>
    <x v="2"/>
    <x v="0"/>
    <x v="2"/>
    <d v="2024-03-14T00:00:00"/>
    <s v="Monthly"/>
    <d v="2024-05-03T00:00:00"/>
    <x v="1"/>
    <n v="55362"/>
    <n v="4506"/>
    <n v="21"/>
    <d v="2024-05-24T00:00:00"/>
    <x v="0"/>
    <x v="0"/>
    <x v="1"/>
    <n v="12.286300000000001"/>
    <n v="50"/>
    <n v="2024"/>
    <s v="May"/>
  </r>
  <r>
    <s v="DINS-CLM-100776"/>
    <s v="DINS-CUS-500776"/>
    <s v="DINS-POL-200776"/>
    <x v="2"/>
    <x v="0"/>
    <x v="1"/>
    <x v="1"/>
    <x v="2"/>
    <d v="2023-12-29T00:00:00"/>
    <s v="Monthly"/>
    <d v="2024-03-09T00:00:00"/>
    <x v="0"/>
    <n v="22048"/>
    <n v="6538"/>
    <s v="N/A - Not Settled"/>
    <s v="N/A - Not Settled"/>
    <x v="0"/>
    <x v="0"/>
    <x v="2"/>
    <n v="3.3723000000000001"/>
    <n v="71"/>
    <n v="2024"/>
    <s v="March"/>
  </r>
  <r>
    <s v="DINS-CLM-100777"/>
    <s v="DINS-CUS-500777"/>
    <s v="DINS-POL-200777"/>
    <x v="5"/>
    <x v="2"/>
    <x v="4"/>
    <x v="0"/>
    <x v="7"/>
    <d v="2024-02-28T00:00:00"/>
    <s v="Monthly"/>
    <d v="2024-11-24T00:00:00"/>
    <x v="1"/>
    <n v="69237"/>
    <n v="5908"/>
    <n v="44"/>
    <d v="2025-01-07T00:00:00"/>
    <x v="0"/>
    <x v="0"/>
    <x v="1"/>
    <n v="11.719200000000001"/>
    <n v="270"/>
    <n v="2024"/>
    <s v="November"/>
  </r>
  <r>
    <s v="DINS-CLM-100778"/>
    <s v="DINS-CUS-500778"/>
    <s v="DINS-POL-200778"/>
    <x v="4"/>
    <x v="0"/>
    <x v="2"/>
    <x v="0"/>
    <x v="6"/>
    <d v="2024-02-24T00:00:00"/>
    <s v="Monthly"/>
    <d v="2024-10-02T00:00:00"/>
    <x v="2"/>
    <n v="10105"/>
    <n v="3905"/>
    <s v="N/A - Not Settled"/>
    <s v="N/A - Not Settled"/>
    <x v="0"/>
    <x v="0"/>
    <x v="2"/>
    <n v="2.5876999999999999"/>
    <n v="221"/>
    <n v="2024"/>
    <s v="October"/>
  </r>
  <r>
    <s v="DINS-CLM-100779"/>
    <s v="DINS-CUS-500779"/>
    <s v="DINS-POL-200779"/>
    <x v="4"/>
    <x v="1"/>
    <x v="1"/>
    <x v="2"/>
    <x v="7"/>
    <d v="2024-03-29T00:00:00"/>
    <s v="Annual"/>
    <d v="2024-05-14T00:00:00"/>
    <x v="0"/>
    <n v="5280"/>
    <n v="5249"/>
    <s v="N/A - Not Settled"/>
    <s v="N/A - Not Settled"/>
    <x v="0"/>
    <x v="0"/>
    <x v="0"/>
    <n v="1.0059"/>
    <n v="46"/>
    <n v="2024"/>
    <s v="May"/>
  </r>
  <r>
    <s v="DINS-CLM-100780"/>
    <s v="DINS-CUS-500780"/>
    <s v="DINS-POL-200780"/>
    <x v="5"/>
    <x v="1"/>
    <x v="5"/>
    <x v="2"/>
    <x v="4"/>
    <d v="2023-08-10T00:00:00"/>
    <s v="Monthly"/>
    <d v="2024-02-15T00:00:00"/>
    <x v="1"/>
    <n v="16510"/>
    <n v="5916"/>
    <n v="8"/>
    <d v="2024-02-23T00:00:00"/>
    <x v="0"/>
    <x v="0"/>
    <x v="1"/>
    <n v="2.7907000000000002"/>
    <n v="189"/>
    <n v="2024"/>
    <s v="February"/>
  </r>
  <r>
    <s v="DINS-CLM-100781"/>
    <s v="DINS-CUS-500781"/>
    <s v="DINS-POL-200781"/>
    <x v="2"/>
    <x v="2"/>
    <x v="2"/>
    <x v="2"/>
    <x v="1"/>
    <d v="2023-10-31T00:00:00"/>
    <s v="Annual"/>
    <d v="2024-02-21T00:00:00"/>
    <x v="0"/>
    <n v="7211"/>
    <n v="778"/>
    <s v="N/A - Not Settled"/>
    <s v="N/A - Not Settled"/>
    <x v="0"/>
    <x v="0"/>
    <x v="2"/>
    <n v="9.2685999999999993"/>
    <n v="113"/>
    <n v="2024"/>
    <s v="February"/>
  </r>
  <r>
    <s v="DINS-CLM-100782"/>
    <s v="DINS-CUS-500782"/>
    <s v="DINS-POL-200782"/>
    <x v="4"/>
    <x v="2"/>
    <x v="0"/>
    <x v="1"/>
    <x v="7"/>
    <d v="2024-03-06T00:00:00"/>
    <s v="Monthly"/>
    <d v="2024-09-22T00:00:00"/>
    <x v="2"/>
    <n v="19217"/>
    <n v="1344"/>
    <s v="N/A - Not Settled"/>
    <s v="N/A - Not Settled"/>
    <x v="0"/>
    <x v="0"/>
    <x v="0"/>
    <n v="14.298400000000001"/>
    <n v="200"/>
    <n v="2024"/>
    <s v="September"/>
  </r>
  <r>
    <s v="DINS-CLM-100783"/>
    <s v="DINS-CUS-500783"/>
    <s v="DINS-POL-200783"/>
    <x v="0"/>
    <x v="2"/>
    <x v="0"/>
    <x v="2"/>
    <x v="2"/>
    <d v="2023-02-18T00:00:00"/>
    <s v="Monthly"/>
    <d v="2024-01-16T00:00:00"/>
    <x v="1"/>
    <n v="49643"/>
    <n v="3192"/>
    <n v="35"/>
    <d v="2024-02-20T00:00:00"/>
    <x v="0"/>
    <x v="0"/>
    <x v="1"/>
    <n v="15.552300000000001"/>
    <n v="332"/>
    <n v="2024"/>
    <s v="January"/>
  </r>
  <r>
    <s v="DINS-CLM-100784"/>
    <s v="DINS-CUS-500784"/>
    <s v="DINS-POL-200784"/>
    <x v="4"/>
    <x v="2"/>
    <x v="1"/>
    <x v="0"/>
    <x v="5"/>
    <d v="2023-06-11T00:00:00"/>
    <s v="Monthly"/>
    <d v="2024-05-17T00:00:00"/>
    <x v="1"/>
    <n v="9099"/>
    <n v="6164"/>
    <n v="11"/>
    <d v="2024-05-28T00:00:00"/>
    <x v="0"/>
    <x v="0"/>
    <x v="1"/>
    <n v="1.4762"/>
    <n v="341"/>
    <n v="2024"/>
    <s v="May"/>
  </r>
  <r>
    <s v="DINS-CLM-100785"/>
    <s v="DINS-CUS-500785"/>
    <s v="DINS-POL-200785"/>
    <x v="3"/>
    <x v="0"/>
    <x v="5"/>
    <x v="0"/>
    <x v="1"/>
    <d v="2023-11-27T00:00:00"/>
    <s v="Annual"/>
    <d v="2024-09-23T00:00:00"/>
    <x v="1"/>
    <n v="71973"/>
    <n v="5888"/>
    <n v="10"/>
    <d v="2024-10-03T00:00:00"/>
    <x v="0"/>
    <x v="0"/>
    <x v="0"/>
    <n v="12.223699999999999"/>
    <n v="301"/>
    <n v="2024"/>
    <s v="September"/>
  </r>
  <r>
    <s v="DINS-CLM-100786"/>
    <s v="DINS-CUS-500786"/>
    <s v="DINS-POL-200786"/>
    <x v="2"/>
    <x v="2"/>
    <x v="1"/>
    <x v="1"/>
    <x v="4"/>
    <d v="2023-05-18T00:00:00"/>
    <s v="Annual"/>
    <d v="2024-04-29T00:00:00"/>
    <x v="1"/>
    <n v="17682"/>
    <n v="6535"/>
    <n v="27"/>
    <d v="2024-05-26T00:00:00"/>
    <x v="0"/>
    <x v="0"/>
    <x v="2"/>
    <n v="2.7057000000000002"/>
    <n v="347"/>
    <n v="2024"/>
    <s v="April"/>
  </r>
  <r>
    <s v="DINS-CLM-100787"/>
    <s v="DINS-CUS-500787"/>
    <s v="DINS-POL-200787"/>
    <x v="4"/>
    <x v="2"/>
    <x v="3"/>
    <x v="1"/>
    <x v="1"/>
    <d v="2023-12-12T00:00:00"/>
    <s v="Annual"/>
    <d v="2024-04-18T00:00:00"/>
    <x v="1"/>
    <n v="19820"/>
    <n v="4001"/>
    <n v="15"/>
    <d v="2024-05-03T00:00:00"/>
    <x v="0"/>
    <x v="0"/>
    <x v="1"/>
    <n v="4.9538000000000002"/>
    <n v="128"/>
    <n v="2024"/>
    <s v="April"/>
  </r>
  <r>
    <s v="DINS-CLM-100788"/>
    <s v="DINS-CUS-500788"/>
    <s v="DINS-POL-200788"/>
    <x v="4"/>
    <x v="2"/>
    <x v="4"/>
    <x v="1"/>
    <x v="5"/>
    <d v="2024-05-16T00:00:00"/>
    <s v="Annual"/>
    <d v="2024-10-26T00:00:00"/>
    <x v="0"/>
    <n v="19784"/>
    <n v="6346"/>
    <s v="N/A - Not Settled"/>
    <s v="N/A - Not Settled"/>
    <x v="0"/>
    <x v="0"/>
    <x v="2"/>
    <n v="3.1175999999999999"/>
    <n v="163"/>
    <n v="2024"/>
    <s v="October"/>
  </r>
  <r>
    <s v="DINS-CLM-100789"/>
    <s v="DINS-CUS-500789"/>
    <s v="DINS-POL-200789"/>
    <x v="1"/>
    <x v="0"/>
    <x v="2"/>
    <x v="0"/>
    <x v="6"/>
    <d v="2023-12-12T00:00:00"/>
    <s v="Annual"/>
    <d v="2024-02-17T00:00:00"/>
    <x v="1"/>
    <n v="55292"/>
    <n v="3478"/>
    <n v="14"/>
    <d v="2024-03-02T00:00:00"/>
    <x v="0"/>
    <x v="0"/>
    <x v="2"/>
    <n v="15.897600000000001"/>
    <n v="67"/>
    <n v="2024"/>
    <s v="February"/>
  </r>
  <r>
    <s v="DINS-CLM-100790"/>
    <s v="DINS-CUS-500790"/>
    <s v="DINS-POL-200790"/>
    <x v="2"/>
    <x v="0"/>
    <x v="5"/>
    <x v="2"/>
    <x v="2"/>
    <d v="2023-03-23T00:00:00"/>
    <s v="Annual"/>
    <d v="2024-02-04T00:00:00"/>
    <x v="0"/>
    <n v="20332"/>
    <n v="3182"/>
    <s v="N/A - Not Settled"/>
    <s v="N/A - Not Settled"/>
    <x v="0"/>
    <x v="0"/>
    <x v="1"/>
    <n v="6.3897000000000004"/>
    <n v="318"/>
    <n v="2024"/>
    <s v="February"/>
  </r>
  <r>
    <s v="DINS-CLM-100791"/>
    <s v="DINS-CUS-500791"/>
    <s v="DINS-POL-200791"/>
    <x v="4"/>
    <x v="2"/>
    <x v="3"/>
    <x v="2"/>
    <x v="0"/>
    <d v="2023-11-23T00:00:00"/>
    <s v="Annual"/>
    <d v="2024-02-23T00:00:00"/>
    <x v="1"/>
    <n v="4325"/>
    <n v="7440"/>
    <n v="19"/>
    <d v="2024-03-13T00:00:00"/>
    <x v="0"/>
    <x v="0"/>
    <x v="1"/>
    <n v="0.58130000000000004"/>
    <n v="92"/>
    <n v="2024"/>
    <s v="February"/>
  </r>
  <r>
    <s v="DINS-CLM-100792"/>
    <s v="DINS-CUS-500792"/>
    <s v="DINS-POL-200792"/>
    <x v="4"/>
    <x v="2"/>
    <x v="5"/>
    <x v="2"/>
    <x v="2"/>
    <d v="2024-06-17T00:00:00"/>
    <s v="Annual"/>
    <d v="2024-12-08T00:00:00"/>
    <x v="1"/>
    <n v="14858"/>
    <n v="2463"/>
    <n v="18"/>
    <d v="2024-12-26T00:00:00"/>
    <x v="0"/>
    <x v="0"/>
    <x v="0"/>
    <n v="6.0324999999999998"/>
    <n v="174"/>
    <n v="2024"/>
    <s v="December"/>
  </r>
  <r>
    <s v="DINS-CLM-100793"/>
    <s v="DINS-CUS-500793"/>
    <s v="DINS-POL-200793"/>
    <x v="0"/>
    <x v="1"/>
    <x v="2"/>
    <x v="2"/>
    <x v="7"/>
    <d v="2023-03-16T00:00:00"/>
    <s v="Annual"/>
    <d v="2024-02-19T00:00:00"/>
    <x v="2"/>
    <n v="26011"/>
    <n v="969"/>
    <s v="N/A - Not Settled"/>
    <s v="N/A - Not Settled"/>
    <x v="0"/>
    <x v="0"/>
    <x v="1"/>
    <n v="26.8431"/>
    <n v="340"/>
    <n v="2024"/>
    <s v="February"/>
  </r>
  <r>
    <s v="DINS-CLM-100794"/>
    <s v="DINS-CUS-500794"/>
    <s v="DINS-POL-200794"/>
    <x v="1"/>
    <x v="1"/>
    <x v="0"/>
    <x v="1"/>
    <x v="3"/>
    <d v="2024-01-11T00:00:00"/>
    <s v="Monthly"/>
    <d v="2024-06-13T00:00:00"/>
    <x v="0"/>
    <n v="32161"/>
    <n v="1292"/>
    <s v="N/A - Not Settled"/>
    <s v="N/A - Not Settled"/>
    <x v="0"/>
    <x v="0"/>
    <x v="0"/>
    <n v="24.892399999999999"/>
    <n v="154"/>
    <n v="2024"/>
    <s v="June"/>
  </r>
  <r>
    <s v="DINS-CLM-100795"/>
    <s v="DINS-CUS-500795"/>
    <s v="DINS-POL-200795"/>
    <x v="0"/>
    <x v="1"/>
    <x v="0"/>
    <x v="1"/>
    <x v="0"/>
    <d v="2024-01-28T00:00:00"/>
    <s v="Monthly"/>
    <d v="2024-05-10T00:00:00"/>
    <x v="2"/>
    <n v="27064"/>
    <n v="597"/>
    <s v="N/A - Not Settled"/>
    <s v="N/A - Not Settled"/>
    <x v="0"/>
    <x v="0"/>
    <x v="1"/>
    <n v="45.333300000000001"/>
    <n v="103"/>
    <n v="2024"/>
    <s v="May"/>
  </r>
  <r>
    <s v="DINS-CLM-100796"/>
    <s v="DINS-CUS-500796"/>
    <s v="DINS-POL-200796"/>
    <x v="3"/>
    <x v="1"/>
    <x v="2"/>
    <x v="2"/>
    <x v="7"/>
    <d v="2023-10-13T00:00:00"/>
    <s v="Annual"/>
    <d v="2024-06-26T00:00:00"/>
    <x v="1"/>
    <n v="38745"/>
    <n v="1656"/>
    <n v="5"/>
    <d v="2024-07-01T00:00:00"/>
    <x v="0"/>
    <x v="0"/>
    <x v="0"/>
    <n v="23.396699999999999"/>
    <n v="257"/>
    <n v="2024"/>
    <s v="June"/>
  </r>
  <r>
    <s v="DINS-CLM-100797"/>
    <s v="DINS-CUS-500797"/>
    <s v="DINS-POL-200797"/>
    <x v="2"/>
    <x v="2"/>
    <x v="4"/>
    <x v="2"/>
    <x v="7"/>
    <d v="2023-07-17T00:00:00"/>
    <s v="Annual"/>
    <d v="2024-05-02T00:00:00"/>
    <x v="1"/>
    <n v="6862"/>
    <n v="1472"/>
    <n v="44"/>
    <d v="2024-06-15T00:00:00"/>
    <x v="0"/>
    <x v="0"/>
    <x v="1"/>
    <n v="4.6616999999999997"/>
    <n v="290"/>
    <n v="2024"/>
    <s v="May"/>
  </r>
  <r>
    <s v="DINS-CLM-100798"/>
    <s v="DINS-CUS-500798"/>
    <s v="DINS-POL-200798"/>
    <x v="5"/>
    <x v="2"/>
    <x v="5"/>
    <x v="2"/>
    <x v="0"/>
    <d v="2024-04-27T00:00:00"/>
    <s v="Monthly"/>
    <d v="2024-07-11T00:00:00"/>
    <x v="0"/>
    <n v="32223"/>
    <n v="1884"/>
    <s v="N/A - Not Settled"/>
    <s v="N/A - Not Settled"/>
    <x v="0"/>
    <x v="0"/>
    <x v="1"/>
    <n v="17.1035"/>
    <n v="75"/>
    <n v="2024"/>
    <s v="July"/>
  </r>
  <r>
    <s v="DINS-CLM-100799"/>
    <s v="DINS-CUS-500799"/>
    <s v="DINS-POL-200799"/>
    <x v="0"/>
    <x v="2"/>
    <x v="2"/>
    <x v="1"/>
    <x v="3"/>
    <d v="2023-03-02T00:00:00"/>
    <s v="Annual"/>
    <d v="2024-01-19T00:00:00"/>
    <x v="0"/>
    <n v="19940"/>
    <n v="8904"/>
    <s v="N/A - Not Settled"/>
    <s v="N/A - Not Settled"/>
    <x v="1"/>
    <x v="0"/>
    <x v="1"/>
    <n v="2.2393999999999998"/>
    <n v="323"/>
    <n v="2024"/>
    <s v="January"/>
  </r>
  <r>
    <s v="DINS-CLM-100800"/>
    <s v="DINS-CUS-500800"/>
    <s v="DINS-POL-200800"/>
    <x v="2"/>
    <x v="2"/>
    <x v="5"/>
    <x v="2"/>
    <x v="0"/>
    <d v="2023-04-08T00:00:00"/>
    <s v="Annual"/>
    <d v="2024-02-12T00:00:00"/>
    <x v="1"/>
    <n v="25179"/>
    <n v="1904"/>
    <n v="38"/>
    <d v="2024-03-21T00:00:00"/>
    <x v="0"/>
    <x v="0"/>
    <x v="2"/>
    <n v="13.224299999999999"/>
    <n v="310"/>
    <n v="2024"/>
    <s v="February"/>
  </r>
  <r>
    <s v="DINS-CLM-100801"/>
    <s v="DINS-CUS-500801"/>
    <s v="DINS-POL-200801"/>
    <x v="3"/>
    <x v="1"/>
    <x v="4"/>
    <x v="1"/>
    <x v="3"/>
    <d v="2023-09-16T00:00:00"/>
    <s v="Annual"/>
    <d v="2024-06-14T00:00:00"/>
    <x v="2"/>
    <n v="91718"/>
    <n v="8072"/>
    <s v="N/A - Not Settled"/>
    <s v="N/A - Not Settled"/>
    <x v="0"/>
    <x v="0"/>
    <x v="2"/>
    <n v="11.362500000000001"/>
    <n v="272"/>
    <n v="2024"/>
    <s v="June"/>
  </r>
  <r>
    <s v="DINS-CLM-100802"/>
    <s v="DINS-CUS-500802"/>
    <s v="DINS-POL-200802"/>
    <x v="4"/>
    <x v="2"/>
    <x v="0"/>
    <x v="0"/>
    <x v="1"/>
    <d v="2023-04-24T00:00:00"/>
    <s v="Annual"/>
    <d v="2024-03-11T00:00:00"/>
    <x v="1"/>
    <n v="4935"/>
    <n v="3158"/>
    <n v="11"/>
    <d v="2024-03-22T00:00:00"/>
    <x v="1"/>
    <x v="0"/>
    <x v="0"/>
    <n v="1.5627"/>
    <n v="322"/>
    <n v="2024"/>
    <s v="March"/>
  </r>
  <r>
    <s v="DINS-CLM-100803"/>
    <s v="DINS-CUS-500803"/>
    <s v="DINS-POL-200803"/>
    <x v="1"/>
    <x v="0"/>
    <x v="5"/>
    <x v="1"/>
    <x v="3"/>
    <d v="2024-06-02T00:00:00"/>
    <s v="Monthly"/>
    <d v="2024-10-13T00:00:00"/>
    <x v="1"/>
    <n v="35595"/>
    <n v="5909"/>
    <n v="14"/>
    <d v="2024-10-27T00:00:00"/>
    <x v="0"/>
    <x v="0"/>
    <x v="2"/>
    <n v="6.0239000000000003"/>
    <n v="133"/>
    <n v="2024"/>
    <s v="October"/>
  </r>
  <r>
    <s v="DINS-CLM-100804"/>
    <s v="DINS-CUS-500804"/>
    <s v="DINS-POL-200804"/>
    <x v="4"/>
    <x v="0"/>
    <x v="3"/>
    <x v="2"/>
    <x v="2"/>
    <d v="2023-08-04T00:00:00"/>
    <s v="Annual"/>
    <d v="2024-02-09T00:00:00"/>
    <x v="1"/>
    <n v="12017"/>
    <n v="4751"/>
    <n v="10"/>
    <d v="2024-02-19T00:00:00"/>
    <x v="0"/>
    <x v="0"/>
    <x v="2"/>
    <n v="2.5293999999999999"/>
    <n v="189"/>
    <n v="2024"/>
    <s v="February"/>
  </r>
  <r>
    <s v="DINS-CLM-100805"/>
    <s v="DINS-CUS-500805"/>
    <s v="DINS-POL-200805"/>
    <x v="4"/>
    <x v="2"/>
    <x v="3"/>
    <x v="2"/>
    <x v="1"/>
    <d v="2024-10-05T00:00:00"/>
    <s v="Monthly"/>
    <d v="2024-12-20T00:00:00"/>
    <x v="0"/>
    <n v="19139"/>
    <n v="831"/>
    <s v="N/A - Not Settled"/>
    <s v="N/A - Not Settled"/>
    <x v="0"/>
    <x v="0"/>
    <x v="1"/>
    <n v="23.031300000000002"/>
    <n v="76"/>
    <n v="2024"/>
    <s v="December"/>
  </r>
  <r>
    <s v="DINS-CLM-100806"/>
    <s v="DINS-CUS-500806"/>
    <s v="DINS-POL-200806"/>
    <x v="0"/>
    <x v="2"/>
    <x v="0"/>
    <x v="2"/>
    <x v="7"/>
    <d v="2024-03-25T00:00:00"/>
    <s v="Monthly"/>
    <d v="2024-08-27T00:00:00"/>
    <x v="1"/>
    <n v="29751"/>
    <n v="2803"/>
    <n v="27"/>
    <d v="2024-09-23T00:00:00"/>
    <x v="0"/>
    <x v="0"/>
    <x v="2"/>
    <n v="10.614000000000001"/>
    <n v="155"/>
    <n v="2024"/>
    <s v="August"/>
  </r>
  <r>
    <s v="DINS-CLM-100807"/>
    <s v="DINS-CUS-500807"/>
    <s v="DINS-POL-200807"/>
    <x v="0"/>
    <x v="0"/>
    <x v="0"/>
    <x v="1"/>
    <x v="6"/>
    <d v="2024-06-10T00:00:00"/>
    <s v="Annual"/>
    <d v="2024-07-15T00:00:00"/>
    <x v="1"/>
    <n v="11887"/>
    <n v="6996"/>
    <n v="23"/>
    <d v="2024-08-07T00:00:00"/>
    <x v="0"/>
    <x v="0"/>
    <x v="2"/>
    <n v="1.6991000000000001"/>
    <n v="35"/>
    <n v="2024"/>
    <s v="July"/>
  </r>
  <r>
    <s v="DINS-CLM-100808"/>
    <s v="DINS-CUS-500808"/>
    <s v="DINS-POL-200808"/>
    <x v="0"/>
    <x v="1"/>
    <x v="0"/>
    <x v="2"/>
    <x v="2"/>
    <d v="2023-03-13T00:00:00"/>
    <s v="Monthly"/>
    <d v="2024-02-01T00:00:00"/>
    <x v="1"/>
    <n v="6221"/>
    <n v="5487"/>
    <n v="35"/>
    <d v="2024-03-07T00:00:00"/>
    <x v="0"/>
    <x v="0"/>
    <x v="2"/>
    <n v="1.1337999999999999"/>
    <n v="325"/>
    <n v="2024"/>
    <s v="February"/>
  </r>
  <r>
    <s v="DINS-CLM-100809"/>
    <s v="DINS-CUS-500809"/>
    <s v="DINS-POL-200809"/>
    <x v="2"/>
    <x v="0"/>
    <x v="1"/>
    <x v="0"/>
    <x v="3"/>
    <d v="2024-06-30T00:00:00"/>
    <s v="Monthly"/>
    <d v="2024-08-04T00:00:00"/>
    <x v="2"/>
    <n v="24653"/>
    <n v="4830"/>
    <s v="N/A - Not Settled"/>
    <s v="N/A - Not Settled"/>
    <x v="0"/>
    <x v="0"/>
    <x v="1"/>
    <n v="5.1040999999999999"/>
    <n v="35"/>
    <n v="2024"/>
    <s v="August"/>
  </r>
  <r>
    <s v="DINS-CLM-100810"/>
    <s v="DINS-CUS-500810"/>
    <s v="DINS-POL-200810"/>
    <x v="0"/>
    <x v="1"/>
    <x v="2"/>
    <x v="0"/>
    <x v="5"/>
    <d v="2023-05-03T00:00:00"/>
    <s v="Monthly"/>
    <d v="2024-03-15T00:00:00"/>
    <x v="1"/>
    <n v="39247"/>
    <n v="4192"/>
    <n v="4"/>
    <d v="2024-03-19T00:00:00"/>
    <x v="0"/>
    <x v="0"/>
    <x v="1"/>
    <n v="9.3623999999999992"/>
    <n v="317"/>
    <n v="2024"/>
    <s v="March"/>
  </r>
  <r>
    <s v="DINS-CLM-100811"/>
    <s v="DINS-CUS-500811"/>
    <s v="DINS-POL-200811"/>
    <x v="3"/>
    <x v="2"/>
    <x v="5"/>
    <x v="0"/>
    <x v="6"/>
    <d v="2024-03-13T00:00:00"/>
    <s v="Monthly"/>
    <d v="2024-04-16T00:00:00"/>
    <x v="0"/>
    <n v="56787"/>
    <n v="7537"/>
    <s v="N/A - Not Settled"/>
    <s v="N/A - Not Settled"/>
    <x v="0"/>
    <x v="0"/>
    <x v="2"/>
    <n v="7.5343999999999998"/>
    <n v="34"/>
    <n v="2024"/>
    <s v="April"/>
  </r>
  <r>
    <s v="DINS-CLM-100812"/>
    <s v="DINS-CUS-500812"/>
    <s v="DINS-POL-200812"/>
    <x v="4"/>
    <x v="1"/>
    <x v="0"/>
    <x v="1"/>
    <x v="1"/>
    <d v="2024-02-11T00:00:00"/>
    <s v="Annual"/>
    <d v="2024-09-10T00:00:00"/>
    <x v="1"/>
    <n v="11808"/>
    <n v="3126"/>
    <n v="16"/>
    <d v="2024-09-26T00:00:00"/>
    <x v="0"/>
    <x v="0"/>
    <x v="2"/>
    <n v="3.7774000000000001"/>
    <n v="212"/>
    <n v="2024"/>
    <s v="September"/>
  </r>
  <r>
    <s v="DINS-CLM-100813"/>
    <s v="DINS-CUS-500813"/>
    <s v="DINS-POL-200813"/>
    <x v="5"/>
    <x v="2"/>
    <x v="5"/>
    <x v="0"/>
    <x v="5"/>
    <d v="2023-08-11T00:00:00"/>
    <s v="Monthly"/>
    <d v="2024-02-17T00:00:00"/>
    <x v="0"/>
    <n v="47072"/>
    <n v="8314"/>
    <s v="N/A - Not Settled"/>
    <s v="N/A - Not Settled"/>
    <x v="0"/>
    <x v="0"/>
    <x v="2"/>
    <n v="5.6618000000000004"/>
    <n v="190"/>
    <n v="2024"/>
    <s v="February"/>
  </r>
  <r>
    <s v="DINS-CLM-100814"/>
    <s v="DINS-CUS-500814"/>
    <s v="DINS-POL-200814"/>
    <x v="0"/>
    <x v="0"/>
    <x v="5"/>
    <x v="1"/>
    <x v="7"/>
    <d v="2023-04-27T00:00:00"/>
    <s v="Annual"/>
    <d v="2024-04-04T00:00:00"/>
    <x v="1"/>
    <n v="11716"/>
    <n v="3618"/>
    <n v="34"/>
    <d v="2024-05-08T00:00:00"/>
    <x v="0"/>
    <x v="0"/>
    <x v="2"/>
    <n v="3.2383000000000002"/>
    <n v="343"/>
    <n v="2024"/>
    <s v="April"/>
  </r>
  <r>
    <s v="DINS-CLM-100815"/>
    <s v="DINS-CUS-500815"/>
    <s v="DINS-POL-200815"/>
    <x v="3"/>
    <x v="0"/>
    <x v="0"/>
    <x v="2"/>
    <x v="3"/>
    <d v="2023-03-18T00:00:00"/>
    <s v="Monthly"/>
    <d v="2024-01-27T00:00:00"/>
    <x v="1"/>
    <n v="49009"/>
    <n v="1536"/>
    <n v="39"/>
    <d v="2024-03-06T00:00:00"/>
    <x v="0"/>
    <x v="0"/>
    <x v="2"/>
    <n v="31.9069"/>
    <n v="315"/>
    <n v="2024"/>
    <s v="January"/>
  </r>
  <r>
    <s v="DINS-CLM-100816"/>
    <s v="DINS-CUS-500816"/>
    <s v="DINS-POL-200816"/>
    <x v="5"/>
    <x v="2"/>
    <x v="5"/>
    <x v="2"/>
    <x v="6"/>
    <d v="2024-01-01T00:00:00"/>
    <s v="Annual"/>
    <d v="2024-11-28T00:00:00"/>
    <x v="2"/>
    <n v="50700"/>
    <n v="6541"/>
    <s v="N/A - Not Settled"/>
    <s v="N/A - Not Settled"/>
    <x v="0"/>
    <x v="0"/>
    <x v="0"/>
    <n v="7.7511000000000001"/>
    <n v="332"/>
    <n v="2024"/>
    <s v="November"/>
  </r>
  <r>
    <s v="DINS-CLM-100817"/>
    <s v="DINS-CUS-500817"/>
    <s v="DINS-POL-200817"/>
    <x v="0"/>
    <x v="1"/>
    <x v="3"/>
    <x v="2"/>
    <x v="4"/>
    <d v="2023-11-11T00:00:00"/>
    <s v="Monthly"/>
    <d v="2024-07-08T00:00:00"/>
    <x v="2"/>
    <n v="39225"/>
    <n v="2100"/>
    <s v="N/A - Not Settled"/>
    <s v="N/A - Not Settled"/>
    <x v="0"/>
    <x v="0"/>
    <x v="0"/>
    <n v="18.678599999999999"/>
    <n v="240"/>
    <n v="2024"/>
    <s v="July"/>
  </r>
  <r>
    <s v="DINS-CLM-100818"/>
    <s v="DINS-CUS-500818"/>
    <s v="DINS-POL-200818"/>
    <x v="2"/>
    <x v="0"/>
    <x v="3"/>
    <x v="0"/>
    <x v="1"/>
    <d v="2024-04-29T00:00:00"/>
    <s v="Annual"/>
    <d v="2024-10-29T00:00:00"/>
    <x v="1"/>
    <n v="15273"/>
    <n v="1482"/>
    <n v="26"/>
    <d v="2024-11-24T00:00:00"/>
    <x v="0"/>
    <x v="0"/>
    <x v="1"/>
    <n v="10.3057"/>
    <n v="183"/>
    <n v="2024"/>
    <s v="October"/>
  </r>
  <r>
    <s v="DINS-CLM-100819"/>
    <s v="DINS-CUS-500819"/>
    <s v="DINS-POL-200819"/>
    <x v="2"/>
    <x v="2"/>
    <x v="4"/>
    <x v="2"/>
    <x v="4"/>
    <d v="2023-10-20T00:00:00"/>
    <s v="Monthly"/>
    <d v="2024-02-24T00:00:00"/>
    <x v="0"/>
    <n v="35776"/>
    <n v="7563"/>
    <s v="N/A - Not Settled"/>
    <s v="N/A - Not Settled"/>
    <x v="0"/>
    <x v="0"/>
    <x v="2"/>
    <n v="4.7304000000000004"/>
    <n v="127"/>
    <n v="2024"/>
    <s v="February"/>
  </r>
  <r>
    <s v="DINS-CLM-100820"/>
    <s v="DINS-CUS-500820"/>
    <s v="DINS-POL-200820"/>
    <x v="4"/>
    <x v="1"/>
    <x v="5"/>
    <x v="2"/>
    <x v="5"/>
    <d v="2024-04-23T00:00:00"/>
    <s v="Annual"/>
    <d v="2024-06-13T00:00:00"/>
    <x v="1"/>
    <n v="6777"/>
    <n v="3359"/>
    <n v="18"/>
    <d v="2024-07-01T00:00:00"/>
    <x v="0"/>
    <x v="0"/>
    <x v="0"/>
    <n v="2.0175999999999998"/>
    <n v="51"/>
    <n v="2024"/>
    <s v="June"/>
  </r>
  <r>
    <s v="DINS-CLM-100821"/>
    <s v="DINS-CUS-500821"/>
    <s v="DINS-POL-200821"/>
    <x v="3"/>
    <x v="1"/>
    <x v="5"/>
    <x v="0"/>
    <x v="0"/>
    <d v="2023-03-07T00:00:00"/>
    <s v="Annual"/>
    <d v="2024-01-30T00:00:00"/>
    <x v="1"/>
    <n v="61304"/>
    <n v="987"/>
    <n v="26"/>
    <d v="2024-02-25T00:00:00"/>
    <x v="0"/>
    <x v="0"/>
    <x v="1"/>
    <n v="62.111400000000003"/>
    <n v="329"/>
    <n v="2024"/>
    <s v="January"/>
  </r>
  <r>
    <s v="DINS-CLM-100822"/>
    <s v="DINS-CUS-500822"/>
    <s v="DINS-POL-200822"/>
    <x v="5"/>
    <x v="1"/>
    <x v="2"/>
    <x v="1"/>
    <x v="3"/>
    <d v="2024-03-19T00:00:00"/>
    <s v="Monthly"/>
    <d v="2024-07-11T00:00:00"/>
    <x v="1"/>
    <n v="21428"/>
    <n v="8538"/>
    <n v="43"/>
    <d v="2024-08-23T00:00:00"/>
    <x v="0"/>
    <x v="0"/>
    <x v="0"/>
    <n v="2.5097"/>
    <n v="114"/>
    <n v="2024"/>
    <s v="July"/>
  </r>
  <r>
    <s v="DINS-CLM-100823"/>
    <s v="DINS-CUS-500823"/>
    <s v="DINS-POL-200823"/>
    <x v="0"/>
    <x v="2"/>
    <x v="3"/>
    <x v="1"/>
    <x v="4"/>
    <d v="2023-09-25T00:00:00"/>
    <s v="Annual"/>
    <d v="2024-07-14T00:00:00"/>
    <x v="0"/>
    <n v="41408"/>
    <n v="3448"/>
    <s v="N/A - Not Settled"/>
    <s v="N/A - Not Settled"/>
    <x v="0"/>
    <x v="0"/>
    <x v="2"/>
    <n v="12.0093"/>
    <n v="293"/>
    <n v="2024"/>
    <s v="July"/>
  </r>
  <r>
    <s v="DINS-CLM-100824"/>
    <s v="DINS-CUS-500824"/>
    <s v="DINS-POL-200824"/>
    <x v="2"/>
    <x v="1"/>
    <x v="5"/>
    <x v="0"/>
    <x v="3"/>
    <d v="2023-06-23T00:00:00"/>
    <s v="Annual"/>
    <d v="2024-04-27T00:00:00"/>
    <x v="1"/>
    <n v="24181"/>
    <n v="5605"/>
    <n v="22"/>
    <d v="2024-05-19T00:00:00"/>
    <x v="0"/>
    <x v="0"/>
    <x v="1"/>
    <n v="4.3141999999999996"/>
    <n v="309"/>
    <n v="2024"/>
    <s v="April"/>
  </r>
  <r>
    <s v="DINS-CLM-100825"/>
    <s v="DINS-CUS-500825"/>
    <s v="DINS-POL-200825"/>
    <x v="2"/>
    <x v="1"/>
    <x v="1"/>
    <x v="1"/>
    <x v="4"/>
    <d v="2023-11-02T00:00:00"/>
    <s v="Annual"/>
    <d v="2024-03-18T00:00:00"/>
    <x v="1"/>
    <n v="10601"/>
    <n v="3313"/>
    <n v="17"/>
    <d v="2024-04-04T00:00:00"/>
    <x v="0"/>
    <x v="0"/>
    <x v="0"/>
    <n v="3.1998000000000002"/>
    <n v="137"/>
    <n v="2024"/>
    <s v="March"/>
  </r>
  <r>
    <s v="DINS-CLM-100826"/>
    <s v="DINS-CUS-500826"/>
    <s v="DINS-POL-200826"/>
    <x v="1"/>
    <x v="2"/>
    <x v="1"/>
    <x v="1"/>
    <x v="3"/>
    <d v="2024-04-04T00:00:00"/>
    <s v="Annual"/>
    <d v="2024-09-13T00:00:00"/>
    <x v="1"/>
    <n v="58888"/>
    <n v="2992"/>
    <n v="19"/>
    <d v="2024-10-02T00:00:00"/>
    <x v="0"/>
    <x v="0"/>
    <x v="2"/>
    <n v="19.681799999999999"/>
    <n v="162"/>
    <n v="2024"/>
    <s v="September"/>
  </r>
  <r>
    <s v="DINS-CLM-100827"/>
    <s v="DINS-CUS-500827"/>
    <s v="DINS-POL-200827"/>
    <x v="0"/>
    <x v="1"/>
    <x v="4"/>
    <x v="2"/>
    <x v="2"/>
    <d v="2023-09-29T00:00:00"/>
    <s v="Annual"/>
    <d v="2024-02-29T00:00:00"/>
    <x v="2"/>
    <n v="28206"/>
    <n v="6192"/>
    <s v="N/A - Not Settled"/>
    <s v="N/A - Not Settled"/>
    <x v="0"/>
    <x v="0"/>
    <x v="0"/>
    <n v="4.5552000000000001"/>
    <n v="153"/>
    <n v="2024"/>
    <s v="February"/>
  </r>
  <r>
    <s v="DINS-CLM-100828"/>
    <s v="DINS-CUS-500828"/>
    <s v="DINS-POL-200828"/>
    <x v="4"/>
    <x v="0"/>
    <x v="3"/>
    <x v="1"/>
    <x v="0"/>
    <d v="2023-05-15T00:00:00"/>
    <s v="Annual"/>
    <d v="2024-02-08T00:00:00"/>
    <x v="1"/>
    <n v="4728"/>
    <n v="3231"/>
    <n v="27"/>
    <d v="2024-03-06T00:00:00"/>
    <x v="0"/>
    <x v="0"/>
    <x v="0"/>
    <n v="1.4633"/>
    <n v="269"/>
    <n v="2024"/>
    <s v="February"/>
  </r>
  <r>
    <s v="DINS-CLM-100829"/>
    <s v="DINS-CUS-500829"/>
    <s v="DINS-POL-200829"/>
    <x v="2"/>
    <x v="0"/>
    <x v="1"/>
    <x v="2"/>
    <x v="0"/>
    <d v="2023-07-03T00:00:00"/>
    <s v="Annual"/>
    <d v="2024-06-11T00:00:00"/>
    <x v="1"/>
    <n v="31916"/>
    <n v="5611"/>
    <n v="10"/>
    <d v="2024-06-21T00:00:00"/>
    <x v="0"/>
    <x v="0"/>
    <x v="2"/>
    <n v="5.6881000000000004"/>
    <n v="344"/>
    <n v="2024"/>
    <s v="June"/>
  </r>
  <r>
    <s v="DINS-CLM-100830"/>
    <s v="DINS-CUS-500830"/>
    <s v="DINS-POL-200830"/>
    <x v="0"/>
    <x v="2"/>
    <x v="3"/>
    <x v="0"/>
    <x v="1"/>
    <d v="2024-08-15T00:00:00"/>
    <s v="Monthly"/>
    <d v="2024-09-28T00:00:00"/>
    <x v="0"/>
    <n v="17295"/>
    <n v="7423"/>
    <s v="N/A - Not Settled"/>
    <s v="N/A - Not Settled"/>
    <x v="0"/>
    <x v="0"/>
    <x v="1"/>
    <n v="2.3298999999999999"/>
    <n v="44"/>
    <n v="2024"/>
    <s v="September"/>
  </r>
  <r>
    <s v="DINS-CLM-100831"/>
    <s v="DINS-CUS-500831"/>
    <s v="DINS-POL-200831"/>
    <x v="0"/>
    <x v="0"/>
    <x v="0"/>
    <x v="2"/>
    <x v="7"/>
    <d v="2024-01-08T00:00:00"/>
    <s v="Monthly"/>
    <d v="2024-02-29T00:00:00"/>
    <x v="1"/>
    <n v="9820"/>
    <n v="2110"/>
    <n v="13"/>
    <d v="2024-03-13T00:00:00"/>
    <x v="0"/>
    <x v="0"/>
    <x v="0"/>
    <n v="4.6539999999999999"/>
    <n v="52"/>
    <n v="2024"/>
    <s v="February"/>
  </r>
  <r>
    <s v="DINS-CLM-100832"/>
    <s v="DINS-CUS-500832"/>
    <s v="DINS-POL-200832"/>
    <x v="4"/>
    <x v="1"/>
    <x v="2"/>
    <x v="2"/>
    <x v="4"/>
    <d v="2023-06-22T00:00:00"/>
    <s v="Annual"/>
    <d v="2024-05-02T00:00:00"/>
    <x v="1"/>
    <n v="18034"/>
    <n v="5725"/>
    <n v="8"/>
    <d v="2024-05-10T00:00:00"/>
    <x v="0"/>
    <x v="0"/>
    <x v="0"/>
    <n v="3.15"/>
    <n v="315"/>
    <n v="2024"/>
    <s v="May"/>
  </r>
  <r>
    <s v="DINS-CLM-100833"/>
    <s v="DINS-CUS-500833"/>
    <s v="DINS-POL-200833"/>
    <x v="4"/>
    <x v="2"/>
    <x v="5"/>
    <x v="2"/>
    <x v="4"/>
    <d v="2024-03-08T00:00:00"/>
    <s v="Monthly"/>
    <d v="2024-09-20T00:00:00"/>
    <x v="0"/>
    <n v="6002"/>
    <n v="2849"/>
    <s v="N/A - Not Settled"/>
    <s v="N/A - Not Settled"/>
    <x v="1"/>
    <x v="0"/>
    <x v="2"/>
    <n v="2.1067"/>
    <n v="196"/>
    <n v="2024"/>
    <s v="September"/>
  </r>
  <r>
    <s v="DINS-CLM-100834"/>
    <s v="DINS-CUS-500834"/>
    <s v="DINS-POL-200834"/>
    <x v="4"/>
    <x v="2"/>
    <x v="4"/>
    <x v="1"/>
    <x v="7"/>
    <d v="2023-09-23T00:00:00"/>
    <s v="Annual"/>
    <d v="2024-05-26T00:00:00"/>
    <x v="0"/>
    <n v="6450"/>
    <n v="7444"/>
    <s v="N/A - Not Settled"/>
    <s v="N/A - Not Settled"/>
    <x v="0"/>
    <x v="0"/>
    <x v="2"/>
    <n v="0.86650000000000005"/>
    <n v="246"/>
    <n v="2024"/>
    <s v="May"/>
  </r>
  <r>
    <s v="DINS-CLM-100835"/>
    <s v="DINS-CUS-500835"/>
    <s v="DINS-POL-200835"/>
    <x v="2"/>
    <x v="0"/>
    <x v="5"/>
    <x v="2"/>
    <x v="4"/>
    <d v="2023-10-16T00:00:00"/>
    <s v="Annual"/>
    <d v="2024-10-01T00:00:00"/>
    <x v="1"/>
    <n v="15619"/>
    <n v="4621"/>
    <n v="32"/>
    <d v="2024-11-02T00:00:00"/>
    <x v="0"/>
    <x v="0"/>
    <x v="0"/>
    <n v="3.38"/>
    <n v="351"/>
    <n v="2024"/>
    <s v="October"/>
  </r>
  <r>
    <s v="DINS-CLM-100836"/>
    <s v="DINS-CUS-500836"/>
    <s v="DINS-POL-200836"/>
    <x v="3"/>
    <x v="2"/>
    <x v="2"/>
    <x v="0"/>
    <x v="5"/>
    <d v="2023-08-09T00:00:00"/>
    <s v="Annual"/>
    <d v="2024-03-03T00:00:00"/>
    <x v="1"/>
    <n v="33893"/>
    <n v="4631"/>
    <n v="19"/>
    <d v="2024-03-22T00:00:00"/>
    <x v="1"/>
    <x v="0"/>
    <x v="1"/>
    <n v="7.3186999999999998"/>
    <n v="207"/>
    <n v="2024"/>
    <s v="March"/>
  </r>
  <r>
    <s v="DINS-CLM-100837"/>
    <s v="DINS-CUS-500837"/>
    <s v="DINS-POL-200837"/>
    <x v="0"/>
    <x v="1"/>
    <x v="5"/>
    <x v="0"/>
    <x v="5"/>
    <d v="2023-06-24T00:00:00"/>
    <s v="Monthly"/>
    <d v="2024-06-12T00:00:00"/>
    <x v="1"/>
    <n v="8129"/>
    <n v="1739"/>
    <n v="18"/>
    <d v="2024-06-30T00:00:00"/>
    <x v="0"/>
    <x v="0"/>
    <x v="2"/>
    <n v="4.6745000000000001"/>
    <n v="354"/>
    <n v="2024"/>
    <s v="June"/>
  </r>
  <r>
    <s v="DINS-CLM-100838"/>
    <s v="DINS-CUS-500838"/>
    <s v="DINS-POL-200838"/>
    <x v="5"/>
    <x v="2"/>
    <x v="4"/>
    <x v="2"/>
    <x v="4"/>
    <d v="2023-07-24T00:00:00"/>
    <s v="Monthly"/>
    <d v="2024-06-02T00:00:00"/>
    <x v="1"/>
    <n v="78139"/>
    <n v="5928"/>
    <n v="11"/>
    <d v="2024-06-13T00:00:00"/>
    <x v="0"/>
    <x v="0"/>
    <x v="0"/>
    <n v="13.1813"/>
    <n v="314"/>
    <n v="2024"/>
    <s v="June"/>
  </r>
  <r>
    <s v="DINS-CLM-100839"/>
    <s v="DINS-CUS-500839"/>
    <s v="DINS-POL-200839"/>
    <x v="2"/>
    <x v="1"/>
    <x v="4"/>
    <x v="0"/>
    <x v="7"/>
    <d v="2023-08-27T00:00:00"/>
    <s v="Monthly"/>
    <d v="2024-05-14T00:00:00"/>
    <x v="1"/>
    <n v="24438"/>
    <n v="3990"/>
    <n v="20"/>
    <d v="2024-06-03T00:00:00"/>
    <x v="0"/>
    <x v="0"/>
    <x v="1"/>
    <n v="6.1247999999999996"/>
    <n v="261"/>
    <n v="2024"/>
    <s v="May"/>
  </r>
  <r>
    <s v="DINS-CLM-100840"/>
    <s v="DINS-CUS-500840"/>
    <s v="DINS-POL-200840"/>
    <x v="0"/>
    <x v="1"/>
    <x v="0"/>
    <x v="1"/>
    <x v="0"/>
    <d v="2023-05-23T00:00:00"/>
    <s v="Annual"/>
    <d v="2024-04-22T00:00:00"/>
    <x v="2"/>
    <n v="16944"/>
    <n v="2772"/>
    <s v="N/A - Not Settled"/>
    <s v="N/A - Not Settled"/>
    <x v="1"/>
    <x v="0"/>
    <x v="0"/>
    <n v="6.1125999999999996"/>
    <n v="335"/>
    <n v="2024"/>
    <s v="April"/>
  </r>
  <r>
    <s v="DINS-CLM-100841"/>
    <s v="DINS-CUS-500841"/>
    <s v="DINS-POL-200841"/>
    <x v="0"/>
    <x v="0"/>
    <x v="0"/>
    <x v="2"/>
    <x v="4"/>
    <d v="2024-01-03T00:00:00"/>
    <s v="Monthly"/>
    <d v="2024-07-07T00:00:00"/>
    <x v="0"/>
    <n v="59653"/>
    <n v="4933"/>
    <s v="N/A - Not Settled"/>
    <s v="N/A - Not Settled"/>
    <x v="0"/>
    <x v="0"/>
    <x v="2"/>
    <n v="12.092599999999999"/>
    <n v="186"/>
    <n v="2024"/>
    <s v="July"/>
  </r>
  <r>
    <s v="DINS-CLM-100842"/>
    <s v="DINS-CUS-500842"/>
    <s v="DINS-POL-200842"/>
    <x v="3"/>
    <x v="2"/>
    <x v="5"/>
    <x v="0"/>
    <x v="0"/>
    <d v="2024-01-04T00:00:00"/>
    <s v="Monthly"/>
    <d v="2024-10-12T00:00:00"/>
    <x v="0"/>
    <n v="23881"/>
    <n v="754"/>
    <s v="N/A - Not Settled"/>
    <s v="N/A - Not Settled"/>
    <x v="0"/>
    <x v="0"/>
    <x v="1"/>
    <n v="31.6724"/>
    <n v="282"/>
    <n v="2024"/>
    <s v="October"/>
  </r>
  <r>
    <s v="DINS-CLM-100843"/>
    <s v="DINS-CUS-500843"/>
    <s v="DINS-POL-200843"/>
    <x v="3"/>
    <x v="1"/>
    <x v="5"/>
    <x v="2"/>
    <x v="6"/>
    <d v="2023-10-28T00:00:00"/>
    <s v="Monthly"/>
    <d v="2024-05-14T00:00:00"/>
    <x v="1"/>
    <n v="93594"/>
    <n v="6243"/>
    <n v="8"/>
    <d v="2024-05-22T00:00:00"/>
    <x v="0"/>
    <x v="0"/>
    <x v="1"/>
    <n v="14.9918"/>
    <n v="199"/>
    <n v="2024"/>
    <s v="May"/>
  </r>
  <r>
    <s v="DINS-CLM-100844"/>
    <s v="DINS-CUS-500844"/>
    <s v="DINS-POL-200844"/>
    <x v="2"/>
    <x v="2"/>
    <x v="4"/>
    <x v="1"/>
    <x v="6"/>
    <d v="2024-03-15T00:00:00"/>
    <s v="Annual"/>
    <d v="2024-11-10T00:00:00"/>
    <x v="0"/>
    <n v="11523"/>
    <n v="7004"/>
    <s v="N/A - Not Settled"/>
    <s v="N/A - Not Settled"/>
    <x v="0"/>
    <x v="0"/>
    <x v="2"/>
    <n v="1.6452"/>
    <n v="240"/>
    <n v="2024"/>
    <s v="November"/>
  </r>
  <r>
    <s v="DINS-CLM-100845"/>
    <s v="DINS-CUS-500845"/>
    <s v="DINS-POL-200845"/>
    <x v="5"/>
    <x v="1"/>
    <x v="2"/>
    <x v="2"/>
    <x v="2"/>
    <d v="2023-09-24T00:00:00"/>
    <s v="Annual"/>
    <d v="2024-05-24T00:00:00"/>
    <x v="1"/>
    <n v="66206"/>
    <n v="3507"/>
    <n v="5"/>
    <d v="2024-05-29T00:00:00"/>
    <x v="0"/>
    <x v="0"/>
    <x v="2"/>
    <n v="18.8782"/>
    <n v="243"/>
    <n v="2024"/>
    <s v="May"/>
  </r>
  <r>
    <s v="DINS-CLM-100846"/>
    <s v="DINS-CUS-500846"/>
    <s v="DINS-POL-200846"/>
    <x v="2"/>
    <x v="0"/>
    <x v="1"/>
    <x v="0"/>
    <x v="2"/>
    <d v="2024-03-26T00:00:00"/>
    <s v="Annual"/>
    <d v="2024-07-04T00:00:00"/>
    <x v="2"/>
    <n v="32170"/>
    <n v="2688"/>
    <s v="N/A - Not Settled"/>
    <s v="N/A - Not Settled"/>
    <x v="0"/>
    <x v="0"/>
    <x v="0"/>
    <n v="11.968"/>
    <n v="100"/>
    <n v="2024"/>
    <s v="July"/>
  </r>
  <r>
    <s v="DINS-CLM-100847"/>
    <s v="DINS-CUS-500847"/>
    <s v="DINS-POL-200847"/>
    <x v="4"/>
    <x v="0"/>
    <x v="5"/>
    <x v="2"/>
    <x v="4"/>
    <d v="2023-12-31T00:00:00"/>
    <s v="Monthly"/>
    <d v="2024-02-19T00:00:00"/>
    <x v="1"/>
    <n v="4948"/>
    <n v="2016"/>
    <n v="12"/>
    <d v="2024-03-02T00:00:00"/>
    <x v="0"/>
    <x v="0"/>
    <x v="0"/>
    <n v="2.4544000000000001"/>
    <n v="50"/>
    <n v="2024"/>
    <s v="February"/>
  </r>
  <r>
    <s v="DINS-CLM-100848"/>
    <s v="DINS-CUS-500848"/>
    <s v="DINS-POL-200848"/>
    <x v="3"/>
    <x v="0"/>
    <x v="5"/>
    <x v="1"/>
    <x v="3"/>
    <d v="2023-12-17T00:00:00"/>
    <s v="Monthly"/>
    <d v="2024-07-08T00:00:00"/>
    <x v="1"/>
    <n v="62269"/>
    <n v="4477"/>
    <n v="7"/>
    <d v="2024-07-15T00:00:00"/>
    <x v="1"/>
    <x v="0"/>
    <x v="0"/>
    <n v="13.9086"/>
    <n v="204"/>
    <n v="2024"/>
    <s v="July"/>
  </r>
  <r>
    <s v="DINS-CLM-100849"/>
    <s v="DINS-CUS-500849"/>
    <s v="DINS-POL-200849"/>
    <x v="2"/>
    <x v="1"/>
    <x v="1"/>
    <x v="2"/>
    <x v="6"/>
    <d v="2023-07-14T00:00:00"/>
    <s v="Monthly"/>
    <d v="2024-01-07T00:00:00"/>
    <x v="1"/>
    <n v="38095"/>
    <n v="7430"/>
    <n v="3"/>
    <d v="2024-01-10T00:00:00"/>
    <x v="0"/>
    <x v="0"/>
    <x v="2"/>
    <n v="5.1272000000000002"/>
    <n v="177"/>
    <n v="2024"/>
    <s v="January"/>
  </r>
  <r>
    <s v="DINS-CLM-100850"/>
    <s v="DINS-CUS-500850"/>
    <s v="DINS-POL-200850"/>
    <x v="1"/>
    <x v="2"/>
    <x v="1"/>
    <x v="1"/>
    <x v="7"/>
    <d v="2024-05-23T00:00:00"/>
    <s v="Annual"/>
    <d v="2024-07-05T00:00:00"/>
    <x v="1"/>
    <n v="27425"/>
    <n v="6473"/>
    <n v="18"/>
    <d v="2024-07-23T00:00:00"/>
    <x v="0"/>
    <x v="0"/>
    <x v="1"/>
    <n v="4.2367999999999997"/>
    <n v="43"/>
    <n v="2024"/>
    <s v="July"/>
  </r>
  <r>
    <s v="DINS-CLM-100851"/>
    <s v="DINS-CUS-500851"/>
    <s v="DINS-POL-200851"/>
    <x v="1"/>
    <x v="0"/>
    <x v="0"/>
    <x v="2"/>
    <x v="4"/>
    <d v="2023-07-20T00:00:00"/>
    <s v="Annual"/>
    <d v="2024-01-03T00:00:00"/>
    <x v="1"/>
    <n v="54212"/>
    <n v="2456"/>
    <n v="29"/>
    <d v="2024-02-01T00:00:00"/>
    <x v="0"/>
    <x v="0"/>
    <x v="2"/>
    <n v="22.0733"/>
    <n v="167"/>
    <n v="2024"/>
    <s v="January"/>
  </r>
  <r>
    <s v="DINS-CLM-100852"/>
    <s v="DINS-CUS-500852"/>
    <s v="DINS-POL-200852"/>
    <x v="2"/>
    <x v="2"/>
    <x v="0"/>
    <x v="1"/>
    <x v="0"/>
    <d v="2023-05-30T00:00:00"/>
    <s v="Annual"/>
    <d v="2024-04-11T00:00:00"/>
    <x v="1"/>
    <n v="38513"/>
    <n v="7334"/>
    <n v="27"/>
    <d v="2024-05-08T00:00:00"/>
    <x v="0"/>
    <x v="0"/>
    <x v="2"/>
    <n v="5.2512999999999996"/>
    <n v="317"/>
    <n v="2024"/>
    <s v="April"/>
  </r>
  <r>
    <s v="DINS-CLM-100853"/>
    <s v="DINS-CUS-500853"/>
    <s v="DINS-POL-200853"/>
    <x v="4"/>
    <x v="2"/>
    <x v="4"/>
    <x v="0"/>
    <x v="0"/>
    <d v="2023-12-10T00:00:00"/>
    <s v="Annual"/>
    <d v="2024-09-16T00:00:00"/>
    <x v="1"/>
    <n v="3969"/>
    <n v="5716"/>
    <n v="36"/>
    <d v="2024-10-22T00:00:00"/>
    <x v="1"/>
    <x v="0"/>
    <x v="1"/>
    <n v="0.69440000000000002"/>
    <n v="281"/>
    <n v="2024"/>
    <s v="September"/>
  </r>
  <r>
    <s v="DINS-CLM-100854"/>
    <s v="DINS-CUS-500854"/>
    <s v="DINS-POL-200854"/>
    <x v="0"/>
    <x v="2"/>
    <x v="2"/>
    <x v="2"/>
    <x v="5"/>
    <d v="2024-02-09T00:00:00"/>
    <s v="Annual"/>
    <d v="2024-11-21T00:00:00"/>
    <x v="0"/>
    <n v="28196"/>
    <n v="1044"/>
    <s v="N/A - Not Settled"/>
    <s v="N/A - Not Settled"/>
    <x v="1"/>
    <x v="1"/>
    <x v="1"/>
    <n v="27.0077"/>
    <n v="286"/>
    <n v="2024"/>
    <s v="November"/>
  </r>
  <r>
    <s v="DINS-CLM-100855"/>
    <s v="DINS-CUS-500855"/>
    <s v="DINS-POL-200855"/>
    <x v="0"/>
    <x v="0"/>
    <x v="5"/>
    <x v="0"/>
    <x v="4"/>
    <d v="2023-11-12T00:00:00"/>
    <s v="Annual"/>
    <d v="2024-04-04T00:00:00"/>
    <x v="1"/>
    <n v="50989"/>
    <n v="8822"/>
    <n v="44"/>
    <d v="2024-05-18T00:00:00"/>
    <x v="1"/>
    <x v="0"/>
    <x v="0"/>
    <n v="5.7797999999999998"/>
    <n v="144"/>
    <n v="2024"/>
    <s v="April"/>
  </r>
  <r>
    <s v="DINS-CLM-100856"/>
    <s v="DINS-CUS-500856"/>
    <s v="DINS-POL-200856"/>
    <x v="1"/>
    <x v="0"/>
    <x v="4"/>
    <x v="1"/>
    <x v="7"/>
    <d v="2024-02-14T00:00:00"/>
    <s v="Monthly"/>
    <d v="2024-12-19T00:00:00"/>
    <x v="1"/>
    <n v="67550"/>
    <n v="5932"/>
    <n v="8"/>
    <d v="2024-12-27T00:00:00"/>
    <x v="0"/>
    <x v="0"/>
    <x v="2"/>
    <n v="11.3874"/>
    <n v="309"/>
    <n v="2024"/>
    <s v="December"/>
  </r>
  <r>
    <s v="DINS-CLM-100857"/>
    <s v="DINS-CUS-500857"/>
    <s v="DINS-POL-200857"/>
    <x v="5"/>
    <x v="0"/>
    <x v="0"/>
    <x v="2"/>
    <x v="0"/>
    <d v="2023-01-29T00:00:00"/>
    <s v="Annual"/>
    <d v="2024-01-09T00:00:00"/>
    <x v="1"/>
    <n v="62278"/>
    <n v="4254"/>
    <n v="24"/>
    <d v="2024-02-02T00:00:00"/>
    <x v="0"/>
    <x v="0"/>
    <x v="0"/>
    <n v="14.639900000000001"/>
    <n v="345"/>
    <n v="2024"/>
    <s v="January"/>
  </r>
  <r>
    <s v="DINS-CLM-100858"/>
    <s v="DINS-CUS-500858"/>
    <s v="DINS-POL-200858"/>
    <x v="1"/>
    <x v="1"/>
    <x v="2"/>
    <x v="1"/>
    <x v="0"/>
    <d v="2024-06-04T00:00:00"/>
    <s v="Annual"/>
    <d v="2024-07-31T00:00:00"/>
    <x v="0"/>
    <n v="60778"/>
    <n v="4104"/>
    <s v="N/A - Not Settled"/>
    <s v="N/A - Not Settled"/>
    <x v="0"/>
    <x v="0"/>
    <x v="1"/>
    <n v="14.8095"/>
    <n v="57"/>
    <n v="2024"/>
    <s v="July"/>
  </r>
  <r>
    <s v="DINS-CLM-100859"/>
    <s v="DINS-CUS-500859"/>
    <s v="DINS-POL-200859"/>
    <x v="4"/>
    <x v="0"/>
    <x v="3"/>
    <x v="0"/>
    <x v="5"/>
    <d v="2024-06-18T00:00:00"/>
    <s v="Annual"/>
    <d v="2024-07-27T00:00:00"/>
    <x v="1"/>
    <n v="11459"/>
    <n v="4207"/>
    <n v="4"/>
    <d v="2024-07-31T00:00:00"/>
    <x v="0"/>
    <x v="0"/>
    <x v="2"/>
    <n v="2.7238000000000002"/>
    <n v="39"/>
    <n v="2024"/>
    <s v="July"/>
  </r>
  <r>
    <s v="DINS-CLM-100860"/>
    <s v="DINS-CUS-500860"/>
    <s v="DINS-POL-200860"/>
    <x v="4"/>
    <x v="1"/>
    <x v="4"/>
    <x v="1"/>
    <x v="2"/>
    <d v="2023-06-07T00:00:00"/>
    <s v="Monthly"/>
    <d v="2024-02-13T00:00:00"/>
    <x v="1"/>
    <n v="9267"/>
    <n v="6831"/>
    <n v="8"/>
    <d v="2024-02-21T00:00:00"/>
    <x v="0"/>
    <x v="0"/>
    <x v="0"/>
    <n v="1.3566"/>
    <n v="251"/>
    <n v="2024"/>
    <s v="February"/>
  </r>
  <r>
    <s v="DINS-CLM-100861"/>
    <s v="DINS-CUS-500861"/>
    <s v="DINS-POL-200861"/>
    <x v="0"/>
    <x v="0"/>
    <x v="5"/>
    <x v="1"/>
    <x v="4"/>
    <d v="2024-04-20T00:00:00"/>
    <s v="Monthly"/>
    <d v="2024-06-27T00:00:00"/>
    <x v="0"/>
    <n v="45269"/>
    <n v="4947"/>
    <s v="N/A - Not Settled"/>
    <s v="N/A - Not Settled"/>
    <x v="1"/>
    <x v="1"/>
    <x v="2"/>
    <n v="9.1508000000000003"/>
    <n v="68"/>
    <n v="2024"/>
    <s v="June"/>
  </r>
  <r>
    <s v="DINS-CLM-100862"/>
    <s v="DINS-CUS-500862"/>
    <s v="DINS-POL-200862"/>
    <x v="0"/>
    <x v="1"/>
    <x v="0"/>
    <x v="2"/>
    <x v="2"/>
    <d v="2023-08-18T00:00:00"/>
    <s v="Annual"/>
    <d v="2024-04-19T00:00:00"/>
    <x v="1"/>
    <n v="42408"/>
    <n v="4374"/>
    <n v="22"/>
    <d v="2024-05-11T00:00:00"/>
    <x v="0"/>
    <x v="0"/>
    <x v="2"/>
    <n v="9.6954999999999991"/>
    <n v="245"/>
    <n v="2024"/>
    <s v="April"/>
  </r>
  <r>
    <s v="DINS-CLM-100863"/>
    <s v="DINS-CUS-500863"/>
    <s v="DINS-POL-200863"/>
    <x v="0"/>
    <x v="2"/>
    <x v="3"/>
    <x v="1"/>
    <x v="1"/>
    <d v="2024-03-28T00:00:00"/>
    <s v="Monthly"/>
    <d v="2024-06-08T00:00:00"/>
    <x v="1"/>
    <n v="10401"/>
    <n v="4798"/>
    <n v="14"/>
    <d v="2024-06-22T00:00:00"/>
    <x v="0"/>
    <x v="0"/>
    <x v="1"/>
    <n v="2.1678000000000002"/>
    <n v="72"/>
    <n v="2024"/>
    <s v="June"/>
  </r>
  <r>
    <s v="DINS-CLM-100864"/>
    <s v="DINS-CUS-500864"/>
    <s v="DINS-POL-200864"/>
    <x v="2"/>
    <x v="2"/>
    <x v="4"/>
    <x v="1"/>
    <x v="7"/>
    <d v="2024-01-09T00:00:00"/>
    <s v="Annual"/>
    <d v="2024-05-02T00:00:00"/>
    <x v="2"/>
    <n v="30583"/>
    <n v="8812"/>
    <s v="N/A - Not Settled"/>
    <s v="N/A - Not Settled"/>
    <x v="0"/>
    <x v="0"/>
    <x v="2"/>
    <n v="3.4706000000000001"/>
    <n v="114"/>
    <n v="2024"/>
    <s v="May"/>
  </r>
  <r>
    <s v="DINS-CLM-100865"/>
    <s v="DINS-CUS-500865"/>
    <s v="DINS-POL-200865"/>
    <x v="2"/>
    <x v="2"/>
    <x v="5"/>
    <x v="2"/>
    <x v="1"/>
    <d v="2023-05-16T00:00:00"/>
    <s v="Monthly"/>
    <d v="2024-02-03T00:00:00"/>
    <x v="2"/>
    <n v="13096"/>
    <n v="8630"/>
    <s v="N/A - Not Settled"/>
    <s v="N/A - Not Settled"/>
    <x v="0"/>
    <x v="0"/>
    <x v="1"/>
    <n v="1.5175000000000001"/>
    <n v="263"/>
    <n v="2024"/>
    <s v="February"/>
  </r>
  <r>
    <s v="DINS-CLM-100866"/>
    <s v="DINS-CUS-500866"/>
    <s v="DINS-POL-200866"/>
    <x v="1"/>
    <x v="2"/>
    <x v="3"/>
    <x v="0"/>
    <x v="4"/>
    <d v="2024-03-30T00:00:00"/>
    <s v="Monthly"/>
    <d v="2024-06-23T00:00:00"/>
    <x v="2"/>
    <n v="17198"/>
    <n v="3460"/>
    <s v="N/A - Not Settled"/>
    <s v="N/A - Not Settled"/>
    <x v="0"/>
    <x v="0"/>
    <x v="0"/>
    <n v="4.9705000000000004"/>
    <n v="85"/>
    <n v="2024"/>
    <s v="June"/>
  </r>
  <r>
    <s v="DINS-CLM-100867"/>
    <s v="DINS-CUS-500867"/>
    <s v="DINS-POL-200867"/>
    <x v="0"/>
    <x v="2"/>
    <x v="1"/>
    <x v="2"/>
    <x v="1"/>
    <d v="2023-04-04T00:00:00"/>
    <s v="Annual"/>
    <d v="2024-02-20T00:00:00"/>
    <x v="1"/>
    <n v="46991"/>
    <n v="3031"/>
    <n v="26"/>
    <d v="2024-03-17T00:00:00"/>
    <x v="0"/>
    <x v="0"/>
    <x v="2"/>
    <n v="15.503500000000001"/>
    <n v="322"/>
    <n v="2024"/>
    <s v="February"/>
  </r>
  <r>
    <s v="DINS-CLM-100868"/>
    <s v="DINS-CUS-500868"/>
    <s v="DINS-POL-200868"/>
    <x v="1"/>
    <x v="2"/>
    <x v="0"/>
    <x v="2"/>
    <x v="1"/>
    <d v="2023-09-09T00:00:00"/>
    <s v="Annual"/>
    <d v="2024-03-26T00:00:00"/>
    <x v="0"/>
    <n v="38221"/>
    <n v="8542"/>
    <s v="N/A - Not Settled"/>
    <s v="N/A - Not Settled"/>
    <x v="0"/>
    <x v="0"/>
    <x v="2"/>
    <n v="4.4744999999999999"/>
    <n v="199"/>
    <n v="2024"/>
    <s v="March"/>
  </r>
  <r>
    <s v="DINS-CLM-100869"/>
    <s v="DINS-CUS-500869"/>
    <s v="DINS-POL-200869"/>
    <x v="5"/>
    <x v="1"/>
    <x v="1"/>
    <x v="1"/>
    <x v="5"/>
    <d v="2023-06-18T00:00:00"/>
    <s v="Monthly"/>
    <d v="2024-06-11T00:00:00"/>
    <x v="1"/>
    <n v="49287"/>
    <n v="7349"/>
    <n v="36"/>
    <d v="2024-07-17T00:00:00"/>
    <x v="0"/>
    <x v="0"/>
    <x v="1"/>
    <n v="6.7065999999999999"/>
    <n v="359"/>
    <n v="2024"/>
    <s v="June"/>
  </r>
  <r>
    <s v="DINS-CLM-100870"/>
    <s v="DINS-CUS-500870"/>
    <s v="DINS-POL-200870"/>
    <x v="4"/>
    <x v="1"/>
    <x v="1"/>
    <x v="2"/>
    <x v="6"/>
    <d v="2023-09-20T00:00:00"/>
    <s v="Monthly"/>
    <d v="2024-08-07T00:00:00"/>
    <x v="1"/>
    <n v="12281"/>
    <n v="6481"/>
    <n v="33"/>
    <d v="2024-09-09T00:00:00"/>
    <x v="0"/>
    <x v="0"/>
    <x v="1"/>
    <n v="1.8949"/>
    <n v="322"/>
    <n v="2024"/>
    <s v="August"/>
  </r>
  <r>
    <s v="DINS-CLM-100871"/>
    <s v="DINS-CUS-500871"/>
    <s v="DINS-POL-200871"/>
    <x v="0"/>
    <x v="2"/>
    <x v="1"/>
    <x v="2"/>
    <x v="7"/>
    <d v="2023-09-22T00:00:00"/>
    <s v="Monthly"/>
    <d v="2024-05-21T00:00:00"/>
    <x v="1"/>
    <n v="29635"/>
    <n v="7092"/>
    <n v="30"/>
    <d v="2024-06-20T00:00:00"/>
    <x v="0"/>
    <x v="0"/>
    <x v="1"/>
    <n v="4.1787000000000001"/>
    <n v="242"/>
    <n v="2024"/>
    <s v="May"/>
  </r>
  <r>
    <s v="DINS-CLM-100872"/>
    <s v="DINS-CUS-500872"/>
    <s v="DINS-POL-200872"/>
    <x v="2"/>
    <x v="2"/>
    <x v="1"/>
    <x v="2"/>
    <x v="2"/>
    <d v="2023-11-13T00:00:00"/>
    <s v="Annual"/>
    <d v="2024-09-23T00:00:00"/>
    <x v="0"/>
    <n v="14702"/>
    <n v="5634"/>
    <s v="N/A - Not Settled"/>
    <s v="N/A - Not Settled"/>
    <x v="0"/>
    <x v="0"/>
    <x v="1"/>
    <n v="2.6095000000000002"/>
    <n v="315"/>
    <n v="2024"/>
    <s v="September"/>
  </r>
  <r>
    <s v="DINS-CLM-100873"/>
    <s v="DINS-CUS-500873"/>
    <s v="DINS-POL-200873"/>
    <x v="1"/>
    <x v="0"/>
    <x v="3"/>
    <x v="2"/>
    <x v="6"/>
    <d v="2023-11-15T00:00:00"/>
    <s v="Monthly"/>
    <d v="2024-05-18T00:00:00"/>
    <x v="1"/>
    <n v="36973"/>
    <n v="4336"/>
    <n v="28"/>
    <d v="2024-06-15T00:00:00"/>
    <x v="0"/>
    <x v="0"/>
    <x v="0"/>
    <n v="8.5269999999999992"/>
    <n v="185"/>
    <n v="2024"/>
    <s v="May"/>
  </r>
  <r>
    <s v="DINS-CLM-100874"/>
    <s v="DINS-CUS-500874"/>
    <s v="DINS-POL-200874"/>
    <x v="3"/>
    <x v="2"/>
    <x v="3"/>
    <x v="1"/>
    <x v="0"/>
    <d v="2023-07-30T00:00:00"/>
    <s v="Monthly"/>
    <d v="2024-07-22T00:00:00"/>
    <x v="1"/>
    <n v="53439"/>
    <n v="2445"/>
    <n v="17"/>
    <d v="2024-08-08T00:00:00"/>
    <x v="0"/>
    <x v="0"/>
    <x v="0"/>
    <n v="21.856400000000001"/>
    <n v="358"/>
    <n v="2024"/>
    <s v="July"/>
  </r>
  <r>
    <s v="DINS-CLM-100875"/>
    <s v="DINS-CUS-500875"/>
    <s v="DINS-POL-200875"/>
    <x v="0"/>
    <x v="1"/>
    <x v="2"/>
    <x v="0"/>
    <x v="6"/>
    <d v="2024-04-08T00:00:00"/>
    <s v="Monthly"/>
    <d v="2024-08-17T00:00:00"/>
    <x v="1"/>
    <n v="59974"/>
    <n v="4594"/>
    <n v="20"/>
    <d v="2024-09-06T00:00:00"/>
    <x v="0"/>
    <x v="0"/>
    <x v="0"/>
    <n v="13.0549"/>
    <n v="131"/>
    <n v="2024"/>
    <s v="August"/>
  </r>
  <r>
    <s v="DINS-CLM-100876"/>
    <s v="DINS-CUS-500876"/>
    <s v="DINS-POL-200876"/>
    <x v="2"/>
    <x v="2"/>
    <x v="1"/>
    <x v="2"/>
    <x v="4"/>
    <d v="2023-11-04T00:00:00"/>
    <s v="Monthly"/>
    <d v="2024-03-20T00:00:00"/>
    <x v="1"/>
    <n v="17485"/>
    <n v="927"/>
    <n v="10"/>
    <d v="2024-03-30T00:00:00"/>
    <x v="0"/>
    <x v="0"/>
    <x v="2"/>
    <n v="18.861899999999999"/>
    <n v="137"/>
    <n v="2024"/>
    <s v="March"/>
  </r>
  <r>
    <s v="DINS-CLM-100877"/>
    <s v="DINS-CUS-500877"/>
    <s v="DINS-POL-200877"/>
    <x v="0"/>
    <x v="2"/>
    <x v="1"/>
    <x v="0"/>
    <x v="6"/>
    <d v="2024-05-09T00:00:00"/>
    <s v="Monthly"/>
    <d v="2024-07-06T00:00:00"/>
    <x v="1"/>
    <n v="56319"/>
    <n v="6786"/>
    <n v="27"/>
    <d v="2024-08-02T00:00:00"/>
    <x v="0"/>
    <x v="0"/>
    <x v="1"/>
    <n v="8.2993000000000006"/>
    <n v="58"/>
    <n v="2024"/>
    <s v="July"/>
  </r>
  <r>
    <s v="DINS-CLM-100878"/>
    <s v="DINS-CUS-500878"/>
    <s v="DINS-POL-200878"/>
    <x v="2"/>
    <x v="0"/>
    <x v="5"/>
    <x v="1"/>
    <x v="7"/>
    <d v="2024-02-16T00:00:00"/>
    <s v="Annual"/>
    <d v="2024-11-17T00:00:00"/>
    <x v="2"/>
    <n v="16284"/>
    <n v="600"/>
    <s v="N/A - Not Settled"/>
    <s v="N/A - Not Settled"/>
    <x v="0"/>
    <x v="0"/>
    <x v="1"/>
    <n v="27.14"/>
    <n v="275"/>
    <n v="2024"/>
    <s v="November"/>
  </r>
  <r>
    <s v="DINS-CLM-100879"/>
    <s v="DINS-CUS-500879"/>
    <s v="DINS-POL-200879"/>
    <x v="0"/>
    <x v="2"/>
    <x v="5"/>
    <x v="2"/>
    <x v="1"/>
    <d v="2024-01-12T00:00:00"/>
    <s v="Annual"/>
    <d v="2024-12-24T00:00:00"/>
    <x v="1"/>
    <n v="3064"/>
    <n v="2151"/>
    <n v="18"/>
    <d v="2025-01-11T00:00:00"/>
    <x v="0"/>
    <x v="0"/>
    <x v="1"/>
    <n v="1.4245000000000001"/>
    <n v="347"/>
    <n v="2024"/>
    <s v="December"/>
  </r>
  <r>
    <s v="DINS-CLM-100880"/>
    <s v="DINS-CUS-500880"/>
    <s v="DINS-POL-200880"/>
    <x v="5"/>
    <x v="2"/>
    <x v="1"/>
    <x v="2"/>
    <x v="2"/>
    <d v="2023-07-06T00:00:00"/>
    <s v="Monthly"/>
    <d v="2024-05-01T00:00:00"/>
    <x v="1"/>
    <n v="18784"/>
    <n v="6172"/>
    <n v="14"/>
    <d v="2024-05-15T00:00:00"/>
    <x v="0"/>
    <x v="0"/>
    <x v="0"/>
    <n v="3.0434000000000001"/>
    <n v="300"/>
    <n v="2024"/>
    <s v="May"/>
  </r>
  <r>
    <s v="DINS-CLM-100881"/>
    <s v="DINS-CUS-500881"/>
    <s v="DINS-POL-200881"/>
    <x v="3"/>
    <x v="2"/>
    <x v="2"/>
    <x v="1"/>
    <x v="6"/>
    <d v="2024-04-27T00:00:00"/>
    <s v="Monthly"/>
    <d v="2024-08-14T00:00:00"/>
    <x v="1"/>
    <n v="93131"/>
    <n v="622"/>
    <n v="15"/>
    <d v="2024-08-29T00:00:00"/>
    <x v="0"/>
    <x v="0"/>
    <x v="2"/>
    <n v="149.72829999999999"/>
    <n v="109"/>
    <n v="2024"/>
    <s v="August"/>
  </r>
  <r>
    <s v="DINS-CLM-100882"/>
    <s v="DINS-CUS-500882"/>
    <s v="DINS-POL-200882"/>
    <x v="0"/>
    <x v="0"/>
    <x v="2"/>
    <x v="1"/>
    <x v="5"/>
    <d v="2024-01-10T00:00:00"/>
    <s v="Annual"/>
    <d v="2024-05-25T00:00:00"/>
    <x v="1"/>
    <n v="14796"/>
    <n v="1829"/>
    <n v="20"/>
    <d v="2024-06-14T00:00:00"/>
    <x v="1"/>
    <x v="1"/>
    <x v="2"/>
    <n v="8.0897000000000006"/>
    <n v="136"/>
    <n v="2024"/>
    <s v="May"/>
  </r>
  <r>
    <s v="DINS-CLM-100883"/>
    <s v="DINS-CUS-500883"/>
    <s v="DINS-POL-200883"/>
    <x v="0"/>
    <x v="0"/>
    <x v="2"/>
    <x v="0"/>
    <x v="3"/>
    <d v="2023-12-24T00:00:00"/>
    <s v="Monthly"/>
    <d v="2024-11-09T00:00:00"/>
    <x v="1"/>
    <n v="57175"/>
    <n v="4703"/>
    <n v="35"/>
    <d v="2024-12-14T00:00:00"/>
    <x v="0"/>
    <x v="0"/>
    <x v="1"/>
    <n v="12.1571"/>
    <n v="321"/>
    <n v="2024"/>
    <s v="November"/>
  </r>
  <r>
    <s v="DINS-CLM-100884"/>
    <s v="DINS-CUS-500884"/>
    <s v="DINS-POL-200884"/>
    <x v="3"/>
    <x v="0"/>
    <x v="0"/>
    <x v="0"/>
    <x v="1"/>
    <d v="2023-05-24T00:00:00"/>
    <s v="Annual"/>
    <d v="2024-04-09T00:00:00"/>
    <x v="1"/>
    <n v="68360"/>
    <n v="3570"/>
    <n v="33"/>
    <d v="2024-05-12T00:00:00"/>
    <x v="0"/>
    <x v="0"/>
    <x v="2"/>
    <n v="19.148499999999999"/>
    <n v="321"/>
    <n v="2024"/>
    <s v="April"/>
  </r>
  <r>
    <s v="DINS-CLM-100885"/>
    <s v="DINS-CUS-500885"/>
    <s v="DINS-POL-200885"/>
    <x v="0"/>
    <x v="1"/>
    <x v="0"/>
    <x v="2"/>
    <x v="3"/>
    <d v="2023-10-21T00:00:00"/>
    <s v="Annual"/>
    <d v="2024-09-27T00:00:00"/>
    <x v="1"/>
    <n v="15274"/>
    <n v="3303"/>
    <n v="33"/>
    <d v="2024-10-30T00:00:00"/>
    <x v="1"/>
    <x v="0"/>
    <x v="2"/>
    <n v="4.6242999999999999"/>
    <n v="342"/>
    <n v="2024"/>
    <s v="September"/>
  </r>
  <r>
    <s v="DINS-CLM-100886"/>
    <s v="DINS-CUS-500886"/>
    <s v="DINS-POL-200886"/>
    <x v="0"/>
    <x v="2"/>
    <x v="4"/>
    <x v="0"/>
    <x v="7"/>
    <d v="2023-09-30T00:00:00"/>
    <s v="Annual"/>
    <d v="2024-01-05T00:00:00"/>
    <x v="1"/>
    <n v="28459"/>
    <n v="2827"/>
    <n v="44"/>
    <d v="2024-02-18T00:00:00"/>
    <x v="0"/>
    <x v="0"/>
    <x v="1"/>
    <n v="10.0669"/>
    <n v="97"/>
    <n v="2024"/>
    <s v="January"/>
  </r>
  <r>
    <s v="DINS-CLM-100887"/>
    <s v="DINS-CUS-500887"/>
    <s v="DINS-POL-200887"/>
    <x v="0"/>
    <x v="0"/>
    <x v="1"/>
    <x v="2"/>
    <x v="6"/>
    <d v="2024-04-22T00:00:00"/>
    <s v="Monthly"/>
    <d v="2024-09-20T00:00:00"/>
    <x v="0"/>
    <n v="58200"/>
    <n v="2995"/>
    <s v="N/A - Not Settled"/>
    <s v="N/A - Not Settled"/>
    <x v="0"/>
    <x v="0"/>
    <x v="2"/>
    <n v="19.432400000000001"/>
    <n v="151"/>
    <n v="2024"/>
    <s v="September"/>
  </r>
  <r>
    <s v="DINS-CLM-100888"/>
    <s v="DINS-CUS-500888"/>
    <s v="DINS-POL-200888"/>
    <x v="2"/>
    <x v="2"/>
    <x v="2"/>
    <x v="0"/>
    <x v="1"/>
    <d v="2024-07-10T00:00:00"/>
    <s v="Annual"/>
    <d v="2024-12-22T00:00:00"/>
    <x v="2"/>
    <n v="14754"/>
    <n v="1003"/>
    <s v="N/A - Not Settled"/>
    <s v="N/A - Not Settled"/>
    <x v="1"/>
    <x v="1"/>
    <x v="0"/>
    <n v="14.709899999999999"/>
    <n v="165"/>
    <n v="2024"/>
    <s v="December"/>
  </r>
  <r>
    <s v="DINS-CLM-100889"/>
    <s v="DINS-CUS-500889"/>
    <s v="DINS-POL-200889"/>
    <x v="1"/>
    <x v="0"/>
    <x v="3"/>
    <x v="1"/>
    <x v="6"/>
    <d v="2023-11-21T00:00:00"/>
    <s v="Monthly"/>
    <d v="2024-10-26T00:00:00"/>
    <x v="1"/>
    <n v="35948"/>
    <n v="2799"/>
    <n v="11"/>
    <d v="2024-11-06T00:00:00"/>
    <x v="1"/>
    <x v="1"/>
    <x v="0"/>
    <n v="12.8432"/>
    <n v="340"/>
    <n v="2024"/>
    <s v="October"/>
  </r>
  <r>
    <s v="DINS-CLM-100890"/>
    <s v="DINS-CUS-500890"/>
    <s v="DINS-POL-200890"/>
    <x v="5"/>
    <x v="2"/>
    <x v="3"/>
    <x v="0"/>
    <x v="0"/>
    <d v="2023-08-25T00:00:00"/>
    <s v="Monthly"/>
    <d v="2024-05-31T00:00:00"/>
    <x v="0"/>
    <n v="16122"/>
    <n v="8482"/>
    <s v="N/A - Not Settled"/>
    <s v="N/A - Not Settled"/>
    <x v="0"/>
    <x v="0"/>
    <x v="1"/>
    <n v="1.9007000000000001"/>
    <n v="280"/>
    <n v="2024"/>
    <s v="May"/>
  </r>
  <r>
    <s v="DINS-CLM-100891"/>
    <s v="DINS-CUS-500891"/>
    <s v="DINS-POL-200891"/>
    <x v="4"/>
    <x v="2"/>
    <x v="4"/>
    <x v="1"/>
    <x v="6"/>
    <d v="2023-09-14T00:00:00"/>
    <s v="Monthly"/>
    <d v="2024-09-08T00:00:00"/>
    <x v="1"/>
    <n v="17337"/>
    <n v="5629"/>
    <n v="30"/>
    <d v="2024-10-08T00:00:00"/>
    <x v="0"/>
    <x v="0"/>
    <x v="2"/>
    <n v="3.0798999999999999"/>
    <n v="360"/>
    <n v="2024"/>
    <s v="September"/>
  </r>
  <r>
    <s v="DINS-CLM-100892"/>
    <s v="DINS-CUS-500892"/>
    <s v="DINS-POL-200892"/>
    <x v="3"/>
    <x v="2"/>
    <x v="3"/>
    <x v="2"/>
    <x v="7"/>
    <d v="2024-01-17T00:00:00"/>
    <s v="Annual"/>
    <d v="2024-07-18T00:00:00"/>
    <x v="0"/>
    <n v="52419"/>
    <n v="6450"/>
    <s v="N/A - Not Settled"/>
    <s v="N/A - Not Settled"/>
    <x v="0"/>
    <x v="0"/>
    <x v="2"/>
    <n v="8.1270000000000007"/>
    <n v="183"/>
    <n v="2024"/>
    <s v="July"/>
  </r>
  <r>
    <s v="DINS-CLM-100893"/>
    <s v="DINS-CUS-500893"/>
    <s v="DINS-POL-200893"/>
    <x v="5"/>
    <x v="0"/>
    <x v="3"/>
    <x v="2"/>
    <x v="2"/>
    <d v="2024-03-08T00:00:00"/>
    <s v="Monthly"/>
    <d v="2024-08-25T00:00:00"/>
    <x v="0"/>
    <n v="18295"/>
    <n v="579"/>
    <s v="N/A - Not Settled"/>
    <s v="N/A - Not Settled"/>
    <x v="0"/>
    <x v="0"/>
    <x v="1"/>
    <n v="31.5976"/>
    <n v="170"/>
    <n v="2024"/>
    <s v="August"/>
  </r>
  <r>
    <s v="DINS-CLM-100894"/>
    <s v="DINS-CUS-500894"/>
    <s v="DINS-POL-200894"/>
    <x v="2"/>
    <x v="0"/>
    <x v="1"/>
    <x v="2"/>
    <x v="5"/>
    <d v="2023-05-27T00:00:00"/>
    <s v="Annual"/>
    <d v="2024-04-24T00:00:00"/>
    <x v="1"/>
    <n v="16614"/>
    <n v="2246"/>
    <n v="8"/>
    <d v="2024-05-02T00:00:00"/>
    <x v="0"/>
    <x v="0"/>
    <x v="1"/>
    <n v="7.3971999999999998"/>
    <n v="333"/>
    <n v="2024"/>
    <s v="April"/>
  </r>
  <r>
    <s v="DINS-CLM-100895"/>
    <s v="DINS-CUS-500895"/>
    <s v="DINS-POL-200895"/>
    <x v="2"/>
    <x v="0"/>
    <x v="0"/>
    <x v="2"/>
    <x v="0"/>
    <d v="2024-01-31T00:00:00"/>
    <s v="Annual"/>
    <d v="2024-11-12T00:00:00"/>
    <x v="1"/>
    <n v="26320"/>
    <n v="2723"/>
    <n v="31"/>
    <d v="2024-12-13T00:00:00"/>
    <x v="0"/>
    <x v="0"/>
    <x v="0"/>
    <n v="9.6658000000000008"/>
    <n v="286"/>
    <n v="2024"/>
    <s v="November"/>
  </r>
  <r>
    <s v="DINS-CLM-100896"/>
    <s v="DINS-CUS-500896"/>
    <s v="DINS-POL-200896"/>
    <x v="2"/>
    <x v="2"/>
    <x v="5"/>
    <x v="2"/>
    <x v="2"/>
    <d v="2024-07-12T00:00:00"/>
    <s v="Annual"/>
    <d v="2024-12-08T00:00:00"/>
    <x v="1"/>
    <n v="15278"/>
    <n v="5316"/>
    <n v="40"/>
    <d v="2025-01-17T00:00:00"/>
    <x v="1"/>
    <x v="1"/>
    <x v="0"/>
    <n v="2.8740000000000001"/>
    <n v="149"/>
    <n v="2024"/>
    <s v="December"/>
  </r>
  <r>
    <s v="DINS-CLM-100897"/>
    <s v="DINS-CUS-500897"/>
    <s v="DINS-POL-200897"/>
    <x v="0"/>
    <x v="1"/>
    <x v="0"/>
    <x v="0"/>
    <x v="6"/>
    <d v="2023-12-11T00:00:00"/>
    <s v="Annual"/>
    <d v="2024-10-20T00:00:00"/>
    <x v="1"/>
    <n v="33207"/>
    <n v="4541"/>
    <n v="33"/>
    <d v="2024-11-22T00:00:00"/>
    <x v="0"/>
    <x v="0"/>
    <x v="2"/>
    <n v="7.3127000000000004"/>
    <n v="314"/>
    <n v="2024"/>
    <s v="October"/>
  </r>
  <r>
    <s v="DINS-CLM-100898"/>
    <s v="DINS-CUS-500898"/>
    <s v="DINS-POL-200898"/>
    <x v="1"/>
    <x v="2"/>
    <x v="1"/>
    <x v="0"/>
    <x v="4"/>
    <d v="2023-11-20T00:00:00"/>
    <s v="Monthly"/>
    <d v="2024-05-04T00:00:00"/>
    <x v="1"/>
    <n v="64279"/>
    <n v="6577"/>
    <n v="4"/>
    <d v="2024-05-08T00:00:00"/>
    <x v="0"/>
    <x v="0"/>
    <x v="0"/>
    <n v="9.7733000000000008"/>
    <n v="166"/>
    <n v="2024"/>
    <s v="May"/>
  </r>
  <r>
    <s v="DINS-CLM-100899"/>
    <s v="DINS-CUS-500899"/>
    <s v="DINS-POL-200899"/>
    <x v="4"/>
    <x v="1"/>
    <x v="2"/>
    <x v="0"/>
    <x v="6"/>
    <d v="2024-01-24T00:00:00"/>
    <s v="Monthly"/>
    <d v="2024-05-31T00:00:00"/>
    <x v="1"/>
    <n v="3566"/>
    <n v="8126"/>
    <n v="5"/>
    <d v="2024-06-05T00:00:00"/>
    <x v="1"/>
    <x v="0"/>
    <x v="0"/>
    <n v="0.43880000000000002"/>
    <n v="128"/>
    <n v="2024"/>
    <s v="May"/>
  </r>
  <r>
    <s v="DINS-CLM-100900"/>
    <s v="DINS-CUS-500900"/>
    <s v="DINS-POL-200900"/>
    <x v="0"/>
    <x v="2"/>
    <x v="3"/>
    <x v="0"/>
    <x v="1"/>
    <d v="2023-12-28T00:00:00"/>
    <s v="Monthly"/>
    <d v="2024-01-30T00:00:00"/>
    <x v="1"/>
    <n v="55400"/>
    <n v="1713"/>
    <n v="28"/>
    <d v="2024-02-27T00:00:00"/>
    <x v="0"/>
    <x v="0"/>
    <x v="1"/>
    <n v="32.340899999999998"/>
    <n v="33"/>
    <n v="2024"/>
    <s v="January"/>
  </r>
  <r>
    <s v="DINS-CLM-100901"/>
    <s v="DINS-CUS-500901"/>
    <s v="DINS-POL-200901"/>
    <x v="2"/>
    <x v="1"/>
    <x v="2"/>
    <x v="0"/>
    <x v="4"/>
    <d v="2024-01-30T00:00:00"/>
    <s v="Monthly"/>
    <d v="2024-10-30T00:00:00"/>
    <x v="1"/>
    <n v="4876"/>
    <n v="8988"/>
    <n v="18"/>
    <d v="2024-11-17T00:00:00"/>
    <x v="0"/>
    <x v="0"/>
    <x v="2"/>
    <n v="0.54249999999999998"/>
    <n v="274"/>
    <n v="2024"/>
    <s v="October"/>
  </r>
  <r>
    <s v="DINS-CLM-100902"/>
    <s v="DINS-CUS-500902"/>
    <s v="DINS-POL-200902"/>
    <x v="1"/>
    <x v="2"/>
    <x v="2"/>
    <x v="2"/>
    <x v="6"/>
    <d v="2023-06-09T00:00:00"/>
    <s v="Annual"/>
    <d v="2024-02-21T00:00:00"/>
    <x v="2"/>
    <n v="45304"/>
    <n v="2416"/>
    <s v="N/A - Not Settled"/>
    <s v="N/A - Not Settled"/>
    <x v="0"/>
    <x v="0"/>
    <x v="1"/>
    <n v="18.7517"/>
    <n v="257"/>
    <n v="2024"/>
    <s v="February"/>
  </r>
  <r>
    <s v="DINS-CLM-100903"/>
    <s v="DINS-CUS-500903"/>
    <s v="DINS-POL-200903"/>
    <x v="0"/>
    <x v="2"/>
    <x v="5"/>
    <x v="0"/>
    <x v="1"/>
    <d v="2023-09-29T00:00:00"/>
    <s v="Annual"/>
    <d v="2024-05-18T00:00:00"/>
    <x v="0"/>
    <n v="13017"/>
    <n v="2418"/>
    <s v="N/A - Not Settled"/>
    <s v="N/A - Not Settled"/>
    <x v="0"/>
    <x v="0"/>
    <x v="2"/>
    <n v="5.3834"/>
    <n v="232"/>
    <n v="2024"/>
    <s v="May"/>
  </r>
  <r>
    <s v="DINS-CLM-100904"/>
    <s v="DINS-CUS-500904"/>
    <s v="DINS-POL-200904"/>
    <x v="0"/>
    <x v="1"/>
    <x v="5"/>
    <x v="2"/>
    <x v="4"/>
    <d v="2024-01-11T00:00:00"/>
    <s v="Annual"/>
    <d v="2024-05-09T00:00:00"/>
    <x v="1"/>
    <n v="7886"/>
    <n v="7835"/>
    <n v="14"/>
    <d v="2024-05-23T00:00:00"/>
    <x v="0"/>
    <x v="0"/>
    <x v="2"/>
    <n v="1.0065"/>
    <n v="119"/>
    <n v="2024"/>
    <s v="May"/>
  </r>
  <r>
    <s v="DINS-CLM-100905"/>
    <s v="DINS-CUS-500905"/>
    <s v="DINS-POL-200905"/>
    <x v="3"/>
    <x v="0"/>
    <x v="1"/>
    <x v="2"/>
    <x v="5"/>
    <d v="2023-11-19T00:00:00"/>
    <s v="Annual"/>
    <d v="2024-04-17T00:00:00"/>
    <x v="1"/>
    <n v="50730"/>
    <n v="7129"/>
    <n v="4"/>
    <d v="2024-04-21T00:00:00"/>
    <x v="0"/>
    <x v="0"/>
    <x v="1"/>
    <n v="7.1159999999999997"/>
    <n v="150"/>
    <n v="2024"/>
    <s v="April"/>
  </r>
  <r>
    <s v="DINS-CLM-100906"/>
    <s v="DINS-CUS-500906"/>
    <s v="DINS-POL-200906"/>
    <x v="3"/>
    <x v="0"/>
    <x v="3"/>
    <x v="0"/>
    <x v="3"/>
    <d v="2024-04-20T00:00:00"/>
    <s v="Annual"/>
    <d v="2024-12-30T00:00:00"/>
    <x v="1"/>
    <n v="33761"/>
    <n v="2046"/>
    <n v="14"/>
    <d v="2025-01-13T00:00:00"/>
    <x v="0"/>
    <x v="0"/>
    <x v="1"/>
    <n v="16.501000000000001"/>
    <n v="254"/>
    <n v="2024"/>
    <s v="December"/>
  </r>
  <r>
    <s v="DINS-CLM-100907"/>
    <s v="DINS-CUS-500907"/>
    <s v="DINS-POL-200907"/>
    <x v="5"/>
    <x v="2"/>
    <x v="5"/>
    <x v="1"/>
    <x v="7"/>
    <d v="2023-06-28T00:00:00"/>
    <s v="Annual"/>
    <d v="2024-03-26T00:00:00"/>
    <x v="2"/>
    <n v="36925"/>
    <n v="8912"/>
    <s v="N/A - Not Settled"/>
    <s v="N/A - Not Settled"/>
    <x v="0"/>
    <x v="0"/>
    <x v="2"/>
    <n v="4.1433"/>
    <n v="272"/>
    <n v="2024"/>
    <s v="March"/>
  </r>
  <r>
    <s v="DINS-CLM-100908"/>
    <s v="DINS-CUS-500908"/>
    <s v="DINS-POL-200908"/>
    <x v="0"/>
    <x v="1"/>
    <x v="3"/>
    <x v="0"/>
    <x v="0"/>
    <d v="2023-11-03T00:00:00"/>
    <s v="Annual"/>
    <d v="2024-10-21T00:00:00"/>
    <x v="1"/>
    <n v="43255"/>
    <n v="2505"/>
    <n v="36"/>
    <d v="2024-11-26T00:00:00"/>
    <x v="0"/>
    <x v="0"/>
    <x v="1"/>
    <n v="17.267499999999998"/>
    <n v="353"/>
    <n v="2024"/>
    <s v="October"/>
  </r>
  <r>
    <s v="DINS-CLM-100909"/>
    <s v="DINS-CUS-500909"/>
    <s v="DINS-POL-200909"/>
    <x v="0"/>
    <x v="1"/>
    <x v="4"/>
    <x v="1"/>
    <x v="3"/>
    <d v="2023-11-08T00:00:00"/>
    <s v="Annual"/>
    <d v="2024-01-10T00:00:00"/>
    <x v="0"/>
    <n v="57382"/>
    <n v="4011"/>
    <s v="N/A - Not Settled"/>
    <s v="N/A - Not Settled"/>
    <x v="0"/>
    <x v="0"/>
    <x v="2"/>
    <n v="14.3062"/>
    <n v="63"/>
    <n v="2024"/>
    <s v="January"/>
  </r>
  <r>
    <s v="DINS-CLM-100910"/>
    <s v="DINS-CUS-500910"/>
    <s v="DINS-POL-200910"/>
    <x v="3"/>
    <x v="1"/>
    <x v="3"/>
    <x v="1"/>
    <x v="4"/>
    <d v="2023-10-17T00:00:00"/>
    <s v="Monthly"/>
    <d v="2024-02-23T00:00:00"/>
    <x v="0"/>
    <n v="24018"/>
    <n v="4898"/>
    <s v="N/A - Not Settled"/>
    <s v="N/A - Not Settled"/>
    <x v="1"/>
    <x v="0"/>
    <x v="2"/>
    <n v="4.9036"/>
    <n v="129"/>
    <n v="2024"/>
    <s v="February"/>
  </r>
  <r>
    <s v="DINS-CLM-100911"/>
    <s v="DINS-CUS-500911"/>
    <s v="DINS-POL-200911"/>
    <x v="1"/>
    <x v="1"/>
    <x v="5"/>
    <x v="2"/>
    <x v="1"/>
    <d v="2024-05-02T00:00:00"/>
    <s v="Annual"/>
    <d v="2024-11-11T00:00:00"/>
    <x v="1"/>
    <n v="49883"/>
    <n v="2846"/>
    <n v="15"/>
    <d v="2024-11-26T00:00:00"/>
    <x v="0"/>
    <x v="0"/>
    <x v="1"/>
    <n v="17.5274"/>
    <n v="193"/>
    <n v="2024"/>
    <s v="November"/>
  </r>
  <r>
    <s v="DINS-CLM-100912"/>
    <s v="DINS-CUS-500912"/>
    <s v="DINS-POL-200912"/>
    <x v="2"/>
    <x v="2"/>
    <x v="4"/>
    <x v="0"/>
    <x v="2"/>
    <d v="2023-06-13T00:00:00"/>
    <s v="Monthly"/>
    <d v="2024-05-21T00:00:00"/>
    <x v="1"/>
    <n v="24452"/>
    <n v="6792"/>
    <n v="33"/>
    <d v="2024-06-23T00:00:00"/>
    <x v="0"/>
    <x v="0"/>
    <x v="0"/>
    <n v="3.6000999999999999"/>
    <n v="343"/>
    <n v="2024"/>
    <s v="May"/>
  </r>
  <r>
    <s v="DINS-CLM-100913"/>
    <s v="DINS-CUS-500913"/>
    <s v="DINS-POL-200913"/>
    <x v="2"/>
    <x v="2"/>
    <x v="3"/>
    <x v="1"/>
    <x v="1"/>
    <d v="2024-01-23T00:00:00"/>
    <s v="Monthly"/>
    <d v="2024-03-16T00:00:00"/>
    <x v="0"/>
    <n v="27307"/>
    <n v="4090"/>
    <s v="N/A - Not Settled"/>
    <s v="N/A - Not Settled"/>
    <x v="0"/>
    <x v="0"/>
    <x v="1"/>
    <n v="6.6764999999999999"/>
    <n v="53"/>
    <n v="2024"/>
    <s v="March"/>
  </r>
  <r>
    <s v="DINS-CLM-100914"/>
    <s v="DINS-CUS-500914"/>
    <s v="DINS-POL-200914"/>
    <x v="3"/>
    <x v="1"/>
    <x v="1"/>
    <x v="1"/>
    <x v="2"/>
    <d v="2023-05-09T00:00:00"/>
    <s v="Annual"/>
    <d v="2024-02-26T00:00:00"/>
    <x v="1"/>
    <n v="70517"/>
    <n v="7462"/>
    <n v="32"/>
    <d v="2024-03-29T00:00:00"/>
    <x v="0"/>
    <x v="0"/>
    <x v="2"/>
    <n v="9.4501000000000008"/>
    <n v="293"/>
    <n v="2024"/>
    <s v="February"/>
  </r>
  <r>
    <s v="DINS-CLM-100915"/>
    <s v="DINS-CUS-500915"/>
    <s v="DINS-POL-200915"/>
    <x v="3"/>
    <x v="2"/>
    <x v="3"/>
    <x v="0"/>
    <x v="3"/>
    <d v="2024-01-31T00:00:00"/>
    <s v="Annual"/>
    <d v="2024-11-04T00:00:00"/>
    <x v="2"/>
    <n v="16177"/>
    <n v="1313"/>
    <s v="N/A - Not Settled"/>
    <s v="N/A - Not Settled"/>
    <x v="0"/>
    <x v="0"/>
    <x v="1"/>
    <n v="12.320600000000001"/>
    <n v="278"/>
    <n v="2024"/>
    <s v="November"/>
  </r>
  <r>
    <s v="DINS-CLM-100916"/>
    <s v="DINS-CUS-500916"/>
    <s v="DINS-POL-200916"/>
    <x v="5"/>
    <x v="1"/>
    <x v="0"/>
    <x v="1"/>
    <x v="3"/>
    <d v="2023-09-04T00:00:00"/>
    <s v="Monthly"/>
    <d v="2024-05-06T00:00:00"/>
    <x v="0"/>
    <n v="21951"/>
    <n v="8096"/>
    <s v="N/A - Not Settled"/>
    <s v="N/A - Not Settled"/>
    <x v="0"/>
    <x v="0"/>
    <x v="2"/>
    <n v="2.7113"/>
    <n v="245"/>
    <n v="2024"/>
    <s v="May"/>
  </r>
  <r>
    <s v="DINS-CLM-100917"/>
    <s v="DINS-CUS-500917"/>
    <s v="DINS-POL-200917"/>
    <x v="2"/>
    <x v="1"/>
    <x v="2"/>
    <x v="1"/>
    <x v="4"/>
    <d v="2023-06-28T00:00:00"/>
    <s v="Annual"/>
    <d v="2024-01-09T00:00:00"/>
    <x v="2"/>
    <n v="23172"/>
    <n v="5399"/>
    <s v="N/A - Not Settled"/>
    <s v="N/A - Not Settled"/>
    <x v="0"/>
    <x v="0"/>
    <x v="2"/>
    <n v="4.2919"/>
    <n v="195"/>
    <n v="2024"/>
    <s v="January"/>
  </r>
  <r>
    <s v="DINS-CLM-100918"/>
    <s v="DINS-CUS-500918"/>
    <s v="DINS-POL-200918"/>
    <x v="0"/>
    <x v="0"/>
    <x v="5"/>
    <x v="0"/>
    <x v="7"/>
    <d v="2024-01-27T00:00:00"/>
    <s v="Monthly"/>
    <d v="2024-09-06T00:00:00"/>
    <x v="1"/>
    <n v="49579"/>
    <n v="7213"/>
    <n v="20"/>
    <d v="2024-09-26T00:00:00"/>
    <x v="0"/>
    <x v="0"/>
    <x v="1"/>
    <n v="6.8735999999999997"/>
    <n v="223"/>
    <n v="2024"/>
    <s v="September"/>
  </r>
  <r>
    <s v="DINS-CLM-100919"/>
    <s v="DINS-CUS-500919"/>
    <s v="DINS-POL-200919"/>
    <x v="0"/>
    <x v="1"/>
    <x v="3"/>
    <x v="1"/>
    <x v="1"/>
    <d v="2024-04-04T00:00:00"/>
    <s v="Monthly"/>
    <d v="2024-05-06T00:00:00"/>
    <x v="1"/>
    <n v="54024"/>
    <n v="2736"/>
    <n v="43"/>
    <d v="2024-06-18T00:00:00"/>
    <x v="0"/>
    <x v="0"/>
    <x v="1"/>
    <n v="19.7456"/>
    <n v="32"/>
    <n v="2024"/>
    <s v="May"/>
  </r>
  <r>
    <s v="DINS-CLM-100920"/>
    <s v="DINS-CUS-500920"/>
    <s v="DINS-POL-200920"/>
    <x v="2"/>
    <x v="2"/>
    <x v="5"/>
    <x v="1"/>
    <x v="6"/>
    <d v="2023-11-25T00:00:00"/>
    <s v="Monthly"/>
    <d v="2024-04-23T00:00:00"/>
    <x v="1"/>
    <n v="20996"/>
    <n v="6743"/>
    <n v="20"/>
    <d v="2024-05-13T00:00:00"/>
    <x v="0"/>
    <x v="0"/>
    <x v="1"/>
    <n v="3.1137000000000001"/>
    <n v="150"/>
    <n v="2024"/>
    <s v="April"/>
  </r>
  <r>
    <s v="DINS-CLM-100921"/>
    <s v="DINS-CUS-500921"/>
    <s v="DINS-POL-200921"/>
    <x v="0"/>
    <x v="2"/>
    <x v="3"/>
    <x v="0"/>
    <x v="1"/>
    <d v="2023-07-02T00:00:00"/>
    <s v="Annual"/>
    <d v="2024-05-27T00:00:00"/>
    <x v="1"/>
    <n v="59969"/>
    <n v="685"/>
    <n v="29"/>
    <d v="2024-06-25T00:00:00"/>
    <x v="0"/>
    <x v="0"/>
    <x v="1"/>
    <n v="87.546000000000006"/>
    <n v="330"/>
    <n v="2024"/>
    <s v="May"/>
  </r>
  <r>
    <s v="DINS-CLM-100922"/>
    <s v="DINS-CUS-500922"/>
    <s v="DINS-POL-200922"/>
    <x v="4"/>
    <x v="0"/>
    <x v="3"/>
    <x v="1"/>
    <x v="0"/>
    <d v="2024-03-18T00:00:00"/>
    <s v="Annual"/>
    <d v="2024-08-10T00:00:00"/>
    <x v="1"/>
    <n v="8025"/>
    <n v="1085"/>
    <n v="40"/>
    <d v="2024-09-19T00:00:00"/>
    <x v="0"/>
    <x v="0"/>
    <x v="2"/>
    <n v="7.3963000000000001"/>
    <n v="145"/>
    <n v="2024"/>
    <s v="August"/>
  </r>
  <r>
    <s v="DINS-CLM-100923"/>
    <s v="DINS-CUS-500923"/>
    <s v="DINS-POL-200923"/>
    <x v="1"/>
    <x v="0"/>
    <x v="2"/>
    <x v="1"/>
    <x v="6"/>
    <d v="2024-04-23T00:00:00"/>
    <s v="Monthly"/>
    <d v="2024-05-31T00:00:00"/>
    <x v="0"/>
    <n v="40052"/>
    <n v="1791"/>
    <s v="N/A - Not Settled"/>
    <s v="N/A - Not Settled"/>
    <x v="0"/>
    <x v="0"/>
    <x v="2"/>
    <n v="22.3629"/>
    <n v="38"/>
    <n v="2024"/>
    <s v="May"/>
  </r>
  <r>
    <s v="DINS-CLM-100924"/>
    <s v="DINS-CUS-500924"/>
    <s v="DINS-POL-200924"/>
    <x v="2"/>
    <x v="0"/>
    <x v="0"/>
    <x v="1"/>
    <x v="7"/>
    <d v="2023-06-05T00:00:00"/>
    <s v="Annual"/>
    <d v="2024-04-23T00:00:00"/>
    <x v="1"/>
    <n v="35205"/>
    <n v="4548"/>
    <n v="17"/>
    <d v="2024-05-10T00:00:00"/>
    <x v="0"/>
    <x v="0"/>
    <x v="1"/>
    <n v="7.7408000000000001"/>
    <n v="323"/>
    <n v="2024"/>
    <s v="April"/>
  </r>
  <r>
    <s v="DINS-CLM-100925"/>
    <s v="DINS-CUS-500925"/>
    <s v="DINS-POL-200925"/>
    <x v="0"/>
    <x v="2"/>
    <x v="1"/>
    <x v="0"/>
    <x v="7"/>
    <d v="2024-05-25T00:00:00"/>
    <s v="Annual"/>
    <d v="2024-06-29T00:00:00"/>
    <x v="1"/>
    <n v="36932"/>
    <n v="8710"/>
    <n v="16"/>
    <d v="2024-07-15T00:00:00"/>
    <x v="0"/>
    <x v="0"/>
    <x v="0"/>
    <n v="4.2401999999999997"/>
    <n v="35"/>
    <n v="2024"/>
    <s v="June"/>
  </r>
  <r>
    <s v="DINS-CLM-100926"/>
    <s v="DINS-CUS-500926"/>
    <s v="DINS-POL-200926"/>
    <x v="3"/>
    <x v="2"/>
    <x v="4"/>
    <x v="0"/>
    <x v="5"/>
    <d v="2023-06-02T00:00:00"/>
    <s v="Monthly"/>
    <d v="2024-02-10T00:00:00"/>
    <x v="0"/>
    <n v="71131"/>
    <n v="3406"/>
    <s v="N/A - Not Settled"/>
    <s v="N/A - Not Settled"/>
    <x v="0"/>
    <x v="0"/>
    <x v="0"/>
    <n v="20.884"/>
    <n v="253"/>
    <n v="2024"/>
    <s v="February"/>
  </r>
  <r>
    <s v="DINS-CLM-100927"/>
    <s v="DINS-CUS-500927"/>
    <s v="DINS-POL-200927"/>
    <x v="1"/>
    <x v="2"/>
    <x v="2"/>
    <x v="1"/>
    <x v="5"/>
    <d v="2024-09-24T00:00:00"/>
    <s v="Monthly"/>
    <d v="2024-12-26T00:00:00"/>
    <x v="1"/>
    <n v="52232"/>
    <n v="6393"/>
    <n v="35"/>
    <d v="2025-01-30T00:00:00"/>
    <x v="0"/>
    <x v="0"/>
    <x v="2"/>
    <n v="8.1701999999999995"/>
    <n v="93"/>
    <n v="2024"/>
    <s v="December"/>
  </r>
  <r>
    <s v="DINS-CLM-100928"/>
    <s v="DINS-CUS-500928"/>
    <s v="DINS-POL-200928"/>
    <x v="3"/>
    <x v="2"/>
    <x v="2"/>
    <x v="2"/>
    <x v="5"/>
    <d v="2023-09-27T00:00:00"/>
    <s v="Monthly"/>
    <d v="2024-03-08T00:00:00"/>
    <x v="1"/>
    <n v="59672"/>
    <n v="3808"/>
    <n v="9"/>
    <d v="2024-03-17T00:00:00"/>
    <x v="1"/>
    <x v="0"/>
    <x v="1"/>
    <n v="15.670199999999999"/>
    <n v="163"/>
    <n v="2024"/>
    <s v="March"/>
  </r>
  <r>
    <s v="DINS-CLM-100929"/>
    <s v="DINS-CUS-500929"/>
    <s v="DINS-POL-200929"/>
    <x v="2"/>
    <x v="0"/>
    <x v="5"/>
    <x v="0"/>
    <x v="7"/>
    <d v="2023-07-27T00:00:00"/>
    <s v="Annual"/>
    <d v="2024-06-10T00:00:00"/>
    <x v="0"/>
    <n v="26225"/>
    <n v="6504"/>
    <s v="N/A - Not Settled"/>
    <s v="N/A - Not Settled"/>
    <x v="0"/>
    <x v="0"/>
    <x v="2"/>
    <n v="4.0320999999999998"/>
    <n v="319"/>
    <n v="2024"/>
    <s v="June"/>
  </r>
  <r>
    <s v="DINS-CLM-100930"/>
    <s v="DINS-CUS-500930"/>
    <s v="DINS-POL-200930"/>
    <x v="5"/>
    <x v="1"/>
    <x v="4"/>
    <x v="0"/>
    <x v="6"/>
    <d v="2023-10-24T00:00:00"/>
    <s v="Annual"/>
    <d v="2024-04-15T00:00:00"/>
    <x v="0"/>
    <n v="50080"/>
    <n v="5449"/>
    <s v="N/A - Not Settled"/>
    <s v="N/A - Not Settled"/>
    <x v="0"/>
    <x v="0"/>
    <x v="1"/>
    <n v="9.1906999999999996"/>
    <n v="174"/>
    <n v="2024"/>
    <s v="April"/>
  </r>
  <r>
    <s v="DINS-CLM-100931"/>
    <s v="DINS-CUS-500931"/>
    <s v="DINS-POL-200931"/>
    <x v="2"/>
    <x v="2"/>
    <x v="0"/>
    <x v="1"/>
    <x v="5"/>
    <d v="2024-01-09T00:00:00"/>
    <s v="Monthly"/>
    <d v="2024-03-14T00:00:00"/>
    <x v="1"/>
    <n v="3026"/>
    <n v="6607"/>
    <n v="17"/>
    <d v="2024-03-31T00:00:00"/>
    <x v="0"/>
    <x v="0"/>
    <x v="0"/>
    <n v="0.45800000000000002"/>
    <n v="65"/>
    <n v="2024"/>
    <s v="March"/>
  </r>
  <r>
    <s v="DINS-CLM-100932"/>
    <s v="DINS-CUS-500932"/>
    <s v="DINS-POL-200932"/>
    <x v="2"/>
    <x v="2"/>
    <x v="0"/>
    <x v="0"/>
    <x v="0"/>
    <d v="2024-10-20T00:00:00"/>
    <s v="Annual"/>
    <d v="2024-12-27T00:00:00"/>
    <x v="1"/>
    <n v="22400"/>
    <n v="3861"/>
    <n v="31"/>
    <d v="2025-01-27T00:00:00"/>
    <x v="0"/>
    <x v="0"/>
    <x v="2"/>
    <n v="5.8015999999999996"/>
    <n v="68"/>
    <n v="2024"/>
    <s v="December"/>
  </r>
  <r>
    <s v="DINS-CLM-100933"/>
    <s v="DINS-CUS-500933"/>
    <s v="DINS-POL-200933"/>
    <x v="0"/>
    <x v="2"/>
    <x v="2"/>
    <x v="2"/>
    <x v="2"/>
    <d v="2024-06-06T00:00:00"/>
    <s v="Annual"/>
    <d v="2024-12-31T00:00:00"/>
    <x v="1"/>
    <n v="37043"/>
    <n v="4842"/>
    <n v="18"/>
    <d v="2025-01-18T00:00:00"/>
    <x v="1"/>
    <x v="1"/>
    <x v="2"/>
    <n v="7.6504000000000003"/>
    <n v="208"/>
    <n v="2024"/>
    <s v="December"/>
  </r>
  <r>
    <s v="DINS-CLM-100934"/>
    <s v="DINS-CUS-500934"/>
    <s v="DINS-POL-200934"/>
    <x v="5"/>
    <x v="0"/>
    <x v="3"/>
    <x v="2"/>
    <x v="7"/>
    <d v="2023-06-13T00:00:00"/>
    <s v="Monthly"/>
    <d v="2024-01-04T00:00:00"/>
    <x v="1"/>
    <n v="19774"/>
    <n v="4856"/>
    <n v="39"/>
    <d v="2024-02-12T00:00:00"/>
    <x v="0"/>
    <x v="0"/>
    <x v="2"/>
    <n v="4.0720999999999998"/>
    <n v="205"/>
    <n v="2024"/>
    <s v="January"/>
  </r>
  <r>
    <s v="DINS-CLM-100935"/>
    <s v="DINS-CUS-500935"/>
    <s v="DINS-POL-200935"/>
    <x v="2"/>
    <x v="0"/>
    <x v="1"/>
    <x v="0"/>
    <x v="5"/>
    <d v="2023-05-02T00:00:00"/>
    <s v="Annual"/>
    <d v="2024-02-04T00:00:00"/>
    <x v="1"/>
    <n v="8165"/>
    <n v="2472"/>
    <n v="28"/>
    <d v="2024-03-03T00:00:00"/>
    <x v="0"/>
    <x v="0"/>
    <x v="2"/>
    <n v="3.3029999999999999"/>
    <n v="278"/>
    <n v="2024"/>
    <s v="February"/>
  </r>
  <r>
    <s v="DINS-CLM-100936"/>
    <s v="DINS-CUS-500936"/>
    <s v="DINS-POL-200936"/>
    <x v="2"/>
    <x v="0"/>
    <x v="5"/>
    <x v="2"/>
    <x v="6"/>
    <d v="2023-07-11T00:00:00"/>
    <s v="Monthly"/>
    <d v="2024-05-17T00:00:00"/>
    <x v="1"/>
    <n v="11841"/>
    <n v="8326"/>
    <n v="11"/>
    <d v="2024-05-28T00:00:00"/>
    <x v="1"/>
    <x v="1"/>
    <x v="2"/>
    <n v="1.4221999999999999"/>
    <n v="311"/>
    <n v="2024"/>
    <s v="May"/>
  </r>
  <r>
    <s v="DINS-CLM-100937"/>
    <s v="DINS-CUS-500937"/>
    <s v="DINS-POL-200937"/>
    <x v="2"/>
    <x v="2"/>
    <x v="1"/>
    <x v="0"/>
    <x v="3"/>
    <d v="2024-01-01T00:00:00"/>
    <s v="Monthly"/>
    <d v="2024-12-23T00:00:00"/>
    <x v="1"/>
    <n v="10393"/>
    <n v="4046"/>
    <n v="28"/>
    <d v="2025-01-20T00:00:00"/>
    <x v="0"/>
    <x v="0"/>
    <x v="2"/>
    <n v="2.5687000000000002"/>
    <n v="357"/>
    <n v="2024"/>
    <s v="December"/>
  </r>
  <r>
    <s v="DINS-CLM-100938"/>
    <s v="DINS-CUS-500938"/>
    <s v="DINS-POL-200938"/>
    <x v="5"/>
    <x v="0"/>
    <x v="5"/>
    <x v="1"/>
    <x v="7"/>
    <d v="2023-08-29T00:00:00"/>
    <s v="Monthly"/>
    <d v="2024-04-02T00:00:00"/>
    <x v="2"/>
    <n v="11702"/>
    <n v="6566"/>
    <s v="N/A - Not Settled"/>
    <s v="N/A - Not Settled"/>
    <x v="0"/>
    <x v="0"/>
    <x v="1"/>
    <n v="1.7822"/>
    <n v="217"/>
    <n v="2024"/>
    <s v="April"/>
  </r>
  <r>
    <s v="DINS-CLM-100939"/>
    <s v="DINS-CUS-500939"/>
    <s v="DINS-POL-200939"/>
    <x v="0"/>
    <x v="2"/>
    <x v="1"/>
    <x v="0"/>
    <x v="5"/>
    <d v="2023-11-06T00:00:00"/>
    <s v="Monthly"/>
    <d v="2024-01-01T00:00:00"/>
    <x v="1"/>
    <n v="37698"/>
    <n v="4506"/>
    <n v="15"/>
    <d v="2024-01-16T00:00:00"/>
    <x v="0"/>
    <x v="0"/>
    <x v="1"/>
    <n v="8.3661999999999992"/>
    <n v="56"/>
    <n v="2024"/>
    <s v="January"/>
  </r>
  <r>
    <s v="DINS-CLM-100940"/>
    <s v="DINS-CUS-500940"/>
    <s v="DINS-POL-200940"/>
    <x v="1"/>
    <x v="2"/>
    <x v="5"/>
    <x v="1"/>
    <x v="3"/>
    <d v="2024-05-07T00:00:00"/>
    <s v="Monthly"/>
    <d v="2024-12-28T00:00:00"/>
    <x v="1"/>
    <n v="43568"/>
    <n v="8510"/>
    <n v="3"/>
    <d v="2024-12-31T00:00:00"/>
    <x v="0"/>
    <x v="0"/>
    <x v="1"/>
    <n v="5.1196000000000002"/>
    <n v="235"/>
    <n v="2024"/>
    <s v="December"/>
  </r>
  <r>
    <s v="DINS-CLM-100941"/>
    <s v="DINS-CUS-500941"/>
    <s v="DINS-POL-200941"/>
    <x v="5"/>
    <x v="2"/>
    <x v="0"/>
    <x v="0"/>
    <x v="0"/>
    <d v="2023-08-08T00:00:00"/>
    <s v="Annual"/>
    <d v="2024-06-22T00:00:00"/>
    <x v="2"/>
    <n v="54985"/>
    <n v="7054"/>
    <s v="N/A - Not Settled"/>
    <s v="N/A - Not Settled"/>
    <x v="0"/>
    <x v="0"/>
    <x v="2"/>
    <n v="7.7949000000000002"/>
    <n v="319"/>
    <n v="2024"/>
    <s v="June"/>
  </r>
  <r>
    <s v="DINS-CLM-100942"/>
    <s v="DINS-CUS-500942"/>
    <s v="DINS-POL-200942"/>
    <x v="2"/>
    <x v="0"/>
    <x v="2"/>
    <x v="2"/>
    <x v="0"/>
    <d v="2023-11-16T00:00:00"/>
    <s v="Annual"/>
    <d v="2024-09-02T00:00:00"/>
    <x v="2"/>
    <n v="21586"/>
    <n v="7678"/>
    <s v="N/A - Not Settled"/>
    <s v="N/A - Not Settled"/>
    <x v="0"/>
    <x v="0"/>
    <x v="2"/>
    <n v="2.8113999999999999"/>
    <n v="291"/>
    <n v="2024"/>
    <s v="September"/>
  </r>
  <r>
    <s v="DINS-CLM-100943"/>
    <s v="DINS-CUS-500943"/>
    <s v="DINS-POL-200943"/>
    <x v="2"/>
    <x v="1"/>
    <x v="3"/>
    <x v="2"/>
    <x v="2"/>
    <d v="2024-07-01T00:00:00"/>
    <s v="Monthly"/>
    <d v="2024-08-05T00:00:00"/>
    <x v="1"/>
    <n v="29571"/>
    <n v="1896"/>
    <n v="30"/>
    <d v="2024-09-04T00:00:00"/>
    <x v="1"/>
    <x v="0"/>
    <x v="1"/>
    <n v="15.596500000000001"/>
    <n v="35"/>
    <n v="2024"/>
    <s v="August"/>
  </r>
  <r>
    <s v="DINS-CLM-100944"/>
    <s v="DINS-CUS-500944"/>
    <s v="DINS-POL-200944"/>
    <x v="3"/>
    <x v="2"/>
    <x v="2"/>
    <x v="1"/>
    <x v="1"/>
    <d v="2023-04-26T00:00:00"/>
    <s v="Annual"/>
    <d v="2024-04-16T00:00:00"/>
    <x v="1"/>
    <n v="28526"/>
    <n v="1770"/>
    <n v="13"/>
    <d v="2024-04-29T00:00:00"/>
    <x v="0"/>
    <x v="0"/>
    <x v="2"/>
    <n v="16.116399999999999"/>
    <n v="356"/>
    <n v="2024"/>
    <s v="April"/>
  </r>
  <r>
    <s v="DINS-CLM-100945"/>
    <s v="DINS-CUS-500945"/>
    <s v="DINS-POL-200945"/>
    <x v="0"/>
    <x v="0"/>
    <x v="5"/>
    <x v="1"/>
    <x v="1"/>
    <d v="2024-02-13T00:00:00"/>
    <s v="Annual"/>
    <d v="2024-07-31T00:00:00"/>
    <x v="1"/>
    <n v="49781"/>
    <n v="4485"/>
    <n v="4"/>
    <d v="2024-08-04T00:00:00"/>
    <x v="0"/>
    <x v="0"/>
    <x v="1"/>
    <n v="11.099399999999999"/>
    <n v="169"/>
    <n v="2024"/>
    <s v="July"/>
  </r>
  <r>
    <s v="DINS-CLM-100946"/>
    <s v="DINS-CUS-500946"/>
    <s v="DINS-POL-200946"/>
    <x v="0"/>
    <x v="1"/>
    <x v="0"/>
    <x v="2"/>
    <x v="3"/>
    <d v="2023-09-04T00:00:00"/>
    <s v="Annual"/>
    <d v="2024-01-27T00:00:00"/>
    <x v="0"/>
    <n v="33075"/>
    <n v="8354"/>
    <s v="N/A - Not Settled"/>
    <s v="N/A - Not Settled"/>
    <x v="0"/>
    <x v="0"/>
    <x v="1"/>
    <n v="3.9592000000000001"/>
    <n v="145"/>
    <n v="2024"/>
    <s v="January"/>
  </r>
  <r>
    <s v="DINS-CLM-100947"/>
    <s v="DINS-CUS-500947"/>
    <s v="DINS-POL-200947"/>
    <x v="0"/>
    <x v="2"/>
    <x v="2"/>
    <x v="2"/>
    <x v="6"/>
    <d v="2023-05-27T00:00:00"/>
    <s v="Annual"/>
    <d v="2024-03-27T00:00:00"/>
    <x v="1"/>
    <n v="38797"/>
    <n v="708"/>
    <n v="23"/>
    <d v="2024-04-19T00:00:00"/>
    <x v="0"/>
    <x v="0"/>
    <x v="1"/>
    <n v="54.798000000000002"/>
    <n v="305"/>
    <n v="2024"/>
    <s v="March"/>
  </r>
  <r>
    <s v="DINS-CLM-100948"/>
    <s v="DINS-CUS-500948"/>
    <s v="DINS-POL-200948"/>
    <x v="2"/>
    <x v="0"/>
    <x v="1"/>
    <x v="2"/>
    <x v="0"/>
    <d v="2023-10-05T00:00:00"/>
    <s v="Annual"/>
    <d v="2024-09-17T00:00:00"/>
    <x v="1"/>
    <n v="25877"/>
    <n v="5006"/>
    <n v="6"/>
    <d v="2024-09-23T00:00:00"/>
    <x v="0"/>
    <x v="0"/>
    <x v="1"/>
    <n v="5.1692"/>
    <n v="348"/>
    <n v="2024"/>
    <s v="September"/>
  </r>
  <r>
    <s v="DINS-CLM-100949"/>
    <s v="DINS-CUS-500949"/>
    <s v="DINS-POL-200949"/>
    <x v="4"/>
    <x v="2"/>
    <x v="2"/>
    <x v="0"/>
    <x v="3"/>
    <d v="2024-04-05T00:00:00"/>
    <s v="Monthly"/>
    <d v="2024-12-26T00:00:00"/>
    <x v="1"/>
    <n v="19601"/>
    <n v="8135"/>
    <n v="14"/>
    <d v="2025-01-09T00:00:00"/>
    <x v="0"/>
    <x v="0"/>
    <x v="0"/>
    <n v="2.4095"/>
    <n v="265"/>
    <n v="2024"/>
    <s v="December"/>
  </r>
  <r>
    <s v="DINS-CLM-100950"/>
    <s v="DINS-CUS-500950"/>
    <s v="DINS-POL-200950"/>
    <x v="0"/>
    <x v="1"/>
    <x v="5"/>
    <x v="2"/>
    <x v="5"/>
    <d v="2023-11-22T00:00:00"/>
    <s v="Monthly"/>
    <d v="2024-11-06T00:00:00"/>
    <x v="0"/>
    <n v="59894"/>
    <n v="4532"/>
    <s v="N/A - Not Settled"/>
    <s v="N/A - Not Settled"/>
    <x v="0"/>
    <x v="0"/>
    <x v="2"/>
    <n v="13.2158"/>
    <n v="350"/>
    <n v="2024"/>
    <s v="November"/>
  </r>
  <r>
    <s v="DINS-CLM-100951"/>
    <s v="DINS-CUS-500951"/>
    <s v="DINS-POL-200951"/>
    <x v="2"/>
    <x v="0"/>
    <x v="1"/>
    <x v="1"/>
    <x v="2"/>
    <d v="2024-05-02T00:00:00"/>
    <s v="Annual"/>
    <d v="2024-07-24T00:00:00"/>
    <x v="1"/>
    <n v="14503"/>
    <n v="3332"/>
    <n v="29"/>
    <d v="2024-08-22T00:00:00"/>
    <x v="1"/>
    <x v="0"/>
    <x v="2"/>
    <n v="4.3525999999999998"/>
    <n v="83"/>
    <n v="2024"/>
    <s v="July"/>
  </r>
  <r>
    <s v="DINS-CLM-100952"/>
    <s v="DINS-CUS-500952"/>
    <s v="DINS-POL-200952"/>
    <x v="1"/>
    <x v="0"/>
    <x v="0"/>
    <x v="0"/>
    <x v="1"/>
    <d v="2023-08-28T00:00:00"/>
    <s v="Annual"/>
    <d v="2024-08-12T00:00:00"/>
    <x v="1"/>
    <n v="44455"/>
    <n v="4038"/>
    <n v="32"/>
    <d v="2024-09-13T00:00:00"/>
    <x v="0"/>
    <x v="0"/>
    <x v="1"/>
    <n v="11.0092"/>
    <n v="350"/>
    <n v="2024"/>
    <s v="August"/>
  </r>
  <r>
    <s v="DINS-CLM-100953"/>
    <s v="DINS-CUS-500953"/>
    <s v="DINS-POL-200953"/>
    <x v="3"/>
    <x v="2"/>
    <x v="2"/>
    <x v="0"/>
    <x v="1"/>
    <d v="2024-05-04T00:00:00"/>
    <s v="Monthly"/>
    <d v="2024-08-16T00:00:00"/>
    <x v="2"/>
    <n v="21219"/>
    <n v="4203"/>
    <s v="N/A - Not Settled"/>
    <s v="N/A - Not Settled"/>
    <x v="0"/>
    <x v="0"/>
    <x v="2"/>
    <n v="5.0484999999999998"/>
    <n v="104"/>
    <n v="2024"/>
    <s v="August"/>
  </r>
  <r>
    <s v="DINS-CLM-100954"/>
    <s v="DINS-CUS-500954"/>
    <s v="DINS-POL-200954"/>
    <x v="4"/>
    <x v="0"/>
    <x v="1"/>
    <x v="1"/>
    <x v="4"/>
    <d v="2023-07-24T00:00:00"/>
    <s v="Monthly"/>
    <d v="2024-06-15T00:00:00"/>
    <x v="0"/>
    <n v="12078"/>
    <n v="5858"/>
    <s v="N/A - Not Settled"/>
    <s v="N/A - Not Settled"/>
    <x v="0"/>
    <x v="0"/>
    <x v="0"/>
    <n v="2.0617999999999999"/>
    <n v="327"/>
    <n v="2024"/>
    <s v="June"/>
  </r>
  <r>
    <s v="DINS-CLM-100955"/>
    <s v="DINS-CUS-500955"/>
    <s v="DINS-POL-200955"/>
    <x v="3"/>
    <x v="2"/>
    <x v="4"/>
    <x v="2"/>
    <x v="5"/>
    <d v="2024-06-29T00:00:00"/>
    <s v="Annual"/>
    <d v="2024-08-29T00:00:00"/>
    <x v="2"/>
    <n v="80040"/>
    <n v="1526"/>
    <s v="N/A - Not Settled"/>
    <s v="N/A - Not Settled"/>
    <x v="0"/>
    <x v="0"/>
    <x v="2"/>
    <n v="52.450899999999997"/>
    <n v="61"/>
    <n v="2024"/>
    <s v="August"/>
  </r>
  <r>
    <s v="DINS-CLM-100956"/>
    <s v="DINS-CUS-500956"/>
    <s v="DINS-POL-200956"/>
    <x v="3"/>
    <x v="1"/>
    <x v="5"/>
    <x v="2"/>
    <x v="6"/>
    <d v="2024-05-12T00:00:00"/>
    <s v="Monthly"/>
    <d v="2024-06-25T00:00:00"/>
    <x v="1"/>
    <n v="78281"/>
    <n v="5689"/>
    <n v="36"/>
    <d v="2024-07-31T00:00:00"/>
    <x v="0"/>
    <x v="0"/>
    <x v="2"/>
    <n v="13.7601"/>
    <n v="44"/>
    <n v="2024"/>
    <s v="June"/>
  </r>
  <r>
    <s v="DINS-CLM-100957"/>
    <s v="DINS-CUS-500957"/>
    <s v="DINS-POL-200957"/>
    <x v="0"/>
    <x v="0"/>
    <x v="4"/>
    <x v="1"/>
    <x v="3"/>
    <d v="2023-08-14T00:00:00"/>
    <s v="Annual"/>
    <d v="2024-06-10T00:00:00"/>
    <x v="1"/>
    <n v="44788"/>
    <n v="1527"/>
    <n v="10"/>
    <d v="2024-06-20T00:00:00"/>
    <x v="1"/>
    <x v="0"/>
    <x v="0"/>
    <n v="29.3307"/>
    <n v="301"/>
    <n v="2024"/>
    <s v="June"/>
  </r>
  <r>
    <s v="DINS-CLM-100958"/>
    <s v="DINS-CUS-500958"/>
    <s v="DINS-POL-200958"/>
    <x v="2"/>
    <x v="1"/>
    <x v="1"/>
    <x v="0"/>
    <x v="7"/>
    <d v="2024-09-27T00:00:00"/>
    <s v="Monthly"/>
    <d v="2024-12-09T00:00:00"/>
    <x v="1"/>
    <n v="35528"/>
    <n v="1969"/>
    <n v="21"/>
    <d v="2024-12-30T00:00:00"/>
    <x v="0"/>
    <x v="0"/>
    <x v="2"/>
    <n v="18.043700000000001"/>
    <n v="73"/>
    <n v="2024"/>
    <s v="December"/>
  </r>
  <r>
    <s v="DINS-CLM-100959"/>
    <s v="DINS-CUS-500959"/>
    <s v="DINS-POL-200959"/>
    <x v="5"/>
    <x v="0"/>
    <x v="5"/>
    <x v="0"/>
    <x v="3"/>
    <d v="2024-02-25T00:00:00"/>
    <s v="Annual"/>
    <d v="2024-10-03T00:00:00"/>
    <x v="1"/>
    <n v="13382"/>
    <n v="5700"/>
    <n v="3"/>
    <d v="2024-10-06T00:00:00"/>
    <x v="0"/>
    <x v="0"/>
    <x v="1"/>
    <n v="2.3477000000000001"/>
    <n v="221"/>
    <n v="2024"/>
    <s v="October"/>
  </r>
  <r>
    <s v="DINS-CLM-100960"/>
    <s v="DINS-CUS-500960"/>
    <s v="DINS-POL-200960"/>
    <x v="3"/>
    <x v="2"/>
    <x v="4"/>
    <x v="2"/>
    <x v="2"/>
    <d v="2023-09-25T00:00:00"/>
    <s v="Monthly"/>
    <d v="2024-04-23T00:00:00"/>
    <x v="1"/>
    <n v="97686"/>
    <n v="1381"/>
    <n v="8"/>
    <d v="2024-05-01T00:00:00"/>
    <x v="0"/>
    <x v="0"/>
    <x v="1"/>
    <n v="70.735699999999994"/>
    <n v="211"/>
    <n v="2024"/>
    <s v="April"/>
  </r>
  <r>
    <s v="DINS-CLM-100961"/>
    <s v="DINS-CUS-500961"/>
    <s v="DINS-POL-200961"/>
    <x v="0"/>
    <x v="2"/>
    <x v="3"/>
    <x v="2"/>
    <x v="7"/>
    <d v="2024-10-13T00:00:00"/>
    <s v="Annual"/>
    <d v="2024-12-07T00:00:00"/>
    <x v="1"/>
    <n v="23098"/>
    <n v="3610"/>
    <n v="9"/>
    <d v="2024-12-16T00:00:00"/>
    <x v="0"/>
    <x v="0"/>
    <x v="1"/>
    <n v="6.3982999999999999"/>
    <n v="55"/>
    <n v="2024"/>
    <s v="December"/>
  </r>
  <r>
    <s v="DINS-CLM-100962"/>
    <s v="DINS-CUS-500962"/>
    <s v="DINS-POL-200962"/>
    <x v="2"/>
    <x v="1"/>
    <x v="4"/>
    <x v="1"/>
    <x v="0"/>
    <d v="2023-11-21T00:00:00"/>
    <s v="Monthly"/>
    <d v="2024-01-03T00:00:00"/>
    <x v="1"/>
    <n v="9158"/>
    <n v="1967"/>
    <n v="23"/>
    <d v="2024-01-26T00:00:00"/>
    <x v="1"/>
    <x v="0"/>
    <x v="1"/>
    <n v="4.6558000000000002"/>
    <n v="43"/>
    <n v="2024"/>
    <s v="January"/>
  </r>
  <r>
    <s v="DINS-CLM-100963"/>
    <s v="DINS-CUS-500963"/>
    <s v="DINS-POL-200963"/>
    <x v="2"/>
    <x v="1"/>
    <x v="2"/>
    <x v="1"/>
    <x v="5"/>
    <d v="2023-11-30T00:00:00"/>
    <s v="Annual"/>
    <d v="2024-11-07T00:00:00"/>
    <x v="2"/>
    <n v="34442"/>
    <n v="7633"/>
    <s v="N/A - Not Settled"/>
    <s v="N/A - Not Settled"/>
    <x v="0"/>
    <x v="0"/>
    <x v="0"/>
    <n v="4.5122"/>
    <n v="343"/>
    <n v="2024"/>
    <s v="November"/>
  </r>
  <r>
    <s v="DINS-CLM-100964"/>
    <s v="DINS-CUS-500964"/>
    <s v="DINS-POL-200964"/>
    <x v="0"/>
    <x v="1"/>
    <x v="0"/>
    <x v="0"/>
    <x v="5"/>
    <d v="2023-01-18T00:00:00"/>
    <s v="Annual"/>
    <d v="2024-01-08T00:00:00"/>
    <x v="0"/>
    <n v="19784"/>
    <n v="8896"/>
    <s v="N/A - Not Settled"/>
    <s v="N/A - Not Settled"/>
    <x v="0"/>
    <x v="0"/>
    <x v="2"/>
    <n v="2.2239"/>
    <n v="355"/>
    <n v="2024"/>
    <s v="January"/>
  </r>
  <r>
    <s v="DINS-CLM-100965"/>
    <s v="DINS-CUS-500965"/>
    <s v="DINS-POL-200965"/>
    <x v="0"/>
    <x v="2"/>
    <x v="0"/>
    <x v="2"/>
    <x v="4"/>
    <d v="2023-09-21T00:00:00"/>
    <s v="Annual"/>
    <d v="2024-07-08T00:00:00"/>
    <x v="1"/>
    <n v="38398"/>
    <n v="5655"/>
    <n v="35"/>
    <d v="2024-08-12T00:00:00"/>
    <x v="0"/>
    <x v="0"/>
    <x v="0"/>
    <n v="6.7900999999999998"/>
    <n v="291"/>
    <n v="2024"/>
    <s v="July"/>
  </r>
  <r>
    <s v="DINS-CLM-100966"/>
    <s v="DINS-CUS-500966"/>
    <s v="DINS-POL-200966"/>
    <x v="0"/>
    <x v="0"/>
    <x v="3"/>
    <x v="2"/>
    <x v="6"/>
    <d v="2023-11-23T00:00:00"/>
    <s v="Monthly"/>
    <d v="2024-11-12T00:00:00"/>
    <x v="2"/>
    <n v="55422"/>
    <n v="3093"/>
    <s v="N/A - Not Settled"/>
    <s v="N/A - Not Settled"/>
    <x v="0"/>
    <x v="0"/>
    <x v="2"/>
    <n v="17.918500000000002"/>
    <n v="355"/>
    <n v="2024"/>
    <s v="November"/>
  </r>
  <r>
    <s v="DINS-CLM-100967"/>
    <s v="DINS-CUS-500967"/>
    <s v="DINS-POL-200967"/>
    <x v="1"/>
    <x v="0"/>
    <x v="3"/>
    <x v="2"/>
    <x v="6"/>
    <d v="2023-09-19T00:00:00"/>
    <s v="Monthly"/>
    <d v="2024-06-11T00:00:00"/>
    <x v="2"/>
    <n v="66220"/>
    <n v="2126"/>
    <s v="N/A - Not Settled"/>
    <s v="N/A - Not Settled"/>
    <x v="0"/>
    <x v="0"/>
    <x v="2"/>
    <n v="31.1477"/>
    <n v="266"/>
    <n v="2024"/>
    <s v="June"/>
  </r>
  <r>
    <s v="DINS-CLM-100968"/>
    <s v="DINS-CUS-500968"/>
    <s v="DINS-POL-200968"/>
    <x v="2"/>
    <x v="0"/>
    <x v="4"/>
    <x v="1"/>
    <x v="5"/>
    <d v="2023-12-15T00:00:00"/>
    <s v="Annual"/>
    <d v="2024-11-07T00:00:00"/>
    <x v="0"/>
    <n v="13153"/>
    <n v="7488"/>
    <s v="N/A - Not Settled"/>
    <s v="N/A - Not Settled"/>
    <x v="0"/>
    <x v="0"/>
    <x v="1"/>
    <n v="1.7565"/>
    <n v="328"/>
    <n v="2024"/>
    <s v="November"/>
  </r>
  <r>
    <s v="DINS-CLM-100969"/>
    <s v="DINS-CUS-500969"/>
    <s v="DINS-POL-200969"/>
    <x v="0"/>
    <x v="1"/>
    <x v="5"/>
    <x v="1"/>
    <x v="2"/>
    <d v="2023-10-24T00:00:00"/>
    <s v="Monthly"/>
    <d v="2024-04-24T00:00:00"/>
    <x v="1"/>
    <n v="48195"/>
    <n v="817"/>
    <n v="7"/>
    <d v="2024-05-01T00:00:00"/>
    <x v="0"/>
    <x v="0"/>
    <x v="1"/>
    <n v="58.990200000000002"/>
    <n v="183"/>
    <n v="2024"/>
    <s v="April"/>
  </r>
  <r>
    <s v="DINS-CLM-100970"/>
    <s v="DINS-CUS-500970"/>
    <s v="DINS-POL-200970"/>
    <x v="1"/>
    <x v="0"/>
    <x v="1"/>
    <x v="2"/>
    <x v="2"/>
    <d v="2024-06-03T00:00:00"/>
    <s v="Annual"/>
    <d v="2024-07-05T00:00:00"/>
    <x v="1"/>
    <n v="48307"/>
    <n v="3279"/>
    <n v="29"/>
    <d v="2024-08-03T00:00:00"/>
    <x v="1"/>
    <x v="1"/>
    <x v="1"/>
    <n v="14.732200000000001"/>
    <n v="32"/>
    <n v="2024"/>
    <s v="July"/>
  </r>
  <r>
    <s v="DINS-CLM-100971"/>
    <s v="DINS-CUS-500971"/>
    <s v="DINS-POL-200971"/>
    <x v="5"/>
    <x v="2"/>
    <x v="5"/>
    <x v="1"/>
    <x v="6"/>
    <d v="2024-02-22T00:00:00"/>
    <s v="Monthly"/>
    <d v="2024-10-10T00:00:00"/>
    <x v="1"/>
    <n v="46615"/>
    <n v="4397"/>
    <n v="39"/>
    <d v="2024-11-18T00:00:00"/>
    <x v="0"/>
    <x v="0"/>
    <x v="1"/>
    <n v="10.6015"/>
    <n v="231"/>
    <n v="2024"/>
    <s v="October"/>
  </r>
  <r>
    <s v="DINS-CLM-100972"/>
    <s v="DINS-CUS-500972"/>
    <s v="DINS-POL-200972"/>
    <x v="3"/>
    <x v="0"/>
    <x v="4"/>
    <x v="1"/>
    <x v="7"/>
    <d v="2024-03-29T00:00:00"/>
    <s v="Monthly"/>
    <d v="2024-08-30T00:00:00"/>
    <x v="1"/>
    <n v="80987"/>
    <n v="5331"/>
    <n v="2"/>
    <d v="2024-09-01T00:00:00"/>
    <x v="0"/>
    <x v="0"/>
    <x v="2"/>
    <n v="15.191700000000001"/>
    <n v="154"/>
    <n v="2024"/>
    <s v="August"/>
  </r>
  <r>
    <s v="DINS-CLM-100973"/>
    <s v="DINS-CUS-500973"/>
    <s v="DINS-POL-200973"/>
    <x v="0"/>
    <x v="0"/>
    <x v="3"/>
    <x v="0"/>
    <x v="6"/>
    <d v="2023-10-10T00:00:00"/>
    <s v="Monthly"/>
    <d v="2024-04-17T00:00:00"/>
    <x v="1"/>
    <n v="44098"/>
    <n v="2478"/>
    <n v="13"/>
    <d v="2024-04-30T00:00:00"/>
    <x v="1"/>
    <x v="0"/>
    <x v="0"/>
    <n v="17.7958"/>
    <n v="190"/>
    <n v="2024"/>
    <s v="April"/>
  </r>
  <r>
    <s v="DINS-CLM-100974"/>
    <s v="DINS-CUS-500974"/>
    <s v="DINS-POL-200974"/>
    <x v="1"/>
    <x v="0"/>
    <x v="5"/>
    <x v="1"/>
    <x v="4"/>
    <d v="2024-02-29T00:00:00"/>
    <s v="Monthly"/>
    <d v="2024-08-20T00:00:00"/>
    <x v="0"/>
    <n v="19134"/>
    <n v="856"/>
    <s v="N/A - Not Settled"/>
    <s v="N/A - Not Settled"/>
    <x v="0"/>
    <x v="0"/>
    <x v="0"/>
    <n v="22.352799999999998"/>
    <n v="173"/>
    <n v="2024"/>
    <s v="August"/>
  </r>
  <r>
    <s v="DINS-CLM-100975"/>
    <s v="DINS-CUS-500975"/>
    <s v="DINS-POL-200975"/>
    <x v="3"/>
    <x v="2"/>
    <x v="5"/>
    <x v="1"/>
    <x v="0"/>
    <d v="2024-04-13T00:00:00"/>
    <s v="Monthly"/>
    <d v="2024-11-14T00:00:00"/>
    <x v="1"/>
    <n v="97132"/>
    <n v="8587"/>
    <n v="40"/>
    <d v="2024-12-24T00:00:00"/>
    <x v="0"/>
    <x v="0"/>
    <x v="2"/>
    <n v="11.311500000000001"/>
    <n v="215"/>
    <n v="2024"/>
    <s v="November"/>
  </r>
  <r>
    <s v="DINS-CLM-100976"/>
    <s v="DINS-CUS-500976"/>
    <s v="DINS-POL-200976"/>
    <x v="0"/>
    <x v="2"/>
    <x v="4"/>
    <x v="2"/>
    <x v="1"/>
    <d v="2024-05-22T00:00:00"/>
    <s v="Annual"/>
    <d v="2024-11-25T00:00:00"/>
    <x v="1"/>
    <n v="20039"/>
    <n v="7128"/>
    <n v="35"/>
    <d v="2024-12-30T00:00:00"/>
    <x v="0"/>
    <x v="0"/>
    <x v="2"/>
    <n v="2.8113000000000001"/>
    <n v="187"/>
    <n v="2024"/>
    <s v="November"/>
  </r>
  <r>
    <s v="DINS-CLM-100977"/>
    <s v="DINS-CUS-500977"/>
    <s v="DINS-POL-200977"/>
    <x v="1"/>
    <x v="1"/>
    <x v="3"/>
    <x v="1"/>
    <x v="7"/>
    <d v="2023-10-05T00:00:00"/>
    <s v="Monthly"/>
    <d v="2024-01-08T00:00:00"/>
    <x v="0"/>
    <n v="18405"/>
    <n v="826"/>
    <s v="N/A - Not Settled"/>
    <s v="N/A - Not Settled"/>
    <x v="0"/>
    <x v="0"/>
    <x v="0"/>
    <n v="22.2821"/>
    <n v="95"/>
    <n v="2024"/>
    <s v="January"/>
  </r>
  <r>
    <s v="DINS-CLM-100978"/>
    <s v="DINS-CUS-500978"/>
    <s v="DINS-POL-200978"/>
    <x v="4"/>
    <x v="2"/>
    <x v="5"/>
    <x v="0"/>
    <x v="6"/>
    <d v="2023-07-25T00:00:00"/>
    <s v="Monthly"/>
    <d v="2024-02-07T00:00:00"/>
    <x v="1"/>
    <n v="2719"/>
    <n v="3017"/>
    <n v="9"/>
    <d v="2024-02-16T00:00:00"/>
    <x v="0"/>
    <x v="0"/>
    <x v="2"/>
    <n v="0.9012"/>
    <n v="197"/>
    <n v="2024"/>
    <s v="February"/>
  </r>
  <r>
    <s v="DINS-CLM-100979"/>
    <s v="DINS-CUS-500979"/>
    <s v="DINS-POL-200979"/>
    <x v="0"/>
    <x v="2"/>
    <x v="1"/>
    <x v="2"/>
    <x v="6"/>
    <d v="2023-09-04T00:00:00"/>
    <s v="Annual"/>
    <d v="2024-04-07T00:00:00"/>
    <x v="2"/>
    <n v="6520"/>
    <n v="1654"/>
    <s v="N/A - Not Settled"/>
    <s v="N/A - Not Settled"/>
    <x v="0"/>
    <x v="0"/>
    <x v="0"/>
    <n v="3.9420000000000002"/>
    <n v="216"/>
    <n v="2024"/>
    <s v="April"/>
  </r>
  <r>
    <s v="DINS-CLM-100980"/>
    <s v="DINS-CUS-500980"/>
    <s v="DINS-POL-200980"/>
    <x v="2"/>
    <x v="1"/>
    <x v="4"/>
    <x v="0"/>
    <x v="6"/>
    <d v="2023-11-17T00:00:00"/>
    <s v="Annual"/>
    <d v="2024-10-04T00:00:00"/>
    <x v="1"/>
    <n v="21997"/>
    <n v="5623"/>
    <n v="37"/>
    <d v="2024-11-10T00:00:00"/>
    <x v="0"/>
    <x v="0"/>
    <x v="2"/>
    <n v="3.9119999999999999"/>
    <n v="322"/>
    <n v="2024"/>
    <s v="October"/>
  </r>
  <r>
    <s v="DINS-CLM-100981"/>
    <s v="DINS-CUS-500981"/>
    <s v="DINS-POL-200981"/>
    <x v="0"/>
    <x v="2"/>
    <x v="0"/>
    <x v="0"/>
    <x v="0"/>
    <d v="2023-11-01T00:00:00"/>
    <s v="Annual"/>
    <d v="2024-03-13T00:00:00"/>
    <x v="1"/>
    <n v="32172"/>
    <n v="7439"/>
    <n v="45"/>
    <d v="2024-04-27T00:00:00"/>
    <x v="0"/>
    <x v="0"/>
    <x v="2"/>
    <n v="4.3247999999999998"/>
    <n v="133"/>
    <n v="2024"/>
    <s v="March"/>
  </r>
  <r>
    <s v="DINS-CLM-100982"/>
    <s v="DINS-CUS-500982"/>
    <s v="DINS-POL-200982"/>
    <x v="2"/>
    <x v="1"/>
    <x v="2"/>
    <x v="1"/>
    <x v="4"/>
    <d v="2023-12-13T00:00:00"/>
    <s v="Monthly"/>
    <d v="2024-02-26T00:00:00"/>
    <x v="1"/>
    <n v="21435"/>
    <n v="7761"/>
    <n v="20"/>
    <d v="2024-03-17T00:00:00"/>
    <x v="1"/>
    <x v="0"/>
    <x v="2"/>
    <n v="2.7618999999999998"/>
    <n v="75"/>
    <n v="2024"/>
    <s v="February"/>
  </r>
  <r>
    <s v="DINS-CLM-100983"/>
    <s v="DINS-CUS-500983"/>
    <s v="DINS-POL-200983"/>
    <x v="3"/>
    <x v="2"/>
    <x v="3"/>
    <x v="1"/>
    <x v="2"/>
    <d v="2024-06-04T00:00:00"/>
    <s v="Monthly"/>
    <d v="2024-09-27T00:00:00"/>
    <x v="1"/>
    <n v="30859"/>
    <n v="5442"/>
    <n v="26"/>
    <d v="2024-10-23T00:00:00"/>
    <x v="1"/>
    <x v="0"/>
    <x v="2"/>
    <n v="5.6704999999999997"/>
    <n v="115"/>
    <n v="2024"/>
    <s v="September"/>
  </r>
  <r>
    <s v="DINS-CLM-100984"/>
    <s v="DINS-CUS-500984"/>
    <s v="DINS-POL-200984"/>
    <x v="2"/>
    <x v="0"/>
    <x v="1"/>
    <x v="0"/>
    <x v="7"/>
    <d v="2023-10-10T00:00:00"/>
    <s v="Monthly"/>
    <d v="2024-02-17T00:00:00"/>
    <x v="2"/>
    <n v="6588"/>
    <n v="4702"/>
    <s v="N/A - Not Settled"/>
    <s v="N/A - Not Settled"/>
    <x v="0"/>
    <x v="0"/>
    <x v="1"/>
    <n v="1.4011"/>
    <n v="130"/>
    <n v="2024"/>
    <s v="February"/>
  </r>
  <r>
    <s v="DINS-CLM-100985"/>
    <s v="DINS-CUS-500985"/>
    <s v="DINS-POL-200985"/>
    <x v="0"/>
    <x v="1"/>
    <x v="0"/>
    <x v="0"/>
    <x v="2"/>
    <d v="2023-12-13T00:00:00"/>
    <s v="Monthly"/>
    <d v="2024-04-06T00:00:00"/>
    <x v="0"/>
    <n v="35475"/>
    <n v="3529"/>
    <s v="N/A - Not Settled"/>
    <s v="N/A - Not Settled"/>
    <x v="0"/>
    <x v="0"/>
    <x v="2"/>
    <n v="10.0524"/>
    <n v="115"/>
    <n v="2024"/>
    <s v="April"/>
  </r>
  <r>
    <s v="DINS-CLM-100986"/>
    <s v="DINS-CUS-500986"/>
    <s v="DINS-POL-200986"/>
    <x v="2"/>
    <x v="1"/>
    <x v="3"/>
    <x v="1"/>
    <x v="0"/>
    <d v="2023-08-26T00:00:00"/>
    <s v="Annual"/>
    <d v="2024-02-26T00:00:00"/>
    <x v="1"/>
    <n v="22042"/>
    <n v="6507"/>
    <n v="22"/>
    <d v="2024-03-19T00:00:00"/>
    <x v="0"/>
    <x v="0"/>
    <x v="1"/>
    <n v="3.3874"/>
    <n v="184"/>
    <n v="2024"/>
    <s v="February"/>
  </r>
  <r>
    <s v="DINS-CLM-100987"/>
    <s v="DINS-CUS-500987"/>
    <s v="DINS-POL-200987"/>
    <x v="0"/>
    <x v="0"/>
    <x v="2"/>
    <x v="0"/>
    <x v="3"/>
    <d v="2024-09-09T00:00:00"/>
    <s v="Monthly"/>
    <d v="2024-12-23T00:00:00"/>
    <x v="1"/>
    <n v="21615"/>
    <n v="2699"/>
    <n v="2"/>
    <d v="2024-12-25T00:00:00"/>
    <x v="0"/>
    <x v="0"/>
    <x v="0"/>
    <n v="8.0084999999999997"/>
    <n v="105"/>
    <n v="2024"/>
    <s v="December"/>
  </r>
  <r>
    <s v="DINS-CLM-100988"/>
    <s v="DINS-CUS-500988"/>
    <s v="DINS-POL-200988"/>
    <x v="1"/>
    <x v="0"/>
    <x v="0"/>
    <x v="0"/>
    <x v="2"/>
    <d v="2023-12-03T00:00:00"/>
    <s v="Monthly"/>
    <d v="2024-07-27T00:00:00"/>
    <x v="0"/>
    <n v="10230"/>
    <n v="5347"/>
    <s v="N/A - Not Settled"/>
    <s v="N/A - Not Settled"/>
    <x v="0"/>
    <x v="0"/>
    <x v="0"/>
    <n v="1.9132"/>
    <n v="237"/>
    <n v="2024"/>
    <s v="July"/>
  </r>
  <r>
    <s v="DINS-CLM-100989"/>
    <s v="DINS-CUS-500989"/>
    <s v="DINS-POL-200989"/>
    <x v="3"/>
    <x v="2"/>
    <x v="5"/>
    <x v="1"/>
    <x v="3"/>
    <d v="2024-04-11T00:00:00"/>
    <s v="Monthly"/>
    <d v="2024-09-18T00:00:00"/>
    <x v="2"/>
    <n v="94232"/>
    <n v="3347"/>
    <s v="N/A - Not Settled"/>
    <s v="N/A - Not Settled"/>
    <x v="0"/>
    <x v="0"/>
    <x v="2"/>
    <n v="28.154199999999999"/>
    <n v="160"/>
    <n v="2024"/>
    <s v="September"/>
  </r>
  <r>
    <s v="DINS-CLM-100990"/>
    <s v="DINS-CUS-500990"/>
    <s v="DINS-POL-200990"/>
    <x v="4"/>
    <x v="1"/>
    <x v="1"/>
    <x v="0"/>
    <x v="3"/>
    <d v="2023-10-19T00:00:00"/>
    <s v="Annual"/>
    <d v="2024-09-11T00:00:00"/>
    <x v="1"/>
    <n v="18329"/>
    <n v="2561"/>
    <n v="3"/>
    <d v="2024-09-14T00:00:00"/>
    <x v="0"/>
    <x v="0"/>
    <x v="2"/>
    <n v="7.157"/>
    <n v="328"/>
    <n v="2024"/>
    <s v="September"/>
  </r>
  <r>
    <s v="DINS-CLM-100991"/>
    <s v="DINS-CUS-500991"/>
    <s v="DINS-POL-200991"/>
    <x v="5"/>
    <x v="1"/>
    <x v="3"/>
    <x v="2"/>
    <x v="5"/>
    <d v="2023-12-27T00:00:00"/>
    <s v="Monthly"/>
    <d v="2024-09-23T00:00:00"/>
    <x v="1"/>
    <n v="37761"/>
    <n v="1845"/>
    <n v="22"/>
    <d v="2024-10-15T00:00:00"/>
    <x v="0"/>
    <x v="0"/>
    <x v="0"/>
    <n v="20.466699999999999"/>
    <n v="271"/>
    <n v="2024"/>
    <s v="September"/>
  </r>
  <r>
    <s v="DINS-CLM-100992"/>
    <s v="DINS-CUS-500992"/>
    <s v="DINS-POL-200992"/>
    <x v="2"/>
    <x v="2"/>
    <x v="5"/>
    <x v="1"/>
    <x v="5"/>
    <d v="2023-10-23T00:00:00"/>
    <s v="Monthly"/>
    <d v="2024-03-29T00:00:00"/>
    <x v="0"/>
    <n v="11716"/>
    <n v="627"/>
    <s v="N/A - Not Settled"/>
    <s v="N/A - Not Settled"/>
    <x v="0"/>
    <x v="0"/>
    <x v="1"/>
    <n v="18.6858"/>
    <n v="158"/>
    <n v="2024"/>
    <s v="March"/>
  </r>
  <r>
    <s v="DINS-CLM-100993"/>
    <s v="DINS-CUS-500993"/>
    <s v="DINS-POL-200993"/>
    <x v="4"/>
    <x v="1"/>
    <x v="5"/>
    <x v="2"/>
    <x v="0"/>
    <d v="2023-09-16T00:00:00"/>
    <s v="Annual"/>
    <d v="2024-04-20T00:00:00"/>
    <x v="1"/>
    <n v="5742"/>
    <n v="5428"/>
    <n v="29"/>
    <d v="2024-05-19T00:00:00"/>
    <x v="0"/>
    <x v="0"/>
    <x v="1"/>
    <n v="1.0578000000000001"/>
    <n v="217"/>
    <n v="2024"/>
    <s v="April"/>
  </r>
  <r>
    <s v="DINS-CLM-100994"/>
    <s v="DINS-CUS-500994"/>
    <s v="DINS-POL-200994"/>
    <x v="0"/>
    <x v="2"/>
    <x v="1"/>
    <x v="1"/>
    <x v="7"/>
    <d v="2024-07-13T00:00:00"/>
    <s v="Monthly"/>
    <d v="2024-11-01T00:00:00"/>
    <x v="1"/>
    <n v="26297"/>
    <n v="8452"/>
    <n v="24"/>
    <d v="2024-11-25T00:00:00"/>
    <x v="0"/>
    <x v="0"/>
    <x v="1"/>
    <n v="3.1113"/>
    <n v="111"/>
    <n v="2024"/>
    <s v="November"/>
  </r>
  <r>
    <s v="DINS-CLM-100995"/>
    <s v="DINS-CUS-500995"/>
    <s v="DINS-POL-200995"/>
    <x v="5"/>
    <x v="2"/>
    <x v="0"/>
    <x v="0"/>
    <x v="0"/>
    <d v="2023-05-14T00:00:00"/>
    <s v="Monthly"/>
    <d v="2024-03-09T00:00:00"/>
    <x v="0"/>
    <n v="63053"/>
    <n v="1752"/>
    <s v="N/A - Not Settled"/>
    <s v="N/A - Not Settled"/>
    <x v="0"/>
    <x v="0"/>
    <x v="0"/>
    <n v="35.989199999999997"/>
    <n v="300"/>
    <n v="2024"/>
    <s v="March"/>
  </r>
  <r>
    <s v="DINS-CLM-100996"/>
    <s v="DINS-CUS-500996"/>
    <s v="DINS-POL-200996"/>
    <x v="2"/>
    <x v="1"/>
    <x v="2"/>
    <x v="0"/>
    <x v="3"/>
    <d v="2023-04-03T00:00:00"/>
    <s v="Annual"/>
    <d v="2024-03-07T00:00:00"/>
    <x v="1"/>
    <n v="19061"/>
    <n v="8886"/>
    <n v="13"/>
    <d v="2024-03-20T00:00:00"/>
    <x v="0"/>
    <x v="0"/>
    <x v="0"/>
    <n v="2.1450999999999998"/>
    <n v="339"/>
    <n v="2024"/>
    <s v="March"/>
  </r>
  <r>
    <s v="DINS-CLM-100997"/>
    <s v="DINS-CUS-500997"/>
    <s v="DINS-POL-200997"/>
    <x v="2"/>
    <x v="1"/>
    <x v="2"/>
    <x v="0"/>
    <x v="1"/>
    <d v="2024-04-13T00:00:00"/>
    <s v="Annual"/>
    <d v="2024-06-22T00:00:00"/>
    <x v="0"/>
    <n v="23388"/>
    <n v="1160"/>
    <s v="N/A - Not Settled"/>
    <s v="N/A - Not Settled"/>
    <x v="0"/>
    <x v="0"/>
    <x v="2"/>
    <n v="20.162099999999999"/>
    <n v="70"/>
    <n v="2024"/>
    <s v="June"/>
  </r>
  <r>
    <s v="DINS-CLM-100998"/>
    <s v="DINS-CUS-500998"/>
    <s v="DINS-POL-200998"/>
    <x v="1"/>
    <x v="0"/>
    <x v="4"/>
    <x v="2"/>
    <x v="3"/>
    <d v="2023-09-09T00:00:00"/>
    <s v="Annual"/>
    <d v="2024-05-18T00:00:00"/>
    <x v="1"/>
    <n v="32803"/>
    <n v="1262"/>
    <n v="25"/>
    <d v="2024-06-12T00:00:00"/>
    <x v="0"/>
    <x v="0"/>
    <x v="2"/>
    <n v="25.992899999999999"/>
    <n v="252"/>
    <n v="2024"/>
    <s v="May"/>
  </r>
  <r>
    <s v="DINS-CLM-100999"/>
    <s v="DINS-CUS-500999"/>
    <s v="DINS-POL-200999"/>
    <x v="2"/>
    <x v="1"/>
    <x v="1"/>
    <x v="0"/>
    <x v="2"/>
    <d v="2023-10-20T00:00:00"/>
    <s v="Annual"/>
    <d v="2024-08-09T00:00:00"/>
    <x v="1"/>
    <n v="10445"/>
    <n v="8218"/>
    <n v="45"/>
    <d v="2024-09-23T00:00:00"/>
    <x v="0"/>
    <x v="0"/>
    <x v="1"/>
    <n v="1.2709999999999999"/>
    <n v="294"/>
    <n v="2024"/>
    <s v="August"/>
  </r>
  <r>
    <s v="DINS-CLM-101000"/>
    <s v="DINS-CUS-501000"/>
    <s v="DINS-POL-201000"/>
    <x v="0"/>
    <x v="0"/>
    <x v="2"/>
    <x v="2"/>
    <x v="3"/>
    <d v="2023-10-05T00:00:00"/>
    <s v="Annual"/>
    <d v="2024-04-30T00:00:00"/>
    <x v="1"/>
    <n v="38150"/>
    <n v="7177"/>
    <n v="17"/>
    <d v="2024-05-17T00:00:00"/>
    <x v="0"/>
    <x v="0"/>
    <x v="2"/>
    <n v="5.3155999999999999"/>
    <n v="208"/>
    <n v="2024"/>
    <s v="April"/>
  </r>
  <r>
    <s v="DINS-CLM-101001"/>
    <s v="DINS-CUS-501001"/>
    <s v="DINS-POL-201001"/>
    <x v="5"/>
    <x v="0"/>
    <x v="4"/>
    <x v="1"/>
    <x v="1"/>
    <d v="2023-09-21T00:00:00"/>
    <s v="Monthly"/>
    <d v="2024-03-15T00:00:00"/>
    <x v="1"/>
    <n v="43520"/>
    <n v="2226"/>
    <n v="34"/>
    <d v="2024-04-18T00:00:00"/>
    <x v="0"/>
    <x v="0"/>
    <x v="0"/>
    <n v="19.550799999999999"/>
    <n v="176"/>
    <n v="2024"/>
    <s v="March"/>
  </r>
  <r>
    <s v="DINS-CLM-101002"/>
    <s v="DINS-CUS-501002"/>
    <s v="DINS-POL-201002"/>
    <x v="5"/>
    <x v="0"/>
    <x v="5"/>
    <x v="1"/>
    <x v="6"/>
    <d v="2024-02-04T00:00:00"/>
    <s v="Monthly"/>
    <d v="2024-07-06T00:00:00"/>
    <x v="1"/>
    <n v="75773"/>
    <n v="1142"/>
    <n v="31"/>
    <d v="2024-08-06T00:00:00"/>
    <x v="0"/>
    <x v="0"/>
    <x v="2"/>
    <n v="66.351100000000002"/>
    <n v="153"/>
    <n v="2024"/>
    <s v="July"/>
  </r>
  <r>
    <s v="DINS-CLM-101003"/>
    <s v="DINS-CUS-501003"/>
    <s v="DINS-POL-201003"/>
    <x v="1"/>
    <x v="1"/>
    <x v="3"/>
    <x v="0"/>
    <x v="4"/>
    <d v="2024-04-03T00:00:00"/>
    <s v="Monthly"/>
    <d v="2024-07-02T00:00:00"/>
    <x v="2"/>
    <n v="40323"/>
    <n v="7161"/>
    <s v="N/A - Not Settled"/>
    <s v="N/A - Not Settled"/>
    <x v="0"/>
    <x v="0"/>
    <x v="1"/>
    <n v="5.6308999999999996"/>
    <n v="90"/>
    <n v="2024"/>
    <s v="July"/>
  </r>
  <r>
    <s v="DINS-CLM-101004"/>
    <s v="DINS-CUS-501004"/>
    <s v="DINS-POL-201004"/>
    <x v="2"/>
    <x v="1"/>
    <x v="2"/>
    <x v="1"/>
    <x v="6"/>
    <d v="2024-10-25T00:00:00"/>
    <s v="Annual"/>
    <d v="2024-12-29T00:00:00"/>
    <x v="0"/>
    <n v="21069"/>
    <n v="3003"/>
    <s v="N/A - Not Settled"/>
    <s v="N/A - Not Settled"/>
    <x v="0"/>
    <x v="0"/>
    <x v="1"/>
    <n v="7.016"/>
    <n v="65"/>
    <n v="2024"/>
    <s v="December"/>
  </r>
  <r>
    <s v="DINS-CLM-101005"/>
    <s v="DINS-CUS-501005"/>
    <s v="DINS-POL-201005"/>
    <x v="2"/>
    <x v="1"/>
    <x v="2"/>
    <x v="2"/>
    <x v="3"/>
    <d v="2024-04-05T00:00:00"/>
    <s v="Monthly"/>
    <d v="2024-06-28T00:00:00"/>
    <x v="1"/>
    <n v="6581"/>
    <n v="1864"/>
    <n v="17"/>
    <d v="2024-07-15T00:00:00"/>
    <x v="1"/>
    <x v="0"/>
    <x v="0"/>
    <n v="3.5306000000000002"/>
    <n v="84"/>
    <n v="2024"/>
    <s v="June"/>
  </r>
  <r>
    <s v="DINS-CLM-101006"/>
    <s v="DINS-CUS-501006"/>
    <s v="DINS-POL-201006"/>
    <x v="3"/>
    <x v="2"/>
    <x v="0"/>
    <x v="2"/>
    <x v="4"/>
    <d v="2023-10-17T00:00:00"/>
    <s v="Monthly"/>
    <d v="2024-06-17T00:00:00"/>
    <x v="1"/>
    <n v="33296"/>
    <n v="7836"/>
    <n v="9"/>
    <d v="2024-06-26T00:00:00"/>
    <x v="0"/>
    <x v="0"/>
    <x v="0"/>
    <n v="4.2491000000000003"/>
    <n v="244"/>
    <n v="2024"/>
    <s v="June"/>
  </r>
  <r>
    <s v="DINS-CLM-101007"/>
    <s v="DINS-CUS-501007"/>
    <s v="DINS-POL-201007"/>
    <x v="3"/>
    <x v="0"/>
    <x v="0"/>
    <x v="2"/>
    <x v="2"/>
    <d v="2023-09-12T00:00:00"/>
    <s v="Monthly"/>
    <d v="2024-07-05T00:00:00"/>
    <x v="1"/>
    <n v="48801"/>
    <n v="7581"/>
    <n v="19"/>
    <d v="2024-07-24T00:00:00"/>
    <x v="0"/>
    <x v="0"/>
    <x v="1"/>
    <n v="6.4372999999999996"/>
    <n v="297"/>
    <n v="2024"/>
    <s v="July"/>
  </r>
  <r>
    <s v="DINS-CLM-101008"/>
    <s v="DINS-CUS-501008"/>
    <s v="DINS-POL-201008"/>
    <x v="1"/>
    <x v="0"/>
    <x v="4"/>
    <x v="1"/>
    <x v="1"/>
    <d v="2023-08-04T00:00:00"/>
    <s v="Monthly"/>
    <d v="2024-04-09T00:00:00"/>
    <x v="1"/>
    <n v="18092"/>
    <n v="3442"/>
    <n v="32"/>
    <d v="2024-05-11T00:00:00"/>
    <x v="0"/>
    <x v="0"/>
    <x v="0"/>
    <n v="5.2561999999999998"/>
    <n v="249"/>
    <n v="2024"/>
    <s v="April"/>
  </r>
  <r>
    <s v="DINS-CLM-101009"/>
    <s v="DINS-CUS-501009"/>
    <s v="DINS-POL-201009"/>
    <x v="3"/>
    <x v="1"/>
    <x v="4"/>
    <x v="2"/>
    <x v="2"/>
    <d v="2023-10-14T00:00:00"/>
    <s v="Annual"/>
    <d v="2024-03-04T00:00:00"/>
    <x v="1"/>
    <n v="84272"/>
    <n v="2349"/>
    <n v="45"/>
    <d v="2024-04-18T00:00:00"/>
    <x v="0"/>
    <x v="0"/>
    <x v="1"/>
    <n v="35.875700000000002"/>
    <n v="142"/>
    <n v="2024"/>
    <s v="March"/>
  </r>
  <r>
    <s v="DINS-CLM-101010"/>
    <s v="DINS-CUS-501010"/>
    <s v="DINS-POL-201010"/>
    <x v="5"/>
    <x v="0"/>
    <x v="0"/>
    <x v="0"/>
    <x v="0"/>
    <d v="2024-02-04T00:00:00"/>
    <s v="Annual"/>
    <d v="2024-07-02T00:00:00"/>
    <x v="0"/>
    <n v="42605"/>
    <n v="8159"/>
    <s v="N/A - Not Settled"/>
    <s v="N/A - Not Settled"/>
    <x v="0"/>
    <x v="0"/>
    <x v="2"/>
    <n v="5.2218"/>
    <n v="149"/>
    <n v="2024"/>
    <s v="July"/>
  </r>
  <r>
    <s v="DINS-CLM-101011"/>
    <s v="DINS-CUS-501011"/>
    <s v="DINS-POL-201011"/>
    <x v="5"/>
    <x v="0"/>
    <x v="3"/>
    <x v="2"/>
    <x v="2"/>
    <d v="2024-01-06T00:00:00"/>
    <s v="Monthly"/>
    <d v="2024-04-25T00:00:00"/>
    <x v="1"/>
    <n v="14315"/>
    <n v="7844"/>
    <n v="32"/>
    <d v="2024-05-27T00:00:00"/>
    <x v="0"/>
    <x v="0"/>
    <x v="2"/>
    <n v="1.825"/>
    <n v="110"/>
    <n v="2024"/>
    <s v="April"/>
  </r>
  <r>
    <s v="DINS-CLM-101012"/>
    <s v="DINS-CUS-501012"/>
    <s v="DINS-POL-201012"/>
    <x v="0"/>
    <x v="2"/>
    <x v="1"/>
    <x v="0"/>
    <x v="6"/>
    <d v="2023-07-14T00:00:00"/>
    <s v="Monthly"/>
    <d v="2024-01-03T00:00:00"/>
    <x v="0"/>
    <n v="19203"/>
    <n v="7830"/>
    <s v="N/A - Not Settled"/>
    <s v="N/A - Not Settled"/>
    <x v="0"/>
    <x v="0"/>
    <x v="2"/>
    <n v="2.4525000000000001"/>
    <n v="173"/>
    <n v="2024"/>
    <s v="January"/>
  </r>
  <r>
    <s v="DINS-CLM-101013"/>
    <s v="DINS-CUS-501013"/>
    <s v="DINS-POL-201013"/>
    <x v="1"/>
    <x v="2"/>
    <x v="4"/>
    <x v="1"/>
    <x v="2"/>
    <d v="2024-02-05T00:00:00"/>
    <s v="Monthly"/>
    <d v="2024-08-22T00:00:00"/>
    <x v="1"/>
    <n v="26263"/>
    <n v="2007"/>
    <n v="3"/>
    <d v="2024-08-25T00:00:00"/>
    <x v="0"/>
    <x v="0"/>
    <x v="0"/>
    <n v="13.085699999999999"/>
    <n v="199"/>
    <n v="2024"/>
    <s v="August"/>
  </r>
  <r>
    <s v="DINS-CLM-101014"/>
    <s v="DINS-CUS-501014"/>
    <s v="DINS-POL-201014"/>
    <x v="0"/>
    <x v="1"/>
    <x v="2"/>
    <x v="0"/>
    <x v="1"/>
    <d v="2023-07-19T00:00:00"/>
    <s v="Monthly"/>
    <d v="2024-02-24T00:00:00"/>
    <x v="1"/>
    <n v="36945"/>
    <n v="2217"/>
    <n v="18"/>
    <d v="2024-03-13T00:00:00"/>
    <x v="0"/>
    <x v="0"/>
    <x v="2"/>
    <n v="16.664400000000001"/>
    <n v="220"/>
    <n v="2024"/>
    <s v="February"/>
  </r>
  <r>
    <s v="DINS-CLM-101015"/>
    <s v="DINS-CUS-501015"/>
    <s v="DINS-POL-201015"/>
    <x v="0"/>
    <x v="0"/>
    <x v="3"/>
    <x v="2"/>
    <x v="3"/>
    <d v="2023-11-09T00:00:00"/>
    <s v="Annual"/>
    <d v="2024-09-03T00:00:00"/>
    <x v="1"/>
    <n v="44585"/>
    <n v="4211"/>
    <n v="31"/>
    <d v="2024-10-04T00:00:00"/>
    <x v="1"/>
    <x v="0"/>
    <x v="0"/>
    <n v="10.5877"/>
    <n v="299"/>
    <n v="2024"/>
    <s v="September"/>
  </r>
  <r>
    <s v="DINS-CLM-101016"/>
    <s v="DINS-CUS-501016"/>
    <s v="DINS-POL-201016"/>
    <x v="1"/>
    <x v="0"/>
    <x v="3"/>
    <x v="2"/>
    <x v="6"/>
    <d v="2023-08-10T00:00:00"/>
    <s v="Annual"/>
    <d v="2024-08-06T00:00:00"/>
    <x v="1"/>
    <n v="15366"/>
    <n v="4243"/>
    <n v="25"/>
    <d v="2024-08-31T00:00:00"/>
    <x v="1"/>
    <x v="1"/>
    <x v="2"/>
    <n v="3.6215000000000002"/>
    <n v="362"/>
    <n v="2024"/>
    <s v="August"/>
  </r>
  <r>
    <s v="DINS-CLM-101017"/>
    <s v="DINS-CUS-501017"/>
    <s v="DINS-POL-201017"/>
    <x v="3"/>
    <x v="2"/>
    <x v="5"/>
    <x v="1"/>
    <x v="3"/>
    <d v="2023-12-24T00:00:00"/>
    <s v="Monthly"/>
    <d v="2024-09-16T00:00:00"/>
    <x v="1"/>
    <n v="65191"/>
    <n v="3988"/>
    <n v="15"/>
    <d v="2024-10-01T00:00:00"/>
    <x v="0"/>
    <x v="0"/>
    <x v="1"/>
    <n v="16.346800000000002"/>
    <n v="267"/>
    <n v="2024"/>
    <s v="September"/>
  </r>
  <r>
    <s v="DINS-CLM-101018"/>
    <s v="DINS-CUS-501018"/>
    <s v="DINS-POL-201018"/>
    <x v="0"/>
    <x v="2"/>
    <x v="3"/>
    <x v="1"/>
    <x v="5"/>
    <d v="2023-12-31T00:00:00"/>
    <s v="Annual"/>
    <d v="2024-03-07T00:00:00"/>
    <x v="1"/>
    <n v="28040"/>
    <n v="8813"/>
    <n v="15"/>
    <d v="2024-03-22T00:00:00"/>
    <x v="0"/>
    <x v="0"/>
    <x v="1"/>
    <n v="3.1817000000000002"/>
    <n v="67"/>
    <n v="2024"/>
    <s v="March"/>
  </r>
  <r>
    <s v="DINS-CLM-101019"/>
    <s v="DINS-CUS-501019"/>
    <s v="DINS-POL-201019"/>
    <x v="0"/>
    <x v="2"/>
    <x v="1"/>
    <x v="2"/>
    <x v="3"/>
    <d v="2023-09-30T00:00:00"/>
    <s v="Monthly"/>
    <d v="2024-03-12T00:00:00"/>
    <x v="1"/>
    <n v="57930"/>
    <n v="6172"/>
    <n v="18"/>
    <d v="2024-03-30T00:00:00"/>
    <x v="0"/>
    <x v="0"/>
    <x v="0"/>
    <n v="9.3858999999999995"/>
    <n v="164"/>
    <n v="2024"/>
    <s v="March"/>
  </r>
  <r>
    <s v="DINS-CLM-101020"/>
    <s v="DINS-CUS-501020"/>
    <s v="DINS-POL-201020"/>
    <x v="0"/>
    <x v="0"/>
    <x v="4"/>
    <x v="2"/>
    <x v="5"/>
    <d v="2023-12-14T00:00:00"/>
    <s v="Annual"/>
    <d v="2024-08-24T00:00:00"/>
    <x v="1"/>
    <n v="20778"/>
    <n v="8005"/>
    <n v="7"/>
    <d v="2024-08-31T00:00:00"/>
    <x v="1"/>
    <x v="1"/>
    <x v="1"/>
    <n v="2.5956000000000001"/>
    <n v="254"/>
    <n v="2024"/>
    <s v="August"/>
  </r>
  <r>
    <s v="DINS-CLM-101021"/>
    <s v="DINS-CUS-501021"/>
    <s v="DINS-POL-201021"/>
    <x v="4"/>
    <x v="1"/>
    <x v="5"/>
    <x v="1"/>
    <x v="7"/>
    <d v="2024-01-08T00:00:00"/>
    <s v="Annual"/>
    <d v="2024-09-06T00:00:00"/>
    <x v="1"/>
    <n v="7932"/>
    <n v="8230"/>
    <n v="41"/>
    <d v="2024-10-17T00:00:00"/>
    <x v="0"/>
    <x v="0"/>
    <x v="2"/>
    <n v="0.96379999999999999"/>
    <n v="242"/>
    <n v="2024"/>
    <s v="September"/>
  </r>
  <r>
    <s v="DINS-CLM-101022"/>
    <s v="DINS-CUS-501022"/>
    <s v="DINS-POL-201022"/>
    <x v="2"/>
    <x v="1"/>
    <x v="4"/>
    <x v="2"/>
    <x v="3"/>
    <d v="2023-07-17T00:00:00"/>
    <s v="Annual"/>
    <d v="2024-02-17T00:00:00"/>
    <x v="1"/>
    <n v="21846"/>
    <n v="1845"/>
    <n v="29"/>
    <d v="2024-03-17T00:00:00"/>
    <x v="0"/>
    <x v="0"/>
    <x v="2"/>
    <n v="11.8407"/>
    <n v="215"/>
    <n v="2024"/>
    <s v="February"/>
  </r>
  <r>
    <s v="DINS-CLM-101023"/>
    <s v="DINS-CUS-501023"/>
    <s v="DINS-POL-201023"/>
    <x v="5"/>
    <x v="1"/>
    <x v="3"/>
    <x v="1"/>
    <x v="5"/>
    <d v="2024-01-17T00:00:00"/>
    <s v="Monthly"/>
    <d v="2024-04-27T00:00:00"/>
    <x v="2"/>
    <n v="72275"/>
    <n v="2621"/>
    <s v="N/A - Not Settled"/>
    <s v="N/A - Not Settled"/>
    <x v="0"/>
    <x v="0"/>
    <x v="1"/>
    <n v="27.575399999999998"/>
    <n v="101"/>
    <n v="2024"/>
    <s v="April"/>
  </r>
  <r>
    <s v="DINS-CLM-101024"/>
    <s v="DINS-CUS-501024"/>
    <s v="DINS-POL-201024"/>
    <x v="0"/>
    <x v="0"/>
    <x v="2"/>
    <x v="0"/>
    <x v="2"/>
    <d v="2023-08-21T00:00:00"/>
    <s v="Monthly"/>
    <d v="2024-07-16T00:00:00"/>
    <x v="1"/>
    <n v="53614"/>
    <n v="6216"/>
    <n v="10"/>
    <d v="2024-07-26T00:00:00"/>
    <x v="0"/>
    <x v="0"/>
    <x v="0"/>
    <n v="8.6251999999999995"/>
    <n v="330"/>
    <n v="2024"/>
    <s v="July"/>
  </r>
  <r>
    <s v="DINS-CLM-101025"/>
    <s v="DINS-CUS-501025"/>
    <s v="DINS-POL-201025"/>
    <x v="5"/>
    <x v="0"/>
    <x v="5"/>
    <x v="2"/>
    <x v="6"/>
    <d v="2023-10-28T00:00:00"/>
    <s v="Annual"/>
    <d v="2024-03-18T00:00:00"/>
    <x v="1"/>
    <n v="61026"/>
    <n v="4256"/>
    <n v="2"/>
    <d v="2024-03-20T00:00:00"/>
    <x v="0"/>
    <x v="0"/>
    <x v="0"/>
    <n v="14.338800000000001"/>
    <n v="142"/>
    <n v="2024"/>
    <s v="March"/>
  </r>
  <r>
    <s v="DINS-CLM-101026"/>
    <s v="DINS-CUS-501026"/>
    <s v="DINS-POL-201026"/>
    <x v="2"/>
    <x v="1"/>
    <x v="5"/>
    <x v="0"/>
    <x v="2"/>
    <d v="2024-02-26T00:00:00"/>
    <s v="Annual"/>
    <d v="2024-05-06T00:00:00"/>
    <x v="1"/>
    <n v="30426"/>
    <n v="7108"/>
    <n v="29"/>
    <d v="2024-06-04T00:00:00"/>
    <x v="0"/>
    <x v="0"/>
    <x v="1"/>
    <n v="4.2805"/>
    <n v="70"/>
    <n v="2024"/>
    <s v="May"/>
  </r>
  <r>
    <s v="DINS-CLM-101027"/>
    <s v="DINS-CUS-501027"/>
    <s v="DINS-POL-201027"/>
    <x v="0"/>
    <x v="0"/>
    <x v="1"/>
    <x v="1"/>
    <x v="6"/>
    <d v="2023-11-10T00:00:00"/>
    <s v="Monthly"/>
    <d v="2024-07-11T00:00:00"/>
    <x v="2"/>
    <n v="57327"/>
    <n v="6733"/>
    <s v="N/A - Not Settled"/>
    <s v="N/A - Not Settled"/>
    <x v="0"/>
    <x v="0"/>
    <x v="2"/>
    <n v="8.5143000000000004"/>
    <n v="244"/>
    <n v="2024"/>
    <s v="July"/>
  </r>
  <r>
    <s v="DINS-CLM-101028"/>
    <s v="DINS-CUS-501028"/>
    <s v="DINS-POL-201028"/>
    <x v="0"/>
    <x v="1"/>
    <x v="0"/>
    <x v="0"/>
    <x v="1"/>
    <d v="2023-03-31T00:00:00"/>
    <s v="Monthly"/>
    <d v="2024-01-24T00:00:00"/>
    <x v="1"/>
    <n v="18147"/>
    <n v="2939"/>
    <n v="21"/>
    <d v="2024-02-14T00:00:00"/>
    <x v="0"/>
    <x v="0"/>
    <x v="1"/>
    <n v="6.1745000000000001"/>
    <n v="299"/>
    <n v="2024"/>
    <s v="January"/>
  </r>
  <r>
    <s v="DINS-CLM-101029"/>
    <s v="DINS-CUS-501029"/>
    <s v="DINS-POL-201029"/>
    <x v="2"/>
    <x v="1"/>
    <x v="3"/>
    <x v="0"/>
    <x v="5"/>
    <d v="2023-12-07T00:00:00"/>
    <s v="Annual"/>
    <d v="2024-07-22T00:00:00"/>
    <x v="1"/>
    <n v="26087"/>
    <n v="3906"/>
    <n v="14"/>
    <d v="2024-08-05T00:00:00"/>
    <x v="0"/>
    <x v="0"/>
    <x v="1"/>
    <n v="6.6787000000000001"/>
    <n v="228"/>
    <n v="2024"/>
    <s v="July"/>
  </r>
  <r>
    <s v="DINS-CLM-101030"/>
    <s v="DINS-CUS-501030"/>
    <s v="DINS-POL-201030"/>
    <x v="2"/>
    <x v="2"/>
    <x v="2"/>
    <x v="2"/>
    <x v="2"/>
    <d v="2024-04-27T00:00:00"/>
    <s v="Monthly"/>
    <d v="2024-12-05T00:00:00"/>
    <x v="1"/>
    <n v="2935"/>
    <n v="8522"/>
    <n v="39"/>
    <d v="2025-01-13T00:00:00"/>
    <x v="1"/>
    <x v="1"/>
    <x v="1"/>
    <n v="0.34439999999999998"/>
    <n v="222"/>
    <n v="2024"/>
    <s v="December"/>
  </r>
  <r>
    <s v="DINS-CLM-101031"/>
    <s v="DINS-CUS-501031"/>
    <s v="DINS-POL-201031"/>
    <x v="5"/>
    <x v="1"/>
    <x v="3"/>
    <x v="1"/>
    <x v="3"/>
    <d v="2024-03-11T00:00:00"/>
    <s v="Monthly"/>
    <d v="2024-08-02T00:00:00"/>
    <x v="1"/>
    <n v="13773"/>
    <n v="7366"/>
    <n v="19"/>
    <d v="2024-08-21T00:00:00"/>
    <x v="0"/>
    <x v="0"/>
    <x v="2"/>
    <n v="1.8697999999999999"/>
    <n v="144"/>
    <n v="2024"/>
    <s v="August"/>
  </r>
  <r>
    <s v="DINS-CLM-101032"/>
    <s v="DINS-CUS-501032"/>
    <s v="DINS-POL-201032"/>
    <x v="2"/>
    <x v="1"/>
    <x v="5"/>
    <x v="1"/>
    <x v="3"/>
    <d v="2023-12-18T00:00:00"/>
    <s v="Monthly"/>
    <d v="2024-08-07T00:00:00"/>
    <x v="1"/>
    <n v="22932"/>
    <n v="7180"/>
    <n v="17"/>
    <d v="2024-08-24T00:00:00"/>
    <x v="0"/>
    <x v="0"/>
    <x v="2"/>
    <n v="3.1939000000000002"/>
    <n v="233"/>
    <n v="2024"/>
    <s v="August"/>
  </r>
  <r>
    <s v="DINS-CLM-101033"/>
    <s v="DINS-CUS-501033"/>
    <s v="DINS-POL-201033"/>
    <x v="3"/>
    <x v="1"/>
    <x v="0"/>
    <x v="1"/>
    <x v="7"/>
    <d v="2023-11-07T00:00:00"/>
    <s v="Monthly"/>
    <d v="2024-10-19T00:00:00"/>
    <x v="1"/>
    <n v="83385"/>
    <n v="6270"/>
    <n v="18"/>
    <d v="2024-11-06T00:00:00"/>
    <x v="0"/>
    <x v="0"/>
    <x v="0"/>
    <n v="13.298999999999999"/>
    <n v="347"/>
    <n v="2024"/>
    <s v="October"/>
  </r>
  <r>
    <s v="DINS-CLM-101034"/>
    <s v="DINS-CUS-501034"/>
    <s v="DINS-POL-201034"/>
    <x v="0"/>
    <x v="0"/>
    <x v="0"/>
    <x v="0"/>
    <x v="5"/>
    <d v="2023-08-30T00:00:00"/>
    <s v="Annual"/>
    <d v="2024-07-26T00:00:00"/>
    <x v="2"/>
    <n v="19775"/>
    <n v="680"/>
    <s v="N/A - Not Settled"/>
    <s v="N/A - Not Settled"/>
    <x v="0"/>
    <x v="0"/>
    <x v="0"/>
    <n v="29.0809"/>
    <n v="331"/>
    <n v="2024"/>
    <s v="July"/>
  </r>
  <r>
    <s v="DINS-CLM-101035"/>
    <s v="DINS-CUS-501035"/>
    <s v="DINS-POL-201035"/>
    <x v="0"/>
    <x v="1"/>
    <x v="4"/>
    <x v="2"/>
    <x v="5"/>
    <d v="2024-07-13T00:00:00"/>
    <s v="Annual"/>
    <d v="2024-11-26T00:00:00"/>
    <x v="1"/>
    <n v="16279"/>
    <n v="5847"/>
    <n v="26"/>
    <d v="2024-12-22T00:00:00"/>
    <x v="0"/>
    <x v="0"/>
    <x v="2"/>
    <n v="2.7841999999999998"/>
    <n v="136"/>
    <n v="2024"/>
    <s v="November"/>
  </r>
  <r>
    <s v="DINS-CLM-101036"/>
    <s v="DINS-CUS-501036"/>
    <s v="DINS-POL-201036"/>
    <x v="0"/>
    <x v="1"/>
    <x v="3"/>
    <x v="0"/>
    <x v="7"/>
    <d v="2023-12-18T00:00:00"/>
    <s v="Monthly"/>
    <d v="2024-07-28T00:00:00"/>
    <x v="0"/>
    <n v="15442"/>
    <n v="4812"/>
    <s v="N/A - Not Settled"/>
    <s v="N/A - Not Settled"/>
    <x v="0"/>
    <x v="0"/>
    <x v="2"/>
    <n v="3.2090999999999998"/>
    <n v="223"/>
    <n v="2024"/>
    <s v="July"/>
  </r>
  <r>
    <s v="DINS-CLM-101037"/>
    <s v="DINS-CUS-501037"/>
    <s v="DINS-POL-201037"/>
    <x v="3"/>
    <x v="2"/>
    <x v="2"/>
    <x v="0"/>
    <x v="0"/>
    <d v="2023-11-07T00:00:00"/>
    <s v="Monthly"/>
    <d v="2024-04-01T00:00:00"/>
    <x v="0"/>
    <n v="51713"/>
    <n v="1079"/>
    <s v="N/A - Not Settled"/>
    <s v="N/A - Not Settled"/>
    <x v="0"/>
    <x v="0"/>
    <x v="2"/>
    <n v="47.9268"/>
    <n v="146"/>
    <n v="2024"/>
    <s v="April"/>
  </r>
  <r>
    <s v="DINS-CLM-101038"/>
    <s v="DINS-CUS-501038"/>
    <s v="DINS-POL-201038"/>
    <x v="4"/>
    <x v="2"/>
    <x v="2"/>
    <x v="1"/>
    <x v="1"/>
    <d v="2023-12-28T00:00:00"/>
    <s v="Monthly"/>
    <d v="2024-02-04T00:00:00"/>
    <x v="1"/>
    <n v="15987"/>
    <n v="936"/>
    <n v="20"/>
    <d v="2024-02-24T00:00:00"/>
    <x v="1"/>
    <x v="1"/>
    <x v="1"/>
    <n v="17.080100000000002"/>
    <n v="38"/>
    <n v="2024"/>
    <s v="February"/>
  </r>
  <r>
    <s v="DINS-CLM-101039"/>
    <s v="DINS-CUS-501039"/>
    <s v="DINS-POL-201039"/>
    <x v="0"/>
    <x v="0"/>
    <x v="2"/>
    <x v="1"/>
    <x v="2"/>
    <d v="2023-10-18T00:00:00"/>
    <s v="Monthly"/>
    <d v="2024-09-17T00:00:00"/>
    <x v="1"/>
    <n v="12226"/>
    <n v="6787"/>
    <n v="34"/>
    <d v="2024-10-21T00:00:00"/>
    <x v="1"/>
    <x v="0"/>
    <x v="1"/>
    <n v="1.8013999999999999"/>
    <n v="335"/>
    <n v="2024"/>
    <s v="September"/>
  </r>
  <r>
    <s v="DINS-CLM-101040"/>
    <s v="DINS-CUS-501040"/>
    <s v="DINS-POL-201040"/>
    <x v="4"/>
    <x v="1"/>
    <x v="2"/>
    <x v="0"/>
    <x v="4"/>
    <d v="2023-09-12T00:00:00"/>
    <s v="Monthly"/>
    <d v="2024-03-13T00:00:00"/>
    <x v="0"/>
    <n v="7450"/>
    <n v="2079"/>
    <s v="N/A - Not Settled"/>
    <s v="N/A - Not Settled"/>
    <x v="1"/>
    <x v="0"/>
    <x v="0"/>
    <n v="3.5834999999999999"/>
    <n v="183"/>
    <n v="2024"/>
    <s v="March"/>
  </r>
  <r>
    <s v="DINS-CLM-101041"/>
    <s v="DINS-CUS-501041"/>
    <s v="DINS-POL-201041"/>
    <x v="1"/>
    <x v="0"/>
    <x v="4"/>
    <x v="2"/>
    <x v="1"/>
    <d v="2024-07-19T00:00:00"/>
    <s v="Monthly"/>
    <d v="2024-12-29T00:00:00"/>
    <x v="1"/>
    <n v="62105"/>
    <n v="6877"/>
    <n v="42"/>
    <d v="2025-02-09T00:00:00"/>
    <x v="0"/>
    <x v="0"/>
    <x v="2"/>
    <n v="9.0307999999999993"/>
    <n v="163"/>
    <n v="2024"/>
    <s v="December"/>
  </r>
  <r>
    <s v="DINS-CLM-101042"/>
    <s v="DINS-CUS-501042"/>
    <s v="DINS-POL-201042"/>
    <x v="2"/>
    <x v="2"/>
    <x v="3"/>
    <x v="2"/>
    <x v="5"/>
    <d v="2023-02-18T00:00:00"/>
    <s v="Annual"/>
    <d v="2024-01-26T00:00:00"/>
    <x v="1"/>
    <n v="26488"/>
    <n v="7172"/>
    <n v="21"/>
    <d v="2024-02-16T00:00:00"/>
    <x v="0"/>
    <x v="0"/>
    <x v="2"/>
    <n v="3.6932999999999998"/>
    <n v="342"/>
    <n v="2024"/>
    <s v="January"/>
  </r>
  <r>
    <s v="DINS-CLM-101043"/>
    <s v="DINS-CUS-501043"/>
    <s v="DINS-POL-201043"/>
    <x v="2"/>
    <x v="1"/>
    <x v="1"/>
    <x v="2"/>
    <x v="2"/>
    <d v="2024-09-27T00:00:00"/>
    <s v="Annual"/>
    <d v="2024-11-17T00:00:00"/>
    <x v="0"/>
    <n v="5122"/>
    <n v="7441"/>
    <s v="N/A - Not Settled"/>
    <s v="N/A - Not Settled"/>
    <x v="0"/>
    <x v="0"/>
    <x v="1"/>
    <n v="0.68830000000000002"/>
    <n v="51"/>
    <n v="2024"/>
    <s v="November"/>
  </r>
  <r>
    <s v="DINS-CLM-101044"/>
    <s v="DINS-CUS-501044"/>
    <s v="DINS-POL-201044"/>
    <x v="0"/>
    <x v="2"/>
    <x v="1"/>
    <x v="0"/>
    <x v="1"/>
    <d v="2024-07-05T00:00:00"/>
    <s v="Monthly"/>
    <d v="2024-11-23T00:00:00"/>
    <x v="1"/>
    <n v="11956"/>
    <n v="6682"/>
    <n v="11"/>
    <d v="2024-12-04T00:00:00"/>
    <x v="0"/>
    <x v="0"/>
    <x v="0"/>
    <n v="1.7892999999999999"/>
    <n v="141"/>
    <n v="2024"/>
    <s v="November"/>
  </r>
  <r>
    <s v="DINS-CLM-101045"/>
    <s v="DINS-CUS-501045"/>
    <s v="DINS-POL-201045"/>
    <x v="3"/>
    <x v="2"/>
    <x v="3"/>
    <x v="2"/>
    <x v="6"/>
    <d v="2023-12-07T00:00:00"/>
    <s v="Monthly"/>
    <d v="2024-09-24T00:00:00"/>
    <x v="1"/>
    <n v="72277"/>
    <n v="850"/>
    <n v="28"/>
    <d v="2024-10-22T00:00:00"/>
    <x v="0"/>
    <x v="0"/>
    <x v="1"/>
    <n v="85.031800000000004"/>
    <n v="292"/>
    <n v="2024"/>
    <s v="September"/>
  </r>
  <r>
    <s v="DINS-CLM-101046"/>
    <s v="DINS-CUS-501046"/>
    <s v="DINS-POL-201046"/>
    <x v="2"/>
    <x v="0"/>
    <x v="0"/>
    <x v="0"/>
    <x v="1"/>
    <d v="2023-09-04T00:00:00"/>
    <s v="Annual"/>
    <d v="2024-07-30T00:00:00"/>
    <x v="0"/>
    <n v="16223"/>
    <n v="4526"/>
    <s v="N/A - Not Settled"/>
    <s v="N/A - Not Settled"/>
    <x v="0"/>
    <x v="0"/>
    <x v="0"/>
    <n v="3.5844"/>
    <n v="330"/>
    <n v="2024"/>
    <s v="July"/>
  </r>
  <r>
    <s v="DINS-CLM-101047"/>
    <s v="DINS-CUS-501047"/>
    <s v="DINS-POL-201047"/>
    <x v="2"/>
    <x v="1"/>
    <x v="5"/>
    <x v="1"/>
    <x v="0"/>
    <d v="2023-12-24T00:00:00"/>
    <s v="Annual"/>
    <d v="2024-05-23T00:00:00"/>
    <x v="1"/>
    <n v="24369"/>
    <n v="1199"/>
    <n v="22"/>
    <d v="2024-06-14T00:00:00"/>
    <x v="0"/>
    <x v="0"/>
    <x v="2"/>
    <n v="20.324400000000001"/>
    <n v="151"/>
    <n v="2024"/>
    <s v="May"/>
  </r>
  <r>
    <s v="DINS-CLM-101048"/>
    <s v="DINS-CUS-501048"/>
    <s v="DINS-POL-201048"/>
    <x v="5"/>
    <x v="2"/>
    <x v="5"/>
    <x v="2"/>
    <x v="2"/>
    <d v="2023-11-25T00:00:00"/>
    <s v="Annual"/>
    <d v="2024-05-08T00:00:00"/>
    <x v="1"/>
    <n v="59540"/>
    <n v="3374"/>
    <n v="6"/>
    <d v="2024-05-14T00:00:00"/>
    <x v="0"/>
    <x v="0"/>
    <x v="1"/>
    <n v="17.646699999999999"/>
    <n v="165"/>
    <n v="2024"/>
    <s v="May"/>
  </r>
  <r>
    <s v="DINS-CLM-101049"/>
    <s v="DINS-CUS-501049"/>
    <s v="DINS-POL-201049"/>
    <x v="1"/>
    <x v="0"/>
    <x v="3"/>
    <x v="2"/>
    <x v="7"/>
    <d v="2023-08-30T00:00:00"/>
    <s v="Annual"/>
    <d v="2024-07-03T00:00:00"/>
    <x v="1"/>
    <n v="67330"/>
    <n v="2465"/>
    <n v="26"/>
    <d v="2024-07-29T00:00:00"/>
    <x v="0"/>
    <x v="0"/>
    <x v="0"/>
    <n v="27.314399999999999"/>
    <n v="308"/>
    <n v="2024"/>
    <s v="July"/>
  </r>
  <r>
    <s v="DINS-CLM-101050"/>
    <s v="DINS-CUS-501050"/>
    <s v="DINS-POL-201050"/>
    <x v="2"/>
    <x v="0"/>
    <x v="3"/>
    <x v="0"/>
    <x v="5"/>
    <d v="2023-08-23T00:00:00"/>
    <s v="Annual"/>
    <d v="2024-07-26T00:00:00"/>
    <x v="1"/>
    <n v="12424"/>
    <n v="970"/>
    <n v="36"/>
    <d v="2024-08-31T00:00:00"/>
    <x v="0"/>
    <x v="0"/>
    <x v="2"/>
    <n v="12.808199999999999"/>
    <n v="338"/>
    <n v="2024"/>
    <s v="July"/>
  </r>
  <r>
    <s v="DINS-CLM-101051"/>
    <s v="DINS-CUS-501051"/>
    <s v="DINS-POL-201051"/>
    <x v="2"/>
    <x v="2"/>
    <x v="1"/>
    <x v="2"/>
    <x v="4"/>
    <d v="2024-01-24T00:00:00"/>
    <s v="Monthly"/>
    <d v="2024-12-18T00:00:00"/>
    <x v="0"/>
    <n v="3656"/>
    <n v="2871"/>
    <s v="N/A - Not Settled"/>
    <s v="N/A - Not Settled"/>
    <x v="0"/>
    <x v="0"/>
    <x v="2"/>
    <n v="1.2734000000000001"/>
    <n v="329"/>
    <n v="2024"/>
    <s v="December"/>
  </r>
  <r>
    <s v="DINS-CLM-101052"/>
    <s v="DINS-CUS-501052"/>
    <s v="DINS-POL-201052"/>
    <x v="0"/>
    <x v="1"/>
    <x v="2"/>
    <x v="2"/>
    <x v="3"/>
    <d v="2023-07-25T00:00:00"/>
    <s v="Monthly"/>
    <d v="2024-04-16T00:00:00"/>
    <x v="1"/>
    <n v="53755"/>
    <n v="8075"/>
    <n v="22"/>
    <d v="2024-05-08T00:00:00"/>
    <x v="1"/>
    <x v="1"/>
    <x v="0"/>
    <n v="6.657"/>
    <n v="266"/>
    <n v="2024"/>
    <s v="April"/>
  </r>
  <r>
    <s v="DINS-CLM-101053"/>
    <s v="DINS-CUS-501053"/>
    <s v="DINS-POL-201053"/>
    <x v="1"/>
    <x v="1"/>
    <x v="2"/>
    <x v="1"/>
    <x v="2"/>
    <d v="2023-05-16T00:00:00"/>
    <s v="Annual"/>
    <d v="2024-02-20T00:00:00"/>
    <x v="1"/>
    <n v="32725"/>
    <n v="1304"/>
    <n v="5"/>
    <d v="2024-02-25T00:00:00"/>
    <x v="0"/>
    <x v="0"/>
    <x v="1"/>
    <n v="25.0959"/>
    <n v="280"/>
    <n v="2024"/>
    <s v="February"/>
  </r>
  <r>
    <s v="DINS-CLM-101054"/>
    <s v="DINS-CUS-501054"/>
    <s v="DINS-POL-201054"/>
    <x v="0"/>
    <x v="1"/>
    <x v="0"/>
    <x v="2"/>
    <x v="3"/>
    <d v="2024-06-30T00:00:00"/>
    <s v="Monthly"/>
    <d v="2024-08-18T00:00:00"/>
    <x v="1"/>
    <n v="56946"/>
    <n v="2950"/>
    <n v="7"/>
    <d v="2024-08-25T00:00:00"/>
    <x v="0"/>
    <x v="0"/>
    <x v="0"/>
    <n v="19.303699999999999"/>
    <n v="49"/>
    <n v="2024"/>
    <s v="August"/>
  </r>
  <r>
    <s v="DINS-CLM-101055"/>
    <s v="DINS-CUS-501055"/>
    <s v="DINS-POL-201055"/>
    <x v="3"/>
    <x v="2"/>
    <x v="4"/>
    <x v="2"/>
    <x v="4"/>
    <d v="2023-12-25T00:00:00"/>
    <s v="Monthly"/>
    <d v="2024-09-06T00:00:00"/>
    <x v="1"/>
    <n v="67287"/>
    <n v="3716"/>
    <n v="27"/>
    <d v="2024-10-03T00:00:00"/>
    <x v="0"/>
    <x v="0"/>
    <x v="0"/>
    <n v="18.107399999999998"/>
    <n v="256"/>
    <n v="2024"/>
    <s v="September"/>
  </r>
  <r>
    <s v="DINS-CLM-101056"/>
    <s v="DINS-CUS-501056"/>
    <s v="DINS-POL-201056"/>
    <x v="3"/>
    <x v="2"/>
    <x v="5"/>
    <x v="0"/>
    <x v="3"/>
    <d v="2024-08-04T00:00:00"/>
    <s v="Monthly"/>
    <d v="2024-09-16T00:00:00"/>
    <x v="1"/>
    <n v="70936"/>
    <n v="723"/>
    <n v="36"/>
    <d v="2024-10-22T00:00:00"/>
    <x v="0"/>
    <x v="0"/>
    <x v="1"/>
    <n v="98.113399999999999"/>
    <n v="43"/>
    <n v="2024"/>
    <s v="September"/>
  </r>
  <r>
    <s v="DINS-CLM-101057"/>
    <s v="DINS-CUS-501057"/>
    <s v="DINS-POL-201057"/>
    <x v="1"/>
    <x v="2"/>
    <x v="3"/>
    <x v="2"/>
    <x v="0"/>
    <d v="2024-04-18T00:00:00"/>
    <s v="Monthly"/>
    <d v="2024-09-18T00:00:00"/>
    <x v="1"/>
    <n v="19475"/>
    <n v="7610"/>
    <n v="27"/>
    <d v="2024-10-15T00:00:00"/>
    <x v="0"/>
    <x v="0"/>
    <x v="0"/>
    <n v="2.5590999999999999"/>
    <n v="153"/>
    <n v="2024"/>
    <s v="September"/>
  </r>
  <r>
    <s v="DINS-CLM-101058"/>
    <s v="DINS-CUS-501058"/>
    <s v="DINS-POL-201058"/>
    <x v="2"/>
    <x v="2"/>
    <x v="0"/>
    <x v="1"/>
    <x v="0"/>
    <d v="2023-07-18T00:00:00"/>
    <s v="Annual"/>
    <d v="2024-02-02T00:00:00"/>
    <x v="1"/>
    <n v="9041"/>
    <n v="6967"/>
    <n v="17"/>
    <d v="2024-02-19T00:00:00"/>
    <x v="0"/>
    <x v="0"/>
    <x v="2"/>
    <n v="1.2977000000000001"/>
    <n v="199"/>
    <n v="2024"/>
    <s v="February"/>
  </r>
  <r>
    <s v="DINS-CLM-101059"/>
    <s v="DINS-CUS-501059"/>
    <s v="DINS-POL-201059"/>
    <x v="0"/>
    <x v="0"/>
    <x v="4"/>
    <x v="2"/>
    <x v="2"/>
    <d v="2023-09-24T00:00:00"/>
    <s v="Monthly"/>
    <d v="2024-02-21T00:00:00"/>
    <x v="2"/>
    <n v="45555"/>
    <n v="8079"/>
    <s v="N/A - Not Settled"/>
    <s v="N/A - Not Settled"/>
    <x v="0"/>
    <x v="0"/>
    <x v="0"/>
    <n v="5.6387"/>
    <n v="150"/>
    <n v="2024"/>
    <s v="February"/>
  </r>
  <r>
    <s v="DINS-CLM-101060"/>
    <s v="DINS-CUS-501060"/>
    <s v="DINS-POL-201060"/>
    <x v="0"/>
    <x v="1"/>
    <x v="4"/>
    <x v="2"/>
    <x v="0"/>
    <d v="2023-08-23T00:00:00"/>
    <s v="Annual"/>
    <d v="2024-02-07T00:00:00"/>
    <x v="1"/>
    <n v="5032"/>
    <n v="1583"/>
    <n v="16"/>
    <d v="2024-02-23T00:00:00"/>
    <x v="0"/>
    <x v="0"/>
    <x v="0"/>
    <n v="3.1787999999999998"/>
    <n v="168"/>
    <n v="2024"/>
    <s v="February"/>
  </r>
  <r>
    <s v="DINS-CLM-101061"/>
    <s v="DINS-CUS-501061"/>
    <s v="DINS-POL-201061"/>
    <x v="3"/>
    <x v="2"/>
    <x v="0"/>
    <x v="2"/>
    <x v="7"/>
    <d v="2024-04-10T00:00:00"/>
    <s v="Annual"/>
    <d v="2024-10-01T00:00:00"/>
    <x v="1"/>
    <n v="52720"/>
    <n v="5201"/>
    <n v="13"/>
    <d v="2024-10-14T00:00:00"/>
    <x v="1"/>
    <x v="0"/>
    <x v="0"/>
    <n v="10.1365"/>
    <n v="174"/>
    <n v="2024"/>
    <s v="October"/>
  </r>
  <r>
    <s v="DINS-CLM-101062"/>
    <s v="DINS-CUS-501062"/>
    <s v="DINS-POL-201062"/>
    <x v="3"/>
    <x v="2"/>
    <x v="3"/>
    <x v="1"/>
    <x v="1"/>
    <d v="2023-12-02T00:00:00"/>
    <s v="Annual"/>
    <d v="2024-07-30T00:00:00"/>
    <x v="0"/>
    <n v="17481"/>
    <n v="562"/>
    <s v="N/A - Not Settled"/>
    <s v="N/A - Not Settled"/>
    <x v="0"/>
    <x v="0"/>
    <x v="2"/>
    <n v="31.105"/>
    <n v="241"/>
    <n v="2024"/>
    <s v="July"/>
  </r>
  <r>
    <s v="DINS-CLM-101063"/>
    <s v="DINS-CUS-501063"/>
    <s v="DINS-POL-201063"/>
    <x v="5"/>
    <x v="1"/>
    <x v="4"/>
    <x v="1"/>
    <x v="6"/>
    <d v="2024-01-08T00:00:00"/>
    <s v="Annual"/>
    <d v="2024-12-05T00:00:00"/>
    <x v="1"/>
    <n v="76067"/>
    <n v="5356"/>
    <n v="31"/>
    <d v="2025-01-05T00:00:00"/>
    <x v="0"/>
    <x v="0"/>
    <x v="1"/>
    <n v="14.202199999999999"/>
    <n v="332"/>
    <n v="2024"/>
    <s v="December"/>
  </r>
  <r>
    <s v="DINS-CLM-101064"/>
    <s v="DINS-CUS-501064"/>
    <s v="DINS-POL-201064"/>
    <x v="4"/>
    <x v="1"/>
    <x v="2"/>
    <x v="0"/>
    <x v="2"/>
    <d v="2023-06-27T00:00:00"/>
    <s v="Monthly"/>
    <d v="2024-02-09T00:00:00"/>
    <x v="1"/>
    <n v="18324"/>
    <n v="6811"/>
    <n v="4"/>
    <d v="2024-02-13T00:00:00"/>
    <x v="0"/>
    <x v="0"/>
    <x v="2"/>
    <n v="2.6903999999999999"/>
    <n v="227"/>
    <n v="2024"/>
    <s v="February"/>
  </r>
  <r>
    <s v="DINS-CLM-101065"/>
    <s v="DINS-CUS-501065"/>
    <s v="DINS-POL-201065"/>
    <x v="2"/>
    <x v="0"/>
    <x v="4"/>
    <x v="1"/>
    <x v="6"/>
    <d v="2023-05-19T00:00:00"/>
    <s v="Annual"/>
    <d v="2024-02-08T00:00:00"/>
    <x v="1"/>
    <n v="14331"/>
    <n v="977"/>
    <n v="28"/>
    <d v="2024-03-07T00:00:00"/>
    <x v="0"/>
    <x v="0"/>
    <x v="0"/>
    <n v="14.6684"/>
    <n v="265"/>
    <n v="2024"/>
    <s v="February"/>
  </r>
  <r>
    <s v="DINS-CLM-101066"/>
    <s v="DINS-CUS-501066"/>
    <s v="DINS-POL-201066"/>
    <x v="2"/>
    <x v="2"/>
    <x v="1"/>
    <x v="2"/>
    <x v="3"/>
    <d v="2024-06-27T00:00:00"/>
    <s v="Monthly"/>
    <d v="2024-09-30T00:00:00"/>
    <x v="1"/>
    <n v="5308"/>
    <n v="1312"/>
    <n v="8"/>
    <d v="2024-10-08T00:00:00"/>
    <x v="0"/>
    <x v="0"/>
    <x v="2"/>
    <n v="4.0457000000000001"/>
    <n v="95"/>
    <n v="2024"/>
    <s v="September"/>
  </r>
  <r>
    <s v="DINS-CLM-101067"/>
    <s v="DINS-CUS-501067"/>
    <s v="DINS-POL-201067"/>
    <x v="3"/>
    <x v="2"/>
    <x v="4"/>
    <x v="0"/>
    <x v="0"/>
    <d v="2023-06-04T00:00:00"/>
    <s v="Monthly"/>
    <d v="2024-03-15T00:00:00"/>
    <x v="0"/>
    <n v="57568"/>
    <n v="3881"/>
    <s v="N/A - Not Settled"/>
    <s v="N/A - Not Settled"/>
    <x v="1"/>
    <x v="0"/>
    <x v="2"/>
    <n v="14.833299999999999"/>
    <n v="285"/>
    <n v="2024"/>
    <s v="March"/>
  </r>
  <r>
    <s v="DINS-CLM-101068"/>
    <s v="DINS-CUS-501068"/>
    <s v="DINS-POL-201068"/>
    <x v="4"/>
    <x v="2"/>
    <x v="0"/>
    <x v="0"/>
    <x v="4"/>
    <d v="2024-06-26T00:00:00"/>
    <s v="Monthly"/>
    <d v="2024-10-14T00:00:00"/>
    <x v="1"/>
    <n v="11703"/>
    <n v="6300"/>
    <n v="33"/>
    <d v="2024-11-16T00:00:00"/>
    <x v="0"/>
    <x v="0"/>
    <x v="2"/>
    <n v="1.8575999999999999"/>
    <n v="110"/>
    <n v="2024"/>
    <s v="October"/>
  </r>
  <r>
    <s v="DINS-CLM-101069"/>
    <s v="DINS-CUS-501069"/>
    <s v="DINS-POL-201069"/>
    <x v="0"/>
    <x v="0"/>
    <x v="5"/>
    <x v="0"/>
    <x v="1"/>
    <d v="2023-11-14T00:00:00"/>
    <s v="Monthly"/>
    <d v="2024-05-21T00:00:00"/>
    <x v="1"/>
    <n v="47855"/>
    <n v="1076"/>
    <n v="24"/>
    <d v="2024-06-14T00:00:00"/>
    <x v="0"/>
    <x v="0"/>
    <x v="1"/>
    <n v="44.474899999999998"/>
    <n v="189"/>
    <n v="2024"/>
    <s v="May"/>
  </r>
  <r>
    <s v="DINS-CLM-101070"/>
    <s v="DINS-CUS-501070"/>
    <s v="DINS-POL-201070"/>
    <x v="3"/>
    <x v="0"/>
    <x v="5"/>
    <x v="0"/>
    <x v="2"/>
    <d v="2024-04-30T00:00:00"/>
    <s v="Monthly"/>
    <d v="2024-12-27T00:00:00"/>
    <x v="0"/>
    <n v="61291"/>
    <n v="3707"/>
    <s v="N/A - Not Settled"/>
    <s v="N/A - Not Settled"/>
    <x v="0"/>
    <x v="0"/>
    <x v="0"/>
    <n v="16.533899999999999"/>
    <n v="241"/>
    <n v="2024"/>
    <s v="December"/>
  </r>
  <r>
    <s v="DINS-CLM-101071"/>
    <s v="DINS-CUS-501071"/>
    <s v="DINS-POL-201071"/>
    <x v="2"/>
    <x v="1"/>
    <x v="5"/>
    <x v="2"/>
    <x v="2"/>
    <d v="2023-11-22T00:00:00"/>
    <s v="Monthly"/>
    <d v="2024-03-04T00:00:00"/>
    <x v="1"/>
    <n v="27804"/>
    <n v="5144"/>
    <n v="24"/>
    <d v="2024-03-28T00:00:00"/>
    <x v="1"/>
    <x v="0"/>
    <x v="0"/>
    <n v="5.4051"/>
    <n v="103"/>
    <n v="2024"/>
    <s v="March"/>
  </r>
  <r>
    <s v="DINS-CLM-101072"/>
    <s v="DINS-CUS-501072"/>
    <s v="DINS-POL-201072"/>
    <x v="4"/>
    <x v="1"/>
    <x v="1"/>
    <x v="2"/>
    <x v="6"/>
    <d v="2023-08-04T00:00:00"/>
    <s v="Annual"/>
    <d v="2024-04-16T00:00:00"/>
    <x v="1"/>
    <n v="10811"/>
    <n v="5922"/>
    <n v="17"/>
    <d v="2024-05-03T00:00:00"/>
    <x v="0"/>
    <x v="0"/>
    <x v="2"/>
    <n v="1.8255999999999999"/>
    <n v="256"/>
    <n v="2024"/>
    <s v="April"/>
  </r>
  <r>
    <s v="DINS-CLM-101073"/>
    <s v="DINS-CUS-501073"/>
    <s v="DINS-POL-201073"/>
    <x v="0"/>
    <x v="1"/>
    <x v="4"/>
    <x v="2"/>
    <x v="5"/>
    <d v="2023-08-12T00:00:00"/>
    <s v="Monthly"/>
    <d v="2024-07-17T00:00:00"/>
    <x v="0"/>
    <n v="29290"/>
    <n v="8508"/>
    <s v="N/A - Not Settled"/>
    <s v="N/A - Not Settled"/>
    <x v="1"/>
    <x v="1"/>
    <x v="2"/>
    <n v="3.4426000000000001"/>
    <n v="340"/>
    <n v="2024"/>
    <s v="July"/>
  </r>
  <r>
    <s v="DINS-CLM-101074"/>
    <s v="DINS-CUS-501074"/>
    <s v="DINS-POL-201074"/>
    <x v="0"/>
    <x v="0"/>
    <x v="0"/>
    <x v="0"/>
    <x v="5"/>
    <d v="2023-07-31T00:00:00"/>
    <s v="Annual"/>
    <d v="2024-02-02T00:00:00"/>
    <x v="1"/>
    <n v="3650"/>
    <n v="8086"/>
    <n v="43"/>
    <d v="2024-03-16T00:00:00"/>
    <x v="0"/>
    <x v="0"/>
    <x v="1"/>
    <n v="0.45140000000000002"/>
    <n v="186"/>
    <n v="2024"/>
    <s v="February"/>
  </r>
  <r>
    <s v="DINS-CLM-101075"/>
    <s v="DINS-CUS-501075"/>
    <s v="DINS-POL-201075"/>
    <x v="1"/>
    <x v="1"/>
    <x v="0"/>
    <x v="2"/>
    <x v="2"/>
    <d v="2023-05-07T00:00:00"/>
    <s v="Monthly"/>
    <d v="2024-05-05T00:00:00"/>
    <x v="2"/>
    <n v="56866"/>
    <n v="5500"/>
    <s v="N/A - Not Settled"/>
    <s v="N/A - Not Settled"/>
    <x v="0"/>
    <x v="0"/>
    <x v="2"/>
    <n v="10.3393"/>
    <n v="364"/>
    <n v="2024"/>
    <s v="May"/>
  </r>
  <r>
    <s v="DINS-CLM-101076"/>
    <s v="DINS-CUS-501076"/>
    <s v="DINS-POL-201076"/>
    <x v="4"/>
    <x v="0"/>
    <x v="0"/>
    <x v="0"/>
    <x v="5"/>
    <d v="2023-09-07T00:00:00"/>
    <s v="Monthly"/>
    <d v="2024-02-05T00:00:00"/>
    <x v="2"/>
    <n v="12652"/>
    <n v="4019"/>
    <s v="N/A - Not Settled"/>
    <s v="N/A - Not Settled"/>
    <x v="0"/>
    <x v="0"/>
    <x v="2"/>
    <n v="3.1480000000000001"/>
    <n v="151"/>
    <n v="2024"/>
    <s v="February"/>
  </r>
  <r>
    <s v="DINS-CLM-101077"/>
    <s v="DINS-CUS-501077"/>
    <s v="DINS-POL-201077"/>
    <x v="0"/>
    <x v="2"/>
    <x v="5"/>
    <x v="2"/>
    <x v="2"/>
    <d v="2024-05-06T00:00:00"/>
    <s v="Monthly"/>
    <d v="2024-12-05T00:00:00"/>
    <x v="1"/>
    <n v="47710"/>
    <n v="5254"/>
    <n v="18"/>
    <d v="2024-12-23T00:00:00"/>
    <x v="0"/>
    <x v="0"/>
    <x v="1"/>
    <n v="9.0807000000000002"/>
    <n v="213"/>
    <n v="2024"/>
    <s v="December"/>
  </r>
  <r>
    <s v="DINS-CLM-101078"/>
    <s v="DINS-CUS-501078"/>
    <s v="DINS-POL-201078"/>
    <x v="0"/>
    <x v="2"/>
    <x v="3"/>
    <x v="1"/>
    <x v="3"/>
    <d v="2023-07-04T00:00:00"/>
    <s v="Monthly"/>
    <d v="2024-03-09T00:00:00"/>
    <x v="0"/>
    <n v="29944"/>
    <n v="6268"/>
    <s v="N/A - Not Settled"/>
    <s v="N/A - Not Settled"/>
    <x v="0"/>
    <x v="0"/>
    <x v="0"/>
    <n v="4.7773000000000003"/>
    <n v="249"/>
    <n v="2024"/>
    <s v="March"/>
  </r>
  <r>
    <s v="DINS-CLM-101079"/>
    <s v="DINS-CUS-501079"/>
    <s v="DINS-POL-201079"/>
    <x v="0"/>
    <x v="2"/>
    <x v="5"/>
    <x v="2"/>
    <x v="7"/>
    <d v="2024-02-05T00:00:00"/>
    <s v="Monthly"/>
    <d v="2024-11-09T00:00:00"/>
    <x v="1"/>
    <n v="36002"/>
    <n v="4737"/>
    <n v="45"/>
    <d v="2024-12-24T00:00:00"/>
    <x v="0"/>
    <x v="0"/>
    <x v="2"/>
    <n v="7.6002000000000001"/>
    <n v="278"/>
    <n v="2024"/>
    <s v="November"/>
  </r>
  <r>
    <s v="DINS-CLM-101080"/>
    <s v="DINS-CUS-501080"/>
    <s v="DINS-POL-201080"/>
    <x v="5"/>
    <x v="0"/>
    <x v="4"/>
    <x v="0"/>
    <x v="4"/>
    <d v="2023-07-23T00:00:00"/>
    <s v="Monthly"/>
    <d v="2024-04-19T00:00:00"/>
    <x v="1"/>
    <n v="41431"/>
    <n v="6605"/>
    <n v="32"/>
    <d v="2024-05-21T00:00:00"/>
    <x v="0"/>
    <x v="0"/>
    <x v="0"/>
    <n v="6.2727000000000004"/>
    <n v="271"/>
    <n v="2024"/>
    <s v="April"/>
  </r>
  <r>
    <s v="DINS-CLM-101081"/>
    <s v="DINS-CUS-501081"/>
    <s v="DINS-POL-201081"/>
    <x v="0"/>
    <x v="0"/>
    <x v="3"/>
    <x v="1"/>
    <x v="7"/>
    <d v="2024-05-24T00:00:00"/>
    <s v="Annual"/>
    <d v="2024-09-11T00:00:00"/>
    <x v="1"/>
    <n v="17232"/>
    <n v="7976"/>
    <n v="27"/>
    <d v="2024-10-08T00:00:00"/>
    <x v="0"/>
    <x v="0"/>
    <x v="1"/>
    <n v="2.1604999999999999"/>
    <n v="110"/>
    <n v="2024"/>
    <s v="September"/>
  </r>
  <r>
    <s v="DINS-CLM-101082"/>
    <s v="DINS-CUS-501082"/>
    <s v="DINS-POL-201082"/>
    <x v="0"/>
    <x v="1"/>
    <x v="5"/>
    <x v="0"/>
    <x v="2"/>
    <d v="2024-08-27T00:00:00"/>
    <s v="Annual"/>
    <d v="2024-10-12T00:00:00"/>
    <x v="0"/>
    <n v="57030"/>
    <n v="641"/>
    <s v="N/A - Not Settled"/>
    <s v="N/A - Not Settled"/>
    <x v="0"/>
    <x v="0"/>
    <x v="1"/>
    <n v="88.970399999999998"/>
    <n v="46"/>
    <n v="2024"/>
    <s v="October"/>
  </r>
  <r>
    <s v="DINS-CLM-101083"/>
    <s v="DINS-CUS-501083"/>
    <s v="DINS-POL-201083"/>
    <x v="1"/>
    <x v="1"/>
    <x v="1"/>
    <x v="1"/>
    <x v="6"/>
    <d v="2023-12-01T00:00:00"/>
    <s v="Monthly"/>
    <d v="2024-04-28T00:00:00"/>
    <x v="0"/>
    <n v="49557"/>
    <n v="2775"/>
    <s v="N/A - Not Settled"/>
    <s v="N/A - Not Settled"/>
    <x v="0"/>
    <x v="0"/>
    <x v="2"/>
    <n v="17.8584"/>
    <n v="149"/>
    <n v="2024"/>
    <s v="April"/>
  </r>
  <r>
    <s v="DINS-CLM-101084"/>
    <s v="DINS-CUS-501084"/>
    <s v="DINS-POL-201084"/>
    <x v="2"/>
    <x v="1"/>
    <x v="3"/>
    <x v="1"/>
    <x v="1"/>
    <d v="2023-06-29T00:00:00"/>
    <s v="Annual"/>
    <d v="2024-05-04T00:00:00"/>
    <x v="0"/>
    <n v="11443"/>
    <n v="1780"/>
    <s v="N/A - Not Settled"/>
    <s v="N/A - Not Settled"/>
    <x v="0"/>
    <x v="0"/>
    <x v="1"/>
    <n v="6.4287000000000001"/>
    <n v="310"/>
    <n v="2024"/>
    <s v="May"/>
  </r>
  <r>
    <s v="DINS-CLM-101085"/>
    <s v="DINS-CUS-501085"/>
    <s v="DINS-POL-201085"/>
    <x v="1"/>
    <x v="1"/>
    <x v="5"/>
    <x v="1"/>
    <x v="7"/>
    <d v="2023-05-15T00:00:00"/>
    <s v="Annual"/>
    <d v="2024-02-01T00:00:00"/>
    <x v="2"/>
    <n v="13953"/>
    <n v="6560"/>
    <s v="N/A - Not Settled"/>
    <s v="N/A - Not Settled"/>
    <x v="0"/>
    <x v="0"/>
    <x v="0"/>
    <n v="2.1269999999999998"/>
    <n v="262"/>
    <n v="2024"/>
    <s v="February"/>
  </r>
  <r>
    <s v="DINS-CLM-101086"/>
    <s v="DINS-CUS-501086"/>
    <s v="DINS-POL-201086"/>
    <x v="0"/>
    <x v="1"/>
    <x v="1"/>
    <x v="2"/>
    <x v="2"/>
    <d v="2024-09-02T00:00:00"/>
    <s v="Annual"/>
    <d v="2024-10-11T00:00:00"/>
    <x v="1"/>
    <n v="12525"/>
    <n v="2158"/>
    <n v="19"/>
    <d v="2024-10-30T00:00:00"/>
    <x v="0"/>
    <x v="0"/>
    <x v="0"/>
    <n v="5.8040000000000003"/>
    <n v="39"/>
    <n v="2024"/>
    <s v="October"/>
  </r>
  <r>
    <s v="DINS-CLM-101087"/>
    <s v="DINS-CUS-501087"/>
    <s v="DINS-POL-201087"/>
    <x v="0"/>
    <x v="0"/>
    <x v="1"/>
    <x v="2"/>
    <x v="7"/>
    <d v="2024-06-27T00:00:00"/>
    <s v="Monthly"/>
    <d v="2024-11-08T00:00:00"/>
    <x v="1"/>
    <n v="7721"/>
    <n v="6295"/>
    <n v="4"/>
    <d v="2024-11-12T00:00:00"/>
    <x v="0"/>
    <x v="0"/>
    <x v="1"/>
    <n v="1.2264999999999999"/>
    <n v="134"/>
    <n v="2024"/>
    <s v="November"/>
  </r>
  <r>
    <s v="DINS-CLM-101088"/>
    <s v="DINS-CUS-501088"/>
    <s v="DINS-POL-201088"/>
    <x v="3"/>
    <x v="0"/>
    <x v="5"/>
    <x v="0"/>
    <x v="2"/>
    <d v="2023-05-18T00:00:00"/>
    <s v="Monthly"/>
    <d v="2024-05-07T00:00:00"/>
    <x v="1"/>
    <n v="76395"/>
    <n v="8699"/>
    <n v="15"/>
    <d v="2024-05-22T00:00:00"/>
    <x v="0"/>
    <x v="0"/>
    <x v="2"/>
    <n v="8.782"/>
    <n v="355"/>
    <n v="2024"/>
    <s v="May"/>
  </r>
  <r>
    <s v="DINS-CLM-101089"/>
    <s v="DINS-CUS-501089"/>
    <s v="DINS-POL-201089"/>
    <x v="2"/>
    <x v="2"/>
    <x v="3"/>
    <x v="0"/>
    <x v="3"/>
    <d v="2023-08-16T00:00:00"/>
    <s v="Annual"/>
    <d v="2024-08-04T00:00:00"/>
    <x v="0"/>
    <n v="28621"/>
    <n v="3484"/>
    <s v="N/A - Not Settled"/>
    <s v="N/A - Not Settled"/>
    <x v="0"/>
    <x v="0"/>
    <x v="1"/>
    <n v="8.2149999999999999"/>
    <n v="354"/>
    <n v="2024"/>
    <s v="August"/>
  </r>
  <r>
    <s v="DINS-CLM-101090"/>
    <s v="DINS-CUS-501090"/>
    <s v="DINS-POL-201090"/>
    <x v="4"/>
    <x v="0"/>
    <x v="5"/>
    <x v="2"/>
    <x v="4"/>
    <d v="2024-01-31T00:00:00"/>
    <s v="Monthly"/>
    <d v="2024-12-24T00:00:00"/>
    <x v="2"/>
    <n v="16179"/>
    <n v="1724"/>
    <s v="N/A - Not Settled"/>
    <s v="N/A - Not Settled"/>
    <x v="0"/>
    <x v="0"/>
    <x v="0"/>
    <n v="9.3846000000000007"/>
    <n v="328"/>
    <n v="2024"/>
    <s v="December"/>
  </r>
  <r>
    <s v="DINS-CLM-101091"/>
    <s v="DINS-CUS-501091"/>
    <s v="DINS-POL-201091"/>
    <x v="2"/>
    <x v="1"/>
    <x v="0"/>
    <x v="1"/>
    <x v="4"/>
    <d v="2023-12-06T00:00:00"/>
    <s v="Monthly"/>
    <d v="2024-03-15T00:00:00"/>
    <x v="1"/>
    <n v="33740"/>
    <n v="7483"/>
    <n v="32"/>
    <d v="2024-04-16T00:00:00"/>
    <x v="0"/>
    <x v="0"/>
    <x v="0"/>
    <n v="4.5088999999999997"/>
    <n v="100"/>
    <n v="2024"/>
    <s v="March"/>
  </r>
  <r>
    <s v="DINS-CLM-101092"/>
    <s v="DINS-CUS-501092"/>
    <s v="DINS-POL-201092"/>
    <x v="0"/>
    <x v="2"/>
    <x v="4"/>
    <x v="1"/>
    <x v="7"/>
    <d v="2023-09-26T00:00:00"/>
    <s v="Monthly"/>
    <d v="2024-05-04T00:00:00"/>
    <x v="0"/>
    <n v="13741"/>
    <n v="7137"/>
    <s v="N/A - Not Settled"/>
    <s v="N/A - Not Settled"/>
    <x v="0"/>
    <x v="0"/>
    <x v="1"/>
    <n v="1.9253"/>
    <n v="221"/>
    <n v="2024"/>
    <s v="May"/>
  </r>
  <r>
    <s v="DINS-CLM-101093"/>
    <s v="DINS-CUS-501093"/>
    <s v="DINS-POL-201093"/>
    <x v="2"/>
    <x v="1"/>
    <x v="4"/>
    <x v="1"/>
    <x v="7"/>
    <d v="2024-03-05T00:00:00"/>
    <s v="Annual"/>
    <d v="2024-07-08T00:00:00"/>
    <x v="1"/>
    <n v="15271"/>
    <n v="6586"/>
    <n v="31"/>
    <d v="2024-08-08T00:00:00"/>
    <x v="1"/>
    <x v="0"/>
    <x v="1"/>
    <n v="2.3187000000000002"/>
    <n v="125"/>
    <n v="2024"/>
    <s v="July"/>
  </r>
  <r>
    <s v="DINS-CLM-101094"/>
    <s v="DINS-CUS-501094"/>
    <s v="DINS-POL-201094"/>
    <x v="0"/>
    <x v="2"/>
    <x v="5"/>
    <x v="0"/>
    <x v="3"/>
    <d v="2023-11-22T00:00:00"/>
    <s v="Annual"/>
    <d v="2024-09-27T00:00:00"/>
    <x v="0"/>
    <n v="41668"/>
    <n v="1861"/>
    <s v="N/A - Not Settled"/>
    <s v="N/A - Not Settled"/>
    <x v="0"/>
    <x v="0"/>
    <x v="0"/>
    <n v="22.3901"/>
    <n v="310"/>
    <n v="2024"/>
    <s v="September"/>
  </r>
  <r>
    <s v="DINS-CLM-101095"/>
    <s v="DINS-CUS-501095"/>
    <s v="DINS-POL-201095"/>
    <x v="1"/>
    <x v="0"/>
    <x v="2"/>
    <x v="2"/>
    <x v="7"/>
    <d v="2023-05-24T00:00:00"/>
    <s v="Annual"/>
    <d v="2024-03-13T00:00:00"/>
    <x v="2"/>
    <n v="35233"/>
    <n v="704"/>
    <s v="N/A - Not Settled"/>
    <s v="N/A - Not Settled"/>
    <x v="0"/>
    <x v="0"/>
    <x v="1"/>
    <n v="50.046900000000001"/>
    <n v="294"/>
    <n v="2024"/>
    <s v="March"/>
  </r>
  <r>
    <s v="DINS-CLM-101096"/>
    <s v="DINS-CUS-501096"/>
    <s v="DINS-POL-201096"/>
    <x v="2"/>
    <x v="2"/>
    <x v="0"/>
    <x v="2"/>
    <x v="1"/>
    <d v="2023-12-20T00:00:00"/>
    <s v="Annual"/>
    <d v="2024-04-15T00:00:00"/>
    <x v="1"/>
    <n v="12298"/>
    <n v="7998"/>
    <n v="25"/>
    <d v="2024-05-10T00:00:00"/>
    <x v="0"/>
    <x v="0"/>
    <x v="0"/>
    <n v="1.5376000000000001"/>
    <n v="117"/>
    <n v="2024"/>
    <s v="April"/>
  </r>
  <r>
    <s v="DINS-CLM-101097"/>
    <s v="DINS-CUS-501097"/>
    <s v="DINS-POL-201097"/>
    <x v="2"/>
    <x v="0"/>
    <x v="0"/>
    <x v="0"/>
    <x v="0"/>
    <d v="2024-02-19T00:00:00"/>
    <s v="Monthly"/>
    <d v="2024-09-13T00:00:00"/>
    <x v="1"/>
    <n v="23886"/>
    <n v="6121"/>
    <n v="37"/>
    <d v="2024-10-20T00:00:00"/>
    <x v="0"/>
    <x v="0"/>
    <x v="1"/>
    <n v="3.9022999999999999"/>
    <n v="207"/>
    <n v="2024"/>
    <s v="September"/>
  </r>
  <r>
    <s v="DINS-CLM-101098"/>
    <s v="DINS-CUS-501098"/>
    <s v="DINS-POL-201098"/>
    <x v="5"/>
    <x v="1"/>
    <x v="0"/>
    <x v="1"/>
    <x v="0"/>
    <d v="2023-05-29T00:00:00"/>
    <s v="Monthly"/>
    <d v="2024-01-16T00:00:00"/>
    <x v="0"/>
    <n v="43238"/>
    <n v="7670"/>
    <s v="N/A - Not Settled"/>
    <s v="N/A - Not Settled"/>
    <x v="1"/>
    <x v="1"/>
    <x v="1"/>
    <n v="5.6372999999999998"/>
    <n v="232"/>
    <n v="2024"/>
    <s v="January"/>
  </r>
  <r>
    <s v="DINS-CLM-101099"/>
    <s v="DINS-CUS-501099"/>
    <s v="DINS-POL-201099"/>
    <x v="3"/>
    <x v="2"/>
    <x v="3"/>
    <x v="1"/>
    <x v="4"/>
    <d v="2023-06-02T00:00:00"/>
    <s v="Monthly"/>
    <d v="2024-01-30T00:00:00"/>
    <x v="0"/>
    <n v="19538"/>
    <n v="5519"/>
    <s v="N/A - Not Settled"/>
    <s v="N/A - Not Settled"/>
    <x v="0"/>
    <x v="0"/>
    <x v="0"/>
    <n v="3.5400999999999998"/>
    <n v="242"/>
    <n v="2024"/>
    <s v="January"/>
  </r>
  <r>
    <s v="DINS-CLM-101100"/>
    <s v="DINS-CUS-501100"/>
    <s v="DINS-POL-201100"/>
    <x v="1"/>
    <x v="1"/>
    <x v="4"/>
    <x v="1"/>
    <x v="5"/>
    <d v="2024-02-11T00:00:00"/>
    <s v="Annual"/>
    <d v="2024-12-13T00:00:00"/>
    <x v="1"/>
    <n v="20260"/>
    <n v="4535"/>
    <n v="34"/>
    <d v="2025-01-16T00:00:00"/>
    <x v="0"/>
    <x v="0"/>
    <x v="2"/>
    <n v="4.4675000000000002"/>
    <n v="306"/>
    <n v="2024"/>
    <s v="December"/>
  </r>
  <r>
    <s v="DINS-CLM-101101"/>
    <s v="DINS-CUS-501101"/>
    <s v="DINS-POL-201101"/>
    <x v="0"/>
    <x v="2"/>
    <x v="1"/>
    <x v="1"/>
    <x v="4"/>
    <d v="2023-12-23T00:00:00"/>
    <s v="Monthly"/>
    <d v="2024-02-05T00:00:00"/>
    <x v="1"/>
    <n v="35430"/>
    <n v="4987"/>
    <n v="42"/>
    <d v="2024-03-18T00:00:00"/>
    <x v="1"/>
    <x v="0"/>
    <x v="0"/>
    <n v="7.1044999999999998"/>
    <n v="44"/>
    <n v="2024"/>
    <s v="February"/>
  </r>
  <r>
    <s v="DINS-CLM-101102"/>
    <s v="DINS-CUS-501102"/>
    <s v="DINS-POL-201102"/>
    <x v="5"/>
    <x v="1"/>
    <x v="3"/>
    <x v="1"/>
    <x v="3"/>
    <d v="2024-02-21T00:00:00"/>
    <s v="Annual"/>
    <d v="2024-09-01T00:00:00"/>
    <x v="0"/>
    <n v="31307"/>
    <n v="4500"/>
    <s v="N/A - Not Settled"/>
    <s v="N/A - Not Settled"/>
    <x v="0"/>
    <x v="0"/>
    <x v="1"/>
    <n v="6.9570999999999996"/>
    <n v="193"/>
    <n v="2024"/>
    <s v="September"/>
  </r>
  <r>
    <s v="DINS-CLM-101103"/>
    <s v="DINS-CUS-501103"/>
    <s v="DINS-POL-201103"/>
    <x v="2"/>
    <x v="2"/>
    <x v="0"/>
    <x v="1"/>
    <x v="0"/>
    <d v="2024-02-23T00:00:00"/>
    <s v="Monthly"/>
    <d v="2024-09-25T00:00:00"/>
    <x v="2"/>
    <n v="35372"/>
    <n v="4824"/>
    <s v="N/A - Not Settled"/>
    <s v="N/A - Not Settled"/>
    <x v="0"/>
    <x v="0"/>
    <x v="0"/>
    <n v="7.3324999999999996"/>
    <n v="215"/>
    <n v="2024"/>
    <s v="September"/>
  </r>
  <r>
    <s v="DINS-CLM-101104"/>
    <s v="DINS-CUS-501104"/>
    <s v="DINS-POL-201104"/>
    <x v="1"/>
    <x v="2"/>
    <x v="3"/>
    <x v="1"/>
    <x v="3"/>
    <d v="2023-09-14T00:00:00"/>
    <s v="Monthly"/>
    <d v="2024-07-14T00:00:00"/>
    <x v="2"/>
    <n v="39472"/>
    <n v="2426"/>
    <s v="N/A - Not Settled"/>
    <s v="N/A - Not Settled"/>
    <x v="0"/>
    <x v="0"/>
    <x v="2"/>
    <n v="16.270399999999999"/>
    <n v="304"/>
    <n v="2024"/>
    <s v="July"/>
  </r>
  <r>
    <s v="DINS-CLM-101105"/>
    <s v="DINS-CUS-501105"/>
    <s v="DINS-POL-201105"/>
    <x v="0"/>
    <x v="0"/>
    <x v="0"/>
    <x v="1"/>
    <x v="4"/>
    <d v="2023-07-24T00:00:00"/>
    <s v="Monthly"/>
    <d v="2024-06-30T00:00:00"/>
    <x v="1"/>
    <n v="49395"/>
    <n v="5086"/>
    <n v="27"/>
    <d v="2024-07-27T00:00:00"/>
    <x v="1"/>
    <x v="1"/>
    <x v="2"/>
    <n v="9.7119999999999997"/>
    <n v="342"/>
    <n v="2024"/>
    <s v="June"/>
  </r>
  <r>
    <s v="DINS-CLM-101106"/>
    <s v="DINS-CUS-501106"/>
    <s v="DINS-POL-201106"/>
    <x v="0"/>
    <x v="0"/>
    <x v="4"/>
    <x v="1"/>
    <x v="3"/>
    <d v="2024-01-29T00:00:00"/>
    <s v="Annual"/>
    <d v="2024-04-06T00:00:00"/>
    <x v="1"/>
    <n v="44494"/>
    <n v="2213"/>
    <n v="9"/>
    <d v="2024-04-15T00:00:00"/>
    <x v="0"/>
    <x v="0"/>
    <x v="2"/>
    <n v="20.105699999999999"/>
    <n v="68"/>
    <n v="2024"/>
    <s v="April"/>
  </r>
  <r>
    <s v="DINS-CLM-101107"/>
    <s v="DINS-CUS-501107"/>
    <s v="DINS-POL-201107"/>
    <x v="5"/>
    <x v="2"/>
    <x v="5"/>
    <x v="1"/>
    <x v="4"/>
    <d v="2023-12-08T00:00:00"/>
    <s v="Monthly"/>
    <d v="2024-04-30T00:00:00"/>
    <x v="1"/>
    <n v="19962"/>
    <n v="5432"/>
    <n v="15"/>
    <d v="2024-05-15T00:00:00"/>
    <x v="0"/>
    <x v="0"/>
    <x v="1"/>
    <n v="3.6749000000000001"/>
    <n v="144"/>
    <n v="2024"/>
    <s v="April"/>
  </r>
  <r>
    <s v="DINS-CLM-101108"/>
    <s v="DINS-CUS-501108"/>
    <s v="DINS-POL-201108"/>
    <x v="2"/>
    <x v="0"/>
    <x v="2"/>
    <x v="1"/>
    <x v="2"/>
    <d v="2024-03-02T00:00:00"/>
    <s v="Monthly"/>
    <d v="2024-04-29T00:00:00"/>
    <x v="1"/>
    <n v="34341"/>
    <n v="3833"/>
    <n v="33"/>
    <d v="2024-06-01T00:00:00"/>
    <x v="0"/>
    <x v="0"/>
    <x v="2"/>
    <n v="8.9593000000000007"/>
    <n v="58"/>
    <n v="2024"/>
    <s v="April"/>
  </r>
  <r>
    <s v="DINS-CLM-101109"/>
    <s v="DINS-CUS-501109"/>
    <s v="DINS-POL-201109"/>
    <x v="4"/>
    <x v="2"/>
    <x v="1"/>
    <x v="1"/>
    <x v="2"/>
    <d v="2024-01-05T00:00:00"/>
    <s v="Monthly"/>
    <d v="2024-04-27T00:00:00"/>
    <x v="2"/>
    <n v="9533"/>
    <n v="6727"/>
    <s v="N/A - Not Settled"/>
    <s v="N/A - Not Settled"/>
    <x v="0"/>
    <x v="0"/>
    <x v="1"/>
    <n v="1.4171"/>
    <n v="113"/>
    <n v="2024"/>
    <s v="April"/>
  </r>
  <r>
    <s v="DINS-CLM-101110"/>
    <s v="DINS-CUS-501110"/>
    <s v="DINS-POL-201110"/>
    <x v="2"/>
    <x v="1"/>
    <x v="2"/>
    <x v="0"/>
    <x v="2"/>
    <d v="2024-08-13T00:00:00"/>
    <s v="Monthly"/>
    <d v="2024-12-25T00:00:00"/>
    <x v="2"/>
    <n v="5908"/>
    <n v="5598"/>
    <s v="N/A - Not Settled"/>
    <s v="N/A - Not Settled"/>
    <x v="0"/>
    <x v="0"/>
    <x v="2"/>
    <n v="1.0553999999999999"/>
    <n v="134"/>
    <n v="2024"/>
    <s v="December"/>
  </r>
  <r>
    <s v="DINS-CLM-101111"/>
    <s v="DINS-CUS-501111"/>
    <s v="DINS-POL-201111"/>
    <x v="0"/>
    <x v="1"/>
    <x v="3"/>
    <x v="1"/>
    <x v="3"/>
    <d v="2023-09-07T00:00:00"/>
    <s v="Annual"/>
    <d v="2024-03-15T00:00:00"/>
    <x v="0"/>
    <n v="46525"/>
    <n v="953"/>
    <s v="N/A - Not Settled"/>
    <s v="N/A - Not Settled"/>
    <x v="0"/>
    <x v="0"/>
    <x v="2"/>
    <n v="48.819499999999998"/>
    <n v="190"/>
    <n v="2024"/>
    <s v="March"/>
  </r>
  <r>
    <s v="DINS-CLM-101112"/>
    <s v="DINS-CUS-501112"/>
    <s v="DINS-POL-201112"/>
    <x v="0"/>
    <x v="2"/>
    <x v="1"/>
    <x v="1"/>
    <x v="6"/>
    <d v="2024-07-15T00:00:00"/>
    <s v="Monthly"/>
    <d v="2024-10-05T00:00:00"/>
    <x v="0"/>
    <n v="47446"/>
    <n v="1300"/>
    <s v="N/A - Not Settled"/>
    <s v="N/A - Not Settled"/>
    <x v="0"/>
    <x v="0"/>
    <x v="2"/>
    <n v="36.496899999999997"/>
    <n v="82"/>
    <n v="2024"/>
    <s v="October"/>
  </r>
  <r>
    <s v="DINS-CLM-101113"/>
    <s v="DINS-CUS-501113"/>
    <s v="DINS-POL-201113"/>
    <x v="1"/>
    <x v="2"/>
    <x v="2"/>
    <x v="0"/>
    <x v="2"/>
    <d v="2024-08-04T00:00:00"/>
    <s v="Annual"/>
    <d v="2024-12-16T00:00:00"/>
    <x v="1"/>
    <n v="25975"/>
    <n v="1237"/>
    <n v="32"/>
    <d v="2025-01-17T00:00:00"/>
    <x v="0"/>
    <x v="0"/>
    <x v="1"/>
    <n v="20.9984"/>
    <n v="134"/>
    <n v="2024"/>
    <s v="December"/>
  </r>
  <r>
    <s v="DINS-CLM-101114"/>
    <s v="DINS-CUS-501114"/>
    <s v="DINS-POL-201114"/>
    <x v="1"/>
    <x v="2"/>
    <x v="2"/>
    <x v="1"/>
    <x v="0"/>
    <d v="2024-03-24T00:00:00"/>
    <s v="Monthly"/>
    <d v="2024-12-08T00:00:00"/>
    <x v="2"/>
    <n v="57991"/>
    <n v="5130"/>
    <s v="N/A - Not Settled"/>
    <s v="N/A - Not Settled"/>
    <x v="1"/>
    <x v="0"/>
    <x v="0"/>
    <n v="11.3043"/>
    <n v="259"/>
    <n v="2024"/>
    <s v="December"/>
  </r>
  <r>
    <s v="DINS-CLM-101115"/>
    <s v="DINS-CUS-501115"/>
    <s v="DINS-POL-201115"/>
    <x v="2"/>
    <x v="0"/>
    <x v="4"/>
    <x v="2"/>
    <x v="5"/>
    <d v="2024-07-17T00:00:00"/>
    <s v="Annual"/>
    <d v="2024-10-28T00:00:00"/>
    <x v="1"/>
    <n v="5575"/>
    <n v="3866"/>
    <n v="5"/>
    <d v="2024-11-02T00:00:00"/>
    <x v="0"/>
    <x v="0"/>
    <x v="2"/>
    <n v="1.4420999999999999"/>
    <n v="103"/>
    <n v="2024"/>
    <s v="October"/>
  </r>
  <r>
    <s v="DINS-CLM-101116"/>
    <s v="DINS-CUS-501116"/>
    <s v="DINS-POL-201116"/>
    <x v="0"/>
    <x v="1"/>
    <x v="5"/>
    <x v="0"/>
    <x v="6"/>
    <d v="2023-12-18T00:00:00"/>
    <s v="Monthly"/>
    <d v="2024-09-17T00:00:00"/>
    <x v="1"/>
    <n v="48550"/>
    <n v="1512"/>
    <n v="33"/>
    <d v="2024-10-20T00:00:00"/>
    <x v="0"/>
    <x v="0"/>
    <x v="2"/>
    <n v="32.1098"/>
    <n v="274"/>
    <n v="2024"/>
    <s v="September"/>
  </r>
  <r>
    <s v="DINS-CLM-101117"/>
    <s v="DINS-CUS-501117"/>
    <s v="DINS-POL-201117"/>
    <x v="2"/>
    <x v="2"/>
    <x v="4"/>
    <x v="2"/>
    <x v="1"/>
    <d v="2024-01-29T00:00:00"/>
    <s v="Annual"/>
    <d v="2024-07-03T00:00:00"/>
    <x v="2"/>
    <n v="6616"/>
    <n v="2813"/>
    <s v="N/A - Not Settled"/>
    <s v="N/A - Not Settled"/>
    <x v="0"/>
    <x v="0"/>
    <x v="2"/>
    <n v="2.3519000000000001"/>
    <n v="156"/>
    <n v="2024"/>
    <s v="July"/>
  </r>
  <r>
    <s v="DINS-CLM-101118"/>
    <s v="DINS-CUS-501118"/>
    <s v="DINS-POL-201118"/>
    <x v="2"/>
    <x v="0"/>
    <x v="4"/>
    <x v="1"/>
    <x v="6"/>
    <d v="2024-05-02T00:00:00"/>
    <s v="Monthly"/>
    <d v="2024-12-30T00:00:00"/>
    <x v="1"/>
    <n v="29007"/>
    <n v="2637"/>
    <n v="40"/>
    <d v="2025-02-08T00:00:00"/>
    <x v="1"/>
    <x v="0"/>
    <x v="2"/>
    <n v="11"/>
    <n v="242"/>
    <n v="2024"/>
    <s v="December"/>
  </r>
  <r>
    <s v="DINS-CLM-101119"/>
    <s v="DINS-CUS-501119"/>
    <s v="DINS-POL-201119"/>
    <x v="0"/>
    <x v="1"/>
    <x v="5"/>
    <x v="0"/>
    <x v="3"/>
    <d v="2023-07-26T00:00:00"/>
    <s v="Monthly"/>
    <d v="2024-02-21T00:00:00"/>
    <x v="0"/>
    <n v="31101"/>
    <n v="2850"/>
    <s v="N/A - Not Settled"/>
    <s v="N/A - Not Settled"/>
    <x v="0"/>
    <x v="0"/>
    <x v="2"/>
    <n v="10.912599999999999"/>
    <n v="210"/>
    <n v="2024"/>
    <s v="February"/>
  </r>
  <r>
    <s v="DINS-CLM-101120"/>
    <s v="DINS-CUS-501120"/>
    <s v="DINS-POL-201120"/>
    <x v="3"/>
    <x v="2"/>
    <x v="1"/>
    <x v="1"/>
    <x v="6"/>
    <d v="2024-02-08T00:00:00"/>
    <s v="Monthly"/>
    <d v="2024-09-17T00:00:00"/>
    <x v="1"/>
    <n v="75953"/>
    <n v="8447"/>
    <n v="7"/>
    <d v="2024-09-24T00:00:00"/>
    <x v="0"/>
    <x v="0"/>
    <x v="2"/>
    <n v="8.9916999999999998"/>
    <n v="222"/>
    <n v="2024"/>
    <s v="September"/>
  </r>
  <r>
    <s v="DINS-CLM-101121"/>
    <s v="DINS-CUS-501121"/>
    <s v="DINS-POL-201121"/>
    <x v="2"/>
    <x v="2"/>
    <x v="1"/>
    <x v="0"/>
    <x v="7"/>
    <d v="2024-01-30T00:00:00"/>
    <s v="Annual"/>
    <d v="2024-11-26T00:00:00"/>
    <x v="2"/>
    <n v="23713"/>
    <n v="8458"/>
    <s v="N/A - Not Settled"/>
    <s v="N/A - Not Settled"/>
    <x v="0"/>
    <x v="0"/>
    <x v="1"/>
    <n v="2.8035999999999999"/>
    <n v="301"/>
    <n v="2024"/>
    <s v="November"/>
  </r>
  <r>
    <s v="DINS-CLM-101122"/>
    <s v="DINS-CUS-501122"/>
    <s v="DINS-POL-201122"/>
    <x v="1"/>
    <x v="1"/>
    <x v="5"/>
    <x v="0"/>
    <x v="6"/>
    <d v="2023-10-25T00:00:00"/>
    <s v="Monthly"/>
    <d v="2024-09-15T00:00:00"/>
    <x v="2"/>
    <n v="65244"/>
    <n v="1991"/>
    <s v="N/A - Not Settled"/>
    <s v="N/A - Not Settled"/>
    <x v="0"/>
    <x v="0"/>
    <x v="1"/>
    <n v="32.769500000000001"/>
    <n v="326"/>
    <n v="2024"/>
    <s v="September"/>
  </r>
  <r>
    <s v="DINS-CLM-101123"/>
    <s v="DINS-CUS-501123"/>
    <s v="DINS-POL-201123"/>
    <x v="1"/>
    <x v="0"/>
    <x v="5"/>
    <x v="0"/>
    <x v="1"/>
    <d v="2024-01-03T00:00:00"/>
    <s v="Monthly"/>
    <d v="2024-09-27T00:00:00"/>
    <x v="1"/>
    <n v="50200"/>
    <n v="7362"/>
    <n v="8"/>
    <d v="2024-10-05T00:00:00"/>
    <x v="0"/>
    <x v="0"/>
    <x v="0"/>
    <n v="6.8188000000000004"/>
    <n v="268"/>
    <n v="2024"/>
    <s v="September"/>
  </r>
  <r>
    <s v="DINS-CLM-101124"/>
    <s v="DINS-CUS-501124"/>
    <s v="DINS-POL-201124"/>
    <x v="0"/>
    <x v="0"/>
    <x v="4"/>
    <x v="0"/>
    <x v="4"/>
    <d v="2023-10-06T00:00:00"/>
    <s v="Annual"/>
    <d v="2024-06-01T00:00:00"/>
    <x v="1"/>
    <n v="8001"/>
    <n v="7772"/>
    <n v="22"/>
    <d v="2024-06-23T00:00:00"/>
    <x v="0"/>
    <x v="0"/>
    <x v="1"/>
    <n v="1.0295000000000001"/>
    <n v="239"/>
    <n v="2024"/>
    <s v="June"/>
  </r>
  <r>
    <s v="DINS-CLM-101125"/>
    <s v="DINS-CUS-501125"/>
    <s v="DINS-POL-201125"/>
    <x v="2"/>
    <x v="2"/>
    <x v="1"/>
    <x v="2"/>
    <x v="2"/>
    <d v="2023-05-06T00:00:00"/>
    <s v="Monthly"/>
    <d v="2024-03-10T00:00:00"/>
    <x v="1"/>
    <n v="4826"/>
    <n v="3492"/>
    <n v="25"/>
    <d v="2024-04-04T00:00:00"/>
    <x v="0"/>
    <x v="0"/>
    <x v="0"/>
    <n v="1.3819999999999999"/>
    <n v="309"/>
    <n v="2024"/>
    <s v="March"/>
  </r>
  <r>
    <s v="DINS-CLM-101126"/>
    <s v="DINS-CUS-501126"/>
    <s v="DINS-POL-201126"/>
    <x v="3"/>
    <x v="1"/>
    <x v="5"/>
    <x v="2"/>
    <x v="4"/>
    <d v="2023-07-17T00:00:00"/>
    <s v="Monthly"/>
    <d v="2024-03-01T00:00:00"/>
    <x v="0"/>
    <n v="56837"/>
    <n v="5096"/>
    <s v="N/A - Not Settled"/>
    <s v="N/A - Not Settled"/>
    <x v="0"/>
    <x v="0"/>
    <x v="1"/>
    <n v="11.1533"/>
    <n v="228"/>
    <n v="2024"/>
    <s v="March"/>
  </r>
  <r>
    <s v="DINS-CLM-101127"/>
    <s v="DINS-CUS-501127"/>
    <s v="DINS-POL-201127"/>
    <x v="2"/>
    <x v="0"/>
    <x v="5"/>
    <x v="1"/>
    <x v="3"/>
    <d v="2023-09-05T00:00:00"/>
    <s v="Monthly"/>
    <d v="2024-08-22T00:00:00"/>
    <x v="1"/>
    <n v="25984"/>
    <n v="6304"/>
    <n v="40"/>
    <d v="2024-10-01T00:00:00"/>
    <x v="0"/>
    <x v="0"/>
    <x v="0"/>
    <n v="4.1218000000000004"/>
    <n v="352"/>
    <n v="2024"/>
    <s v="August"/>
  </r>
  <r>
    <s v="DINS-CLM-101128"/>
    <s v="DINS-CUS-501128"/>
    <s v="DINS-POL-201128"/>
    <x v="2"/>
    <x v="2"/>
    <x v="5"/>
    <x v="0"/>
    <x v="2"/>
    <d v="2024-05-06T00:00:00"/>
    <s v="Monthly"/>
    <d v="2024-10-29T00:00:00"/>
    <x v="2"/>
    <n v="37857"/>
    <n v="7307"/>
    <s v="N/A - Not Settled"/>
    <s v="N/A - Not Settled"/>
    <x v="0"/>
    <x v="0"/>
    <x v="1"/>
    <n v="5.1809000000000003"/>
    <n v="176"/>
    <n v="2024"/>
    <s v="October"/>
  </r>
  <r>
    <s v="DINS-CLM-101129"/>
    <s v="DINS-CUS-501129"/>
    <s v="DINS-POL-201129"/>
    <x v="5"/>
    <x v="2"/>
    <x v="2"/>
    <x v="1"/>
    <x v="0"/>
    <d v="2023-02-10T00:00:00"/>
    <s v="Monthly"/>
    <d v="2024-01-13T00:00:00"/>
    <x v="2"/>
    <n v="16097"/>
    <n v="4871"/>
    <s v="N/A - Not Settled"/>
    <s v="N/A - Not Settled"/>
    <x v="0"/>
    <x v="0"/>
    <x v="1"/>
    <n v="3.3047"/>
    <n v="337"/>
    <n v="2024"/>
    <s v="January"/>
  </r>
  <r>
    <s v="DINS-CLM-101130"/>
    <s v="DINS-CUS-501130"/>
    <s v="DINS-POL-201130"/>
    <x v="0"/>
    <x v="2"/>
    <x v="2"/>
    <x v="0"/>
    <x v="3"/>
    <d v="2023-12-17T00:00:00"/>
    <s v="Monthly"/>
    <d v="2024-02-12T00:00:00"/>
    <x v="1"/>
    <n v="35094"/>
    <n v="4393"/>
    <n v="42"/>
    <d v="2024-03-25T00:00:00"/>
    <x v="0"/>
    <x v="0"/>
    <x v="0"/>
    <n v="7.9885999999999999"/>
    <n v="57"/>
    <n v="2024"/>
    <s v="February"/>
  </r>
  <r>
    <s v="DINS-CLM-101131"/>
    <s v="DINS-CUS-501131"/>
    <s v="DINS-POL-201131"/>
    <x v="5"/>
    <x v="0"/>
    <x v="0"/>
    <x v="1"/>
    <x v="7"/>
    <d v="2023-08-26T00:00:00"/>
    <s v="Monthly"/>
    <d v="2024-03-21T00:00:00"/>
    <x v="1"/>
    <n v="25673"/>
    <n v="3419"/>
    <n v="16"/>
    <d v="2024-04-06T00:00:00"/>
    <x v="0"/>
    <x v="0"/>
    <x v="1"/>
    <n v="7.5088999999999997"/>
    <n v="208"/>
    <n v="2024"/>
    <s v="March"/>
  </r>
  <r>
    <s v="DINS-CLM-101132"/>
    <s v="DINS-CUS-501132"/>
    <s v="DINS-POL-201132"/>
    <x v="4"/>
    <x v="1"/>
    <x v="4"/>
    <x v="0"/>
    <x v="6"/>
    <d v="2023-08-15T00:00:00"/>
    <s v="Annual"/>
    <d v="2024-01-12T00:00:00"/>
    <x v="0"/>
    <n v="18611"/>
    <n v="6442"/>
    <s v="N/A - Not Settled"/>
    <s v="N/A - Not Settled"/>
    <x v="0"/>
    <x v="0"/>
    <x v="2"/>
    <n v="2.8889999999999998"/>
    <n v="150"/>
    <n v="2024"/>
    <s v="January"/>
  </r>
  <r>
    <s v="DINS-CLM-101133"/>
    <s v="DINS-CUS-501133"/>
    <s v="DINS-POL-201133"/>
    <x v="0"/>
    <x v="0"/>
    <x v="0"/>
    <x v="2"/>
    <x v="4"/>
    <d v="2024-06-17T00:00:00"/>
    <s v="Annual"/>
    <d v="2024-09-09T00:00:00"/>
    <x v="2"/>
    <n v="15352"/>
    <n v="7996"/>
    <s v="N/A - Not Settled"/>
    <s v="N/A - Not Settled"/>
    <x v="0"/>
    <x v="0"/>
    <x v="2"/>
    <n v="1.92"/>
    <n v="84"/>
    <n v="2024"/>
    <s v="September"/>
  </r>
  <r>
    <s v="DINS-CLM-101134"/>
    <s v="DINS-CUS-501134"/>
    <s v="DINS-POL-201134"/>
    <x v="5"/>
    <x v="1"/>
    <x v="3"/>
    <x v="0"/>
    <x v="4"/>
    <d v="2023-09-11T00:00:00"/>
    <s v="Annual"/>
    <d v="2024-08-18T00:00:00"/>
    <x v="1"/>
    <n v="69893"/>
    <n v="5387"/>
    <n v="18"/>
    <d v="2024-09-05T00:00:00"/>
    <x v="0"/>
    <x v="0"/>
    <x v="0"/>
    <n v="12.974399999999999"/>
    <n v="342"/>
    <n v="2024"/>
    <s v="August"/>
  </r>
  <r>
    <s v="DINS-CLM-101135"/>
    <s v="DINS-CUS-501135"/>
    <s v="DINS-POL-201135"/>
    <x v="2"/>
    <x v="1"/>
    <x v="2"/>
    <x v="1"/>
    <x v="6"/>
    <d v="2024-04-06T00:00:00"/>
    <s v="Monthly"/>
    <d v="2024-05-09T00:00:00"/>
    <x v="0"/>
    <n v="9833"/>
    <n v="7826"/>
    <s v="N/A - Not Settled"/>
    <s v="N/A - Not Settled"/>
    <x v="1"/>
    <x v="0"/>
    <x v="1"/>
    <n v="1.2565"/>
    <n v="33"/>
    <n v="2024"/>
    <s v="May"/>
  </r>
  <r>
    <s v="DINS-CLM-101136"/>
    <s v="DINS-CUS-501136"/>
    <s v="DINS-POL-201136"/>
    <x v="3"/>
    <x v="1"/>
    <x v="3"/>
    <x v="0"/>
    <x v="1"/>
    <d v="2024-03-26T00:00:00"/>
    <s v="Annual"/>
    <d v="2024-12-11T00:00:00"/>
    <x v="0"/>
    <n v="43235"/>
    <n v="4465"/>
    <s v="N/A - Not Settled"/>
    <s v="N/A - Not Settled"/>
    <x v="0"/>
    <x v="0"/>
    <x v="1"/>
    <n v="9.6830999999999996"/>
    <n v="260"/>
    <n v="2024"/>
    <s v="December"/>
  </r>
  <r>
    <s v="DINS-CLM-101137"/>
    <s v="DINS-CUS-501137"/>
    <s v="DINS-POL-201137"/>
    <x v="2"/>
    <x v="0"/>
    <x v="4"/>
    <x v="2"/>
    <x v="5"/>
    <d v="2024-02-20T00:00:00"/>
    <s v="Annual"/>
    <d v="2024-04-13T00:00:00"/>
    <x v="2"/>
    <n v="28878"/>
    <n v="6216"/>
    <s v="N/A - Not Settled"/>
    <s v="N/A - Not Settled"/>
    <x v="0"/>
    <x v="0"/>
    <x v="2"/>
    <n v="4.6458000000000004"/>
    <n v="53"/>
    <n v="2024"/>
    <s v="April"/>
  </r>
  <r>
    <s v="DINS-CLM-101138"/>
    <s v="DINS-CUS-501138"/>
    <s v="DINS-POL-201138"/>
    <x v="0"/>
    <x v="1"/>
    <x v="1"/>
    <x v="1"/>
    <x v="4"/>
    <d v="2024-01-26T00:00:00"/>
    <s v="Monthly"/>
    <d v="2024-11-20T00:00:00"/>
    <x v="1"/>
    <n v="50128"/>
    <n v="614"/>
    <n v="11"/>
    <d v="2024-12-01T00:00:00"/>
    <x v="1"/>
    <x v="0"/>
    <x v="2"/>
    <n v="81.6417"/>
    <n v="299"/>
    <n v="2024"/>
    <s v="November"/>
  </r>
  <r>
    <s v="DINS-CLM-101139"/>
    <s v="DINS-CUS-501139"/>
    <s v="DINS-POL-201139"/>
    <x v="0"/>
    <x v="1"/>
    <x v="5"/>
    <x v="2"/>
    <x v="0"/>
    <d v="2023-10-28T00:00:00"/>
    <s v="Monthly"/>
    <d v="2024-04-07T00:00:00"/>
    <x v="1"/>
    <n v="34148"/>
    <n v="1405"/>
    <n v="20"/>
    <d v="2024-04-27T00:00:00"/>
    <x v="0"/>
    <x v="0"/>
    <x v="2"/>
    <n v="24.304600000000001"/>
    <n v="162"/>
    <n v="2024"/>
    <s v="April"/>
  </r>
  <r>
    <s v="DINS-CLM-101140"/>
    <s v="DINS-CUS-501140"/>
    <s v="DINS-POL-201140"/>
    <x v="2"/>
    <x v="0"/>
    <x v="4"/>
    <x v="2"/>
    <x v="1"/>
    <d v="2024-01-04T00:00:00"/>
    <s v="Monthly"/>
    <d v="2024-07-10T00:00:00"/>
    <x v="1"/>
    <n v="14233"/>
    <n v="8676"/>
    <n v="13"/>
    <d v="2024-07-23T00:00:00"/>
    <x v="0"/>
    <x v="0"/>
    <x v="2"/>
    <n v="1.6405000000000001"/>
    <n v="188"/>
    <n v="2024"/>
    <s v="July"/>
  </r>
  <r>
    <s v="DINS-CLM-101141"/>
    <s v="DINS-CUS-501141"/>
    <s v="DINS-POL-201141"/>
    <x v="2"/>
    <x v="2"/>
    <x v="3"/>
    <x v="1"/>
    <x v="6"/>
    <d v="2023-12-07T00:00:00"/>
    <s v="Monthly"/>
    <d v="2024-07-31T00:00:00"/>
    <x v="2"/>
    <n v="20386"/>
    <n v="7772"/>
    <s v="N/A - Not Settled"/>
    <s v="N/A - Not Settled"/>
    <x v="0"/>
    <x v="0"/>
    <x v="1"/>
    <n v="2.6230000000000002"/>
    <n v="237"/>
    <n v="2024"/>
    <s v="July"/>
  </r>
  <r>
    <s v="DINS-CLM-101142"/>
    <s v="DINS-CUS-501142"/>
    <s v="DINS-POL-201142"/>
    <x v="1"/>
    <x v="2"/>
    <x v="1"/>
    <x v="1"/>
    <x v="6"/>
    <d v="2023-05-22T00:00:00"/>
    <s v="Annual"/>
    <d v="2024-04-09T00:00:00"/>
    <x v="1"/>
    <n v="25563"/>
    <n v="5323"/>
    <n v="41"/>
    <d v="2024-05-20T00:00:00"/>
    <x v="0"/>
    <x v="0"/>
    <x v="1"/>
    <n v="4.8023999999999996"/>
    <n v="323"/>
    <n v="2024"/>
    <s v="April"/>
  </r>
  <r>
    <s v="DINS-CLM-101143"/>
    <s v="DINS-CUS-501143"/>
    <s v="DINS-POL-201143"/>
    <x v="3"/>
    <x v="2"/>
    <x v="1"/>
    <x v="1"/>
    <x v="0"/>
    <d v="2024-01-27T00:00:00"/>
    <s v="Annual"/>
    <d v="2024-09-19T00:00:00"/>
    <x v="1"/>
    <n v="30660"/>
    <n v="7448"/>
    <n v="31"/>
    <d v="2024-10-20T00:00:00"/>
    <x v="0"/>
    <x v="0"/>
    <x v="1"/>
    <n v="4.1165000000000003"/>
    <n v="236"/>
    <n v="2024"/>
    <s v="September"/>
  </r>
  <r>
    <s v="DINS-CLM-101144"/>
    <s v="DINS-CUS-501144"/>
    <s v="DINS-POL-201144"/>
    <x v="0"/>
    <x v="2"/>
    <x v="2"/>
    <x v="0"/>
    <x v="7"/>
    <d v="2023-06-27T00:00:00"/>
    <s v="Annual"/>
    <d v="2024-04-22T00:00:00"/>
    <x v="1"/>
    <n v="46924"/>
    <n v="6619"/>
    <n v="14"/>
    <d v="2024-05-06T00:00:00"/>
    <x v="0"/>
    <x v="0"/>
    <x v="0"/>
    <n v="7.0892999999999997"/>
    <n v="300"/>
    <n v="2024"/>
    <s v="April"/>
  </r>
  <r>
    <s v="DINS-CLM-101145"/>
    <s v="DINS-CUS-501145"/>
    <s v="DINS-POL-201145"/>
    <x v="4"/>
    <x v="1"/>
    <x v="0"/>
    <x v="0"/>
    <x v="6"/>
    <d v="2024-07-20T00:00:00"/>
    <s v="Annual"/>
    <d v="2024-08-23T00:00:00"/>
    <x v="1"/>
    <n v="2089"/>
    <n v="3596"/>
    <n v="45"/>
    <d v="2024-10-07T00:00:00"/>
    <x v="0"/>
    <x v="0"/>
    <x v="1"/>
    <n v="0.58089999999999997"/>
    <n v="34"/>
    <n v="2024"/>
    <s v="August"/>
  </r>
  <r>
    <s v="DINS-CLM-101146"/>
    <s v="DINS-CUS-501146"/>
    <s v="DINS-POL-201146"/>
    <x v="3"/>
    <x v="2"/>
    <x v="4"/>
    <x v="1"/>
    <x v="5"/>
    <d v="2023-07-25T00:00:00"/>
    <s v="Annual"/>
    <d v="2024-04-29T00:00:00"/>
    <x v="1"/>
    <n v="66691"/>
    <n v="6152"/>
    <n v="19"/>
    <d v="2024-05-18T00:00:00"/>
    <x v="0"/>
    <x v="0"/>
    <x v="1"/>
    <n v="10.8405"/>
    <n v="279"/>
    <n v="2024"/>
    <s v="April"/>
  </r>
  <r>
    <s v="DINS-CLM-101147"/>
    <s v="DINS-CUS-501147"/>
    <s v="DINS-POL-201147"/>
    <x v="0"/>
    <x v="2"/>
    <x v="3"/>
    <x v="0"/>
    <x v="4"/>
    <d v="2024-04-19T00:00:00"/>
    <s v="Annual"/>
    <d v="2024-08-27T00:00:00"/>
    <x v="1"/>
    <n v="29812"/>
    <n v="6928"/>
    <n v="45"/>
    <d v="2024-10-11T00:00:00"/>
    <x v="0"/>
    <x v="0"/>
    <x v="2"/>
    <n v="4.3030999999999997"/>
    <n v="130"/>
    <n v="2024"/>
    <s v="August"/>
  </r>
  <r>
    <s v="DINS-CLM-101148"/>
    <s v="DINS-CUS-501148"/>
    <s v="DINS-POL-201148"/>
    <x v="0"/>
    <x v="1"/>
    <x v="0"/>
    <x v="2"/>
    <x v="7"/>
    <d v="2024-04-02T00:00:00"/>
    <s v="Annual"/>
    <d v="2024-08-30T00:00:00"/>
    <x v="1"/>
    <n v="55848"/>
    <n v="7106"/>
    <n v="14"/>
    <d v="2024-09-13T00:00:00"/>
    <x v="0"/>
    <x v="0"/>
    <x v="1"/>
    <n v="7.8593000000000002"/>
    <n v="150"/>
    <n v="2024"/>
    <s v="August"/>
  </r>
  <r>
    <s v="DINS-CLM-101149"/>
    <s v="DINS-CUS-501149"/>
    <s v="DINS-POL-201149"/>
    <x v="2"/>
    <x v="0"/>
    <x v="0"/>
    <x v="2"/>
    <x v="2"/>
    <d v="2023-05-19T00:00:00"/>
    <s v="Annual"/>
    <d v="2024-03-28T00:00:00"/>
    <x v="1"/>
    <n v="36410"/>
    <n v="3504"/>
    <n v="13"/>
    <d v="2024-04-10T00:00:00"/>
    <x v="0"/>
    <x v="0"/>
    <x v="2"/>
    <n v="10.391"/>
    <n v="314"/>
    <n v="2024"/>
    <s v="March"/>
  </r>
  <r>
    <s v="DINS-CLM-101150"/>
    <s v="DINS-CUS-501150"/>
    <s v="DINS-POL-201150"/>
    <x v="2"/>
    <x v="2"/>
    <x v="3"/>
    <x v="0"/>
    <x v="0"/>
    <d v="2023-08-28T00:00:00"/>
    <s v="Monthly"/>
    <d v="2024-02-17T00:00:00"/>
    <x v="1"/>
    <n v="29584"/>
    <n v="4868"/>
    <n v="42"/>
    <d v="2024-03-30T00:00:00"/>
    <x v="0"/>
    <x v="0"/>
    <x v="0"/>
    <n v="6.0772000000000004"/>
    <n v="173"/>
    <n v="2024"/>
    <s v="February"/>
  </r>
  <r>
    <s v="DINS-CLM-101151"/>
    <s v="DINS-CUS-501151"/>
    <s v="DINS-POL-201151"/>
    <x v="2"/>
    <x v="2"/>
    <x v="0"/>
    <x v="0"/>
    <x v="0"/>
    <d v="2023-12-22T00:00:00"/>
    <s v="Annual"/>
    <d v="2024-11-28T00:00:00"/>
    <x v="0"/>
    <n v="13820"/>
    <n v="4656"/>
    <s v="N/A - Not Settled"/>
    <s v="N/A - Not Settled"/>
    <x v="0"/>
    <x v="0"/>
    <x v="0"/>
    <n v="2.9681999999999999"/>
    <n v="342"/>
    <n v="2024"/>
    <s v="November"/>
  </r>
  <r>
    <s v="DINS-CLM-101152"/>
    <s v="DINS-CUS-501152"/>
    <s v="DINS-POL-201152"/>
    <x v="0"/>
    <x v="1"/>
    <x v="2"/>
    <x v="1"/>
    <x v="0"/>
    <d v="2023-03-07T00:00:00"/>
    <s v="Monthly"/>
    <d v="2024-02-13T00:00:00"/>
    <x v="2"/>
    <n v="32923"/>
    <n v="2718"/>
    <s v="N/A - Not Settled"/>
    <s v="N/A - Not Settled"/>
    <x v="0"/>
    <x v="0"/>
    <x v="2"/>
    <n v="12.113"/>
    <n v="343"/>
    <n v="2024"/>
    <s v="February"/>
  </r>
  <r>
    <s v="DINS-CLM-101153"/>
    <s v="DINS-CUS-501153"/>
    <s v="DINS-POL-201153"/>
    <x v="4"/>
    <x v="0"/>
    <x v="3"/>
    <x v="2"/>
    <x v="1"/>
    <d v="2024-04-29T00:00:00"/>
    <s v="Annual"/>
    <d v="2024-09-07T00:00:00"/>
    <x v="1"/>
    <n v="14719"/>
    <n v="8463"/>
    <n v="27"/>
    <d v="2024-10-04T00:00:00"/>
    <x v="1"/>
    <x v="1"/>
    <x v="1"/>
    <n v="1.7392000000000001"/>
    <n v="131"/>
    <n v="2024"/>
    <s v="September"/>
  </r>
  <r>
    <s v="DINS-CLM-101154"/>
    <s v="DINS-CUS-501154"/>
    <s v="DINS-POL-201154"/>
    <x v="2"/>
    <x v="2"/>
    <x v="3"/>
    <x v="1"/>
    <x v="1"/>
    <d v="2023-11-05T00:00:00"/>
    <s v="Monthly"/>
    <d v="2024-06-28T00:00:00"/>
    <x v="1"/>
    <n v="28086"/>
    <n v="3124"/>
    <n v="9"/>
    <d v="2024-07-07T00:00:00"/>
    <x v="0"/>
    <x v="0"/>
    <x v="1"/>
    <n v="8.9903999999999993"/>
    <n v="236"/>
    <n v="2024"/>
    <s v="June"/>
  </r>
  <r>
    <s v="DINS-CLM-101155"/>
    <s v="DINS-CUS-501155"/>
    <s v="DINS-POL-201155"/>
    <x v="0"/>
    <x v="2"/>
    <x v="4"/>
    <x v="2"/>
    <x v="0"/>
    <d v="2024-02-09T00:00:00"/>
    <s v="Annual"/>
    <d v="2024-03-17T00:00:00"/>
    <x v="1"/>
    <n v="15678"/>
    <n v="3903"/>
    <n v="37"/>
    <d v="2024-04-23T00:00:00"/>
    <x v="0"/>
    <x v="0"/>
    <x v="2"/>
    <n v="4.0168999999999997"/>
    <n v="37"/>
    <n v="2024"/>
    <s v="March"/>
  </r>
  <r>
    <s v="DINS-CLM-101156"/>
    <s v="DINS-CUS-501156"/>
    <s v="DINS-POL-201156"/>
    <x v="1"/>
    <x v="1"/>
    <x v="4"/>
    <x v="1"/>
    <x v="7"/>
    <d v="2023-07-18T00:00:00"/>
    <s v="Annual"/>
    <d v="2024-07-16T00:00:00"/>
    <x v="1"/>
    <n v="33767"/>
    <n v="3419"/>
    <n v="43"/>
    <d v="2024-08-28T00:00:00"/>
    <x v="1"/>
    <x v="0"/>
    <x v="0"/>
    <n v="9.8763000000000005"/>
    <n v="364"/>
    <n v="2024"/>
    <s v="July"/>
  </r>
  <r>
    <s v="DINS-CLM-101157"/>
    <s v="DINS-CUS-501157"/>
    <s v="DINS-POL-201157"/>
    <x v="4"/>
    <x v="0"/>
    <x v="5"/>
    <x v="2"/>
    <x v="6"/>
    <d v="2024-03-12T00:00:00"/>
    <s v="Monthly"/>
    <d v="2024-05-06T00:00:00"/>
    <x v="0"/>
    <n v="10213"/>
    <n v="4741"/>
    <s v="N/A - Not Settled"/>
    <s v="N/A - Not Settled"/>
    <x v="0"/>
    <x v="0"/>
    <x v="0"/>
    <n v="2.1541999999999999"/>
    <n v="55"/>
    <n v="2024"/>
    <s v="May"/>
  </r>
  <r>
    <s v="DINS-CLM-101158"/>
    <s v="DINS-CUS-501158"/>
    <s v="DINS-POL-201158"/>
    <x v="0"/>
    <x v="0"/>
    <x v="4"/>
    <x v="2"/>
    <x v="2"/>
    <d v="2024-01-24T00:00:00"/>
    <s v="Annual"/>
    <d v="2024-10-16T00:00:00"/>
    <x v="1"/>
    <n v="43189"/>
    <n v="6877"/>
    <n v="34"/>
    <d v="2024-11-19T00:00:00"/>
    <x v="0"/>
    <x v="0"/>
    <x v="0"/>
    <n v="6.2801999999999998"/>
    <n v="266"/>
    <n v="2024"/>
    <s v="October"/>
  </r>
  <r>
    <s v="DINS-CLM-101159"/>
    <s v="DINS-CUS-501159"/>
    <s v="DINS-POL-201159"/>
    <x v="3"/>
    <x v="1"/>
    <x v="0"/>
    <x v="1"/>
    <x v="3"/>
    <d v="2024-02-06T00:00:00"/>
    <s v="Monthly"/>
    <d v="2024-12-23T00:00:00"/>
    <x v="1"/>
    <n v="22294"/>
    <n v="3630"/>
    <n v="11"/>
    <d v="2025-01-03T00:00:00"/>
    <x v="0"/>
    <x v="0"/>
    <x v="0"/>
    <n v="6.1416000000000004"/>
    <n v="321"/>
    <n v="2024"/>
    <s v="December"/>
  </r>
  <r>
    <s v="DINS-CLM-101160"/>
    <s v="DINS-CUS-501160"/>
    <s v="DINS-POL-201160"/>
    <x v="5"/>
    <x v="1"/>
    <x v="3"/>
    <x v="2"/>
    <x v="0"/>
    <d v="2023-06-15T00:00:00"/>
    <s v="Monthly"/>
    <d v="2024-03-20T00:00:00"/>
    <x v="1"/>
    <n v="79745"/>
    <n v="8799"/>
    <n v="32"/>
    <d v="2024-04-21T00:00:00"/>
    <x v="0"/>
    <x v="0"/>
    <x v="0"/>
    <n v="9.0630000000000006"/>
    <n v="279"/>
    <n v="2024"/>
    <s v="March"/>
  </r>
  <r>
    <s v="DINS-CLM-101161"/>
    <s v="DINS-CUS-501161"/>
    <s v="DINS-POL-201161"/>
    <x v="1"/>
    <x v="2"/>
    <x v="1"/>
    <x v="0"/>
    <x v="0"/>
    <d v="2024-04-03T00:00:00"/>
    <s v="Annual"/>
    <d v="2024-11-12T00:00:00"/>
    <x v="0"/>
    <n v="26575"/>
    <n v="7483"/>
    <s v="N/A - Not Settled"/>
    <s v="N/A - Not Settled"/>
    <x v="1"/>
    <x v="1"/>
    <x v="0"/>
    <n v="3.5514000000000001"/>
    <n v="223"/>
    <n v="2024"/>
    <s v="November"/>
  </r>
  <r>
    <s v="DINS-CLM-101162"/>
    <s v="DINS-CUS-501162"/>
    <s v="DINS-POL-201162"/>
    <x v="0"/>
    <x v="0"/>
    <x v="4"/>
    <x v="2"/>
    <x v="5"/>
    <d v="2023-08-27T00:00:00"/>
    <s v="Annual"/>
    <d v="2024-07-21T00:00:00"/>
    <x v="1"/>
    <n v="53627"/>
    <n v="7448"/>
    <n v="30"/>
    <d v="2024-08-20T00:00:00"/>
    <x v="1"/>
    <x v="0"/>
    <x v="2"/>
    <n v="7.2001999999999997"/>
    <n v="329"/>
    <n v="2024"/>
    <s v="July"/>
  </r>
  <r>
    <s v="DINS-CLM-101163"/>
    <s v="DINS-CUS-501163"/>
    <s v="DINS-POL-201163"/>
    <x v="2"/>
    <x v="1"/>
    <x v="5"/>
    <x v="2"/>
    <x v="4"/>
    <d v="2023-12-17T00:00:00"/>
    <s v="Annual"/>
    <d v="2024-10-17T00:00:00"/>
    <x v="1"/>
    <n v="34280"/>
    <n v="8134"/>
    <n v="3"/>
    <d v="2024-10-20T00:00:00"/>
    <x v="0"/>
    <x v="0"/>
    <x v="1"/>
    <n v="4.2144000000000004"/>
    <n v="305"/>
    <n v="2024"/>
    <s v="October"/>
  </r>
  <r>
    <s v="DINS-CLM-101164"/>
    <s v="DINS-CUS-501164"/>
    <s v="DINS-POL-201164"/>
    <x v="2"/>
    <x v="1"/>
    <x v="4"/>
    <x v="2"/>
    <x v="1"/>
    <d v="2023-09-03T00:00:00"/>
    <s v="Annual"/>
    <d v="2024-06-08T00:00:00"/>
    <x v="2"/>
    <n v="17765"/>
    <n v="4617"/>
    <s v="N/A - Not Settled"/>
    <s v="N/A - Not Settled"/>
    <x v="0"/>
    <x v="0"/>
    <x v="2"/>
    <n v="3.8477000000000001"/>
    <n v="279"/>
    <n v="2024"/>
    <s v="June"/>
  </r>
  <r>
    <s v="DINS-CLM-101165"/>
    <s v="DINS-CUS-501165"/>
    <s v="DINS-POL-201165"/>
    <x v="0"/>
    <x v="0"/>
    <x v="3"/>
    <x v="2"/>
    <x v="3"/>
    <d v="2023-06-23T00:00:00"/>
    <s v="Monthly"/>
    <d v="2024-05-22T00:00:00"/>
    <x v="0"/>
    <n v="35533"/>
    <n v="4297"/>
    <s v="N/A - Not Settled"/>
    <s v="N/A - Not Settled"/>
    <x v="0"/>
    <x v="0"/>
    <x v="0"/>
    <n v="8.2692999999999994"/>
    <n v="334"/>
    <n v="2024"/>
    <s v="May"/>
  </r>
  <r>
    <s v="DINS-CLM-101166"/>
    <s v="DINS-CUS-501166"/>
    <s v="DINS-POL-201166"/>
    <x v="0"/>
    <x v="1"/>
    <x v="0"/>
    <x v="0"/>
    <x v="0"/>
    <d v="2023-11-20T00:00:00"/>
    <s v="Monthly"/>
    <d v="2024-09-24T00:00:00"/>
    <x v="1"/>
    <n v="49467"/>
    <n v="5351"/>
    <n v="2"/>
    <d v="2024-09-26T00:00:00"/>
    <x v="0"/>
    <x v="0"/>
    <x v="1"/>
    <n v="9.2444000000000006"/>
    <n v="309"/>
    <n v="2024"/>
    <s v="September"/>
  </r>
  <r>
    <s v="DINS-CLM-101167"/>
    <s v="DINS-CUS-501167"/>
    <s v="DINS-POL-201167"/>
    <x v="5"/>
    <x v="0"/>
    <x v="2"/>
    <x v="1"/>
    <x v="4"/>
    <d v="2023-09-21T00:00:00"/>
    <s v="Annual"/>
    <d v="2024-09-14T00:00:00"/>
    <x v="1"/>
    <n v="46888"/>
    <n v="6798"/>
    <n v="38"/>
    <d v="2024-10-22T00:00:00"/>
    <x v="0"/>
    <x v="0"/>
    <x v="0"/>
    <n v="6.8973000000000004"/>
    <n v="359"/>
    <n v="2024"/>
    <s v="September"/>
  </r>
  <r>
    <s v="DINS-CLM-101168"/>
    <s v="DINS-CUS-501168"/>
    <s v="DINS-POL-201168"/>
    <x v="0"/>
    <x v="1"/>
    <x v="1"/>
    <x v="0"/>
    <x v="5"/>
    <d v="2024-02-22T00:00:00"/>
    <s v="Monthly"/>
    <d v="2024-07-25T00:00:00"/>
    <x v="1"/>
    <n v="20010"/>
    <n v="2912"/>
    <n v="20"/>
    <d v="2024-08-14T00:00:00"/>
    <x v="0"/>
    <x v="0"/>
    <x v="1"/>
    <n v="6.8715999999999999"/>
    <n v="154"/>
    <n v="2024"/>
    <s v="July"/>
  </r>
  <r>
    <s v="DINS-CLM-101169"/>
    <s v="DINS-CUS-501169"/>
    <s v="DINS-POL-201169"/>
    <x v="5"/>
    <x v="2"/>
    <x v="3"/>
    <x v="1"/>
    <x v="6"/>
    <d v="2023-11-06T00:00:00"/>
    <s v="Monthly"/>
    <d v="2024-08-02T00:00:00"/>
    <x v="0"/>
    <n v="30513"/>
    <n v="3242"/>
    <s v="N/A - Not Settled"/>
    <s v="N/A - Not Settled"/>
    <x v="0"/>
    <x v="0"/>
    <x v="2"/>
    <n v="9.4117999999999995"/>
    <n v="270"/>
    <n v="2024"/>
    <s v="August"/>
  </r>
  <r>
    <s v="DINS-CLM-101170"/>
    <s v="DINS-CUS-501170"/>
    <s v="DINS-POL-201170"/>
    <x v="2"/>
    <x v="1"/>
    <x v="1"/>
    <x v="0"/>
    <x v="0"/>
    <d v="2023-10-26T00:00:00"/>
    <s v="Monthly"/>
    <d v="2024-04-29T00:00:00"/>
    <x v="1"/>
    <n v="4505"/>
    <n v="1708"/>
    <n v="21"/>
    <d v="2024-05-20T00:00:00"/>
    <x v="0"/>
    <x v="0"/>
    <x v="0"/>
    <n v="2.6375999999999999"/>
    <n v="186"/>
    <n v="2024"/>
    <s v="April"/>
  </r>
  <r>
    <s v="DINS-CLM-101171"/>
    <s v="DINS-CUS-501171"/>
    <s v="DINS-POL-201171"/>
    <x v="1"/>
    <x v="2"/>
    <x v="5"/>
    <x v="1"/>
    <x v="5"/>
    <d v="2024-02-19T00:00:00"/>
    <s v="Annual"/>
    <d v="2024-03-26T00:00:00"/>
    <x v="1"/>
    <n v="38963"/>
    <n v="4708"/>
    <n v="39"/>
    <d v="2024-05-04T00:00:00"/>
    <x v="0"/>
    <x v="0"/>
    <x v="0"/>
    <n v="8.2759"/>
    <n v="36"/>
    <n v="2024"/>
    <s v="March"/>
  </r>
  <r>
    <s v="DINS-CLM-101172"/>
    <s v="DINS-CUS-501172"/>
    <s v="DINS-POL-201172"/>
    <x v="2"/>
    <x v="2"/>
    <x v="0"/>
    <x v="2"/>
    <x v="4"/>
    <d v="2023-07-10T00:00:00"/>
    <s v="Annual"/>
    <d v="2024-04-10T00:00:00"/>
    <x v="1"/>
    <n v="9744"/>
    <n v="7002"/>
    <n v="6"/>
    <d v="2024-04-16T00:00:00"/>
    <x v="1"/>
    <x v="0"/>
    <x v="2"/>
    <n v="1.3915999999999999"/>
    <n v="275"/>
    <n v="2024"/>
    <s v="April"/>
  </r>
  <r>
    <s v="DINS-CLM-101173"/>
    <s v="DINS-CUS-501173"/>
    <s v="DINS-POL-201173"/>
    <x v="0"/>
    <x v="0"/>
    <x v="3"/>
    <x v="0"/>
    <x v="3"/>
    <d v="2023-05-13T00:00:00"/>
    <s v="Annual"/>
    <d v="2024-05-03T00:00:00"/>
    <x v="1"/>
    <n v="56637"/>
    <n v="4410"/>
    <n v="16"/>
    <d v="2024-05-19T00:00:00"/>
    <x v="0"/>
    <x v="0"/>
    <x v="2"/>
    <n v="12.8429"/>
    <n v="356"/>
    <n v="2024"/>
    <s v="May"/>
  </r>
  <r>
    <s v="DINS-CLM-101174"/>
    <s v="DINS-CUS-501174"/>
    <s v="DINS-POL-201174"/>
    <x v="2"/>
    <x v="1"/>
    <x v="4"/>
    <x v="2"/>
    <x v="1"/>
    <d v="2024-01-22T00:00:00"/>
    <s v="Annual"/>
    <d v="2024-05-23T00:00:00"/>
    <x v="1"/>
    <n v="24010"/>
    <n v="2469"/>
    <n v="17"/>
    <d v="2024-06-09T00:00:00"/>
    <x v="0"/>
    <x v="0"/>
    <x v="0"/>
    <n v="9.7246000000000006"/>
    <n v="122"/>
    <n v="2024"/>
    <s v="May"/>
  </r>
  <r>
    <s v="DINS-CLM-101175"/>
    <s v="DINS-CUS-501175"/>
    <s v="DINS-POL-201175"/>
    <x v="2"/>
    <x v="1"/>
    <x v="1"/>
    <x v="0"/>
    <x v="2"/>
    <d v="2023-11-22T00:00:00"/>
    <s v="Monthly"/>
    <d v="2024-10-29T00:00:00"/>
    <x v="1"/>
    <n v="34128"/>
    <n v="6120"/>
    <n v="37"/>
    <d v="2024-12-05T00:00:00"/>
    <x v="0"/>
    <x v="0"/>
    <x v="2"/>
    <n v="5.5765000000000002"/>
    <n v="342"/>
    <n v="2024"/>
    <s v="October"/>
  </r>
  <r>
    <s v="DINS-CLM-101176"/>
    <s v="DINS-CUS-501176"/>
    <s v="DINS-POL-201176"/>
    <x v="4"/>
    <x v="1"/>
    <x v="3"/>
    <x v="1"/>
    <x v="3"/>
    <d v="2024-07-16T00:00:00"/>
    <s v="Annual"/>
    <d v="2024-12-30T00:00:00"/>
    <x v="1"/>
    <n v="10979"/>
    <n v="8956"/>
    <n v="4"/>
    <d v="2025-01-03T00:00:00"/>
    <x v="0"/>
    <x v="0"/>
    <x v="2"/>
    <n v="1.2259"/>
    <n v="167"/>
    <n v="2024"/>
    <s v="December"/>
  </r>
  <r>
    <s v="DINS-CLM-101177"/>
    <s v="DINS-CUS-501177"/>
    <s v="DINS-POL-201177"/>
    <x v="2"/>
    <x v="2"/>
    <x v="5"/>
    <x v="1"/>
    <x v="6"/>
    <d v="2023-07-28T00:00:00"/>
    <s v="Monthly"/>
    <d v="2024-01-28T00:00:00"/>
    <x v="2"/>
    <n v="7248"/>
    <n v="2051"/>
    <s v="N/A - Not Settled"/>
    <s v="N/A - Not Settled"/>
    <x v="0"/>
    <x v="0"/>
    <x v="2"/>
    <n v="3.5339"/>
    <n v="184"/>
    <n v="2024"/>
    <s v="January"/>
  </r>
  <r>
    <s v="DINS-CLM-101178"/>
    <s v="DINS-CUS-501178"/>
    <s v="DINS-POL-201178"/>
    <x v="4"/>
    <x v="0"/>
    <x v="5"/>
    <x v="2"/>
    <x v="5"/>
    <d v="2024-03-19T00:00:00"/>
    <s v="Annual"/>
    <d v="2024-05-19T00:00:00"/>
    <x v="1"/>
    <n v="18608"/>
    <n v="8823"/>
    <n v="20"/>
    <d v="2024-06-08T00:00:00"/>
    <x v="1"/>
    <x v="1"/>
    <x v="2"/>
    <n v="2.109"/>
    <n v="61"/>
    <n v="2024"/>
    <s v="May"/>
  </r>
  <r>
    <s v="DINS-CLM-101179"/>
    <s v="DINS-CUS-501179"/>
    <s v="DINS-POL-201179"/>
    <x v="2"/>
    <x v="0"/>
    <x v="4"/>
    <x v="0"/>
    <x v="2"/>
    <d v="2023-08-18T00:00:00"/>
    <s v="Annual"/>
    <d v="2024-03-18T00:00:00"/>
    <x v="1"/>
    <n v="39305"/>
    <n v="6431"/>
    <n v="26"/>
    <d v="2024-04-13T00:00:00"/>
    <x v="1"/>
    <x v="1"/>
    <x v="1"/>
    <n v="6.1117999999999997"/>
    <n v="213"/>
    <n v="2024"/>
    <s v="March"/>
  </r>
  <r>
    <s v="DINS-CLM-101180"/>
    <s v="DINS-CUS-501180"/>
    <s v="DINS-POL-201180"/>
    <x v="0"/>
    <x v="1"/>
    <x v="3"/>
    <x v="2"/>
    <x v="7"/>
    <d v="2024-08-04T00:00:00"/>
    <s v="Annual"/>
    <d v="2024-09-27T00:00:00"/>
    <x v="1"/>
    <n v="48774"/>
    <n v="5674"/>
    <n v="42"/>
    <d v="2024-11-08T00:00:00"/>
    <x v="0"/>
    <x v="0"/>
    <x v="0"/>
    <n v="8.5960999999999999"/>
    <n v="54"/>
    <n v="2024"/>
    <s v="September"/>
  </r>
  <r>
    <s v="DINS-CLM-101181"/>
    <s v="DINS-CUS-501181"/>
    <s v="DINS-POL-201181"/>
    <x v="0"/>
    <x v="0"/>
    <x v="0"/>
    <x v="1"/>
    <x v="6"/>
    <d v="2023-12-24T00:00:00"/>
    <s v="Monthly"/>
    <d v="2024-02-20T00:00:00"/>
    <x v="1"/>
    <n v="42919"/>
    <n v="2428"/>
    <n v="24"/>
    <d v="2024-03-15T00:00:00"/>
    <x v="0"/>
    <x v="0"/>
    <x v="1"/>
    <n v="17.6767"/>
    <n v="58"/>
    <n v="2024"/>
    <s v="February"/>
  </r>
  <r>
    <s v="DINS-CLM-101182"/>
    <s v="DINS-CUS-501182"/>
    <s v="DINS-POL-201182"/>
    <x v="3"/>
    <x v="0"/>
    <x v="5"/>
    <x v="0"/>
    <x v="2"/>
    <d v="2023-09-08T00:00:00"/>
    <s v="Monthly"/>
    <d v="2024-03-30T00:00:00"/>
    <x v="2"/>
    <n v="57576"/>
    <n v="6806"/>
    <s v="N/A - Not Settled"/>
    <s v="N/A - Not Settled"/>
    <x v="0"/>
    <x v="0"/>
    <x v="0"/>
    <n v="8.4596"/>
    <n v="204"/>
    <n v="2024"/>
    <s v="March"/>
  </r>
  <r>
    <s v="DINS-CLM-101183"/>
    <s v="DINS-CUS-501183"/>
    <s v="DINS-POL-201183"/>
    <x v="5"/>
    <x v="1"/>
    <x v="1"/>
    <x v="2"/>
    <x v="4"/>
    <d v="2024-07-06T00:00:00"/>
    <s v="Monthly"/>
    <d v="2024-12-17T00:00:00"/>
    <x v="2"/>
    <n v="28468"/>
    <n v="1911"/>
    <s v="N/A - Not Settled"/>
    <s v="N/A - Not Settled"/>
    <x v="0"/>
    <x v="0"/>
    <x v="0"/>
    <n v="14.8969"/>
    <n v="164"/>
    <n v="2024"/>
    <s v="December"/>
  </r>
  <r>
    <s v="DINS-CLM-101184"/>
    <s v="DINS-CUS-501184"/>
    <s v="DINS-POL-201184"/>
    <x v="3"/>
    <x v="1"/>
    <x v="5"/>
    <x v="0"/>
    <x v="1"/>
    <d v="2023-10-26T00:00:00"/>
    <s v="Monthly"/>
    <d v="2024-06-05T00:00:00"/>
    <x v="1"/>
    <n v="38273"/>
    <n v="7650"/>
    <n v="25"/>
    <d v="2024-06-30T00:00:00"/>
    <x v="0"/>
    <x v="0"/>
    <x v="2"/>
    <n v="5.0030000000000001"/>
    <n v="223"/>
    <n v="2024"/>
    <s v="June"/>
  </r>
  <r>
    <s v="DINS-CLM-101185"/>
    <s v="DINS-CUS-501185"/>
    <s v="DINS-POL-201185"/>
    <x v="0"/>
    <x v="0"/>
    <x v="3"/>
    <x v="1"/>
    <x v="5"/>
    <d v="2023-04-21T00:00:00"/>
    <s v="Monthly"/>
    <d v="2024-03-28T00:00:00"/>
    <x v="1"/>
    <n v="31926"/>
    <n v="1488"/>
    <n v="28"/>
    <d v="2024-04-25T00:00:00"/>
    <x v="0"/>
    <x v="0"/>
    <x v="0"/>
    <n v="21.4556"/>
    <n v="342"/>
    <n v="2024"/>
    <s v="March"/>
  </r>
  <r>
    <s v="DINS-CLM-101186"/>
    <s v="DINS-CUS-501186"/>
    <s v="DINS-POL-201186"/>
    <x v="0"/>
    <x v="0"/>
    <x v="0"/>
    <x v="0"/>
    <x v="1"/>
    <d v="2024-02-09T00:00:00"/>
    <s v="Annual"/>
    <d v="2024-05-28T00:00:00"/>
    <x v="1"/>
    <n v="10738"/>
    <n v="585"/>
    <n v="6"/>
    <d v="2024-06-03T00:00:00"/>
    <x v="0"/>
    <x v="0"/>
    <x v="0"/>
    <n v="18.355599999999999"/>
    <n v="109"/>
    <n v="2024"/>
    <s v="May"/>
  </r>
  <r>
    <s v="DINS-CLM-101187"/>
    <s v="DINS-CUS-501187"/>
    <s v="DINS-POL-201187"/>
    <x v="2"/>
    <x v="2"/>
    <x v="3"/>
    <x v="2"/>
    <x v="4"/>
    <d v="2024-09-19T00:00:00"/>
    <s v="Monthly"/>
    <d v="2024-11-02T00:00:00"/>
    <x v="2"/>
    <n v="30768"/>
    <n v="7537"/>
    <s v="N/A - Not Settled"/>
    <s v="N/A - Not Settled"/>
    <x v="0"/>
    <x v="0"/>
    <x v="2"/>
    <n v="4.0823"/>
    <n v="44"/>
    <n v="2024"/>
    <s v="November"/>
  </r>
  <r>
    <s v="DINS-CLM-101188"/>
    <s v="DINS-CUS-501188"/>
    <s v="DINS-POL-201188"/>
    <x v="0"/>
    <x v="2"/>
    <x v="1"/>
    <x v="1"/>
    <x v="2"/>
    <d v="2024-04-20T00:00:00"/>
    <s v="Annual"/>
    <d v="2024-10-10T00:00:00"/>
    <x v="1"/>
    <n v="39460"/>
    <n v="6421"/>
    <n v="16"/>
    <d v="2024-10-26T00:00:00"/>
    <x v="1"/>
    <x v="0"/>
    <x v="0"/>
    <n v="6.1455000000000002"/>
    <n v="173"/>
    <n v="2024"/>
    <s v="October"/>
  </r>
  <r>
    <s v="DINS-CLM-101189"/>
    <s v="DINS-CUS-501189"/>
    <s v="DINS-POL-201189"/>
    <x v="2"/>
    <x v="1"/>
    <x v="5"/>
    <x v="2"/>
    <x v="1"/>
    <d v="2024-02-11T00:00:00"/>
    <s v="Annual"/>
    <d v="2024-12-22T00:00:00"/>
    <x v="0"/>
    <n v="28930"/>
    <n v="2018"/>
    <s v="N/A - Not Settled"/>
    <s v="N/A - Not Settled"/>
    <x v="0"/>
    <x v="0"/>
    <x v="1"/>
    <n v="14.336"/>
    <n v="315"/>
    <n v="2024"/>
    <s v="December"/>
  </r>
  <r>
    <s v="DINS-CLM-101190"/>
    <s v="DINS-CUS-501190"/>
    <s v="DINS-POL-201190"/>
    <x v="0"/>
    <x v="1"/>
    <x v="5"/>
    <x v="0"/>
    <x v="2"/>
    <d v="2023-08-09T00:00:00"/>
    <s v="Monthly"/>
    <d v="2024-01-09T00:00:00"/>
    <x v="0"/>
    <n v="4881"/>
    <n v="1418"/>
    <s v="N/A - Not Settled"/>
    <s v="N/A - Not Settled"/>
    <x v="0"/>
    <x v="0"/>
    <x v="1"/>
    <n v="3.4422000000000001"/>
    <n v="153"/>
    <n v="2024"/>
    <s v="January"/>
  </r>
  <r>
    <s v="DINS-CLM-101191"/>
    <s v="DINS-CUS-501191"/>
    <s v="DINS-POL-201191"/>
    <x v="5"/>
    <x v="2"/>
    <x v="5"/>
    <x v="1"/>
    <x v="0"/>
    <d v="2023-08-14T00:00:00"/>
    <s v="Annual"/>
    <d v="2024-04-16T00:00:00"/>
    <x v="0"/>
    <n v="74499"/>
    <n v="2142"/>
    <s v="N/A - Not Settled"/>
    <s v="N/A - Not Settled"/>
    <x v="1"/>
    <x v="0"/>
    <x v="1"/>
    <n v="34.780099999999997"/>
    <n v="246"/>
    <n v="2024"/>
    <s v="April"/>
  </r>
  <r>
    <s v="DINS-CLM-101192"/>
    <s v="DINS-CUS-501192"/>
    <s v="DINS-POL-201192"/>
    <x v="4"/>
    <x v="0"/>
    <x v="0"/>
    <x v="1"/>
    <x v="6"/>
    <d v="2024-07-13T00:00:00"/>
    <s v="Monthly"/>
    <d v="2024-12-30T00:00:00"/>
    <x v="1"/>
    <n v="8349"/>
    <n v="1633"/>
    <n v="30"/>
    <d v="2025-01-29T00:00:00"/>
    <x v="0"/>
    <x v="0"/>
    <x v="1"/>
    <n v="5.1127000000000002"/>
    <n v="170"/>
    <n v="2024"/>
    <s v="December"/>
  </r>
  <r>
    <s v="DINS-CLM-101193"/>
    <s v="DINS-CUS-501193"/>
    <s v="DINS-POL-201193"/>
    <x v="2"/>
    <x v="0"/>
    <x v="5"/>
    <x v="0"/>
    <x v="6"/>
    <d v="2024-04-13T00:00:00"/>
    <s v="Annual"/>
    <d v="2024-06-04T00:00:00"/>
    <x v="1"/>
    <n v="14351"/>
    <n v="1507"/>
    <n v="44"/>
    <d v="2024-07-18T00:00:00"/>
    <x v="0"/>
    <x v="0"/>
    <x v="0"/>
    <n v="9.5228999999999999"/>
    <n v="52"/>
    <n v="2024"/>
    <s v="June"/>
  </r>
  <r>
    <s v="DINS-CLM-101194"/>
    <s v="DINS-CUS-501194"/>
    <s v="DINS-POL-201194"/>
    <x v="0"/>
    <x v="1"/>
    <x v="0"/>
    <x v="2"/>
    <x v="4"/>
    <d v="2024-02-16T00:00:00"/>
    <s v="Monthly"/>
    <d v="2024-11-13T00:00:00"/>
    <x v="1"/>
    <n v="7029"/>
    <n v="3699"/>
    <n v="18"/>
    <d v="2024-12-01T00:00:00"/>
    <x v="0"/>
    <x v="0"/>
    <x v="1"/>
    <n v="1.9001999999999999"/>
    <n v="271"/>
    <n v="2024"/>
    <s v="November"/>
  </r>
  <r>
    <s v="DINS-CLM-101195"/>
    <s v="DINS-CUS-501195"/>
    <s v="DINS-POL-201195"/>
    <x v="2"/>
    <x v="1"/>
    <x v="5"/>
    <x v="0"/>
    <x v="3"/>
    <d v="2024-03-08T00:00:00"/>
    <s v="Monthly"/>
    <d v="2024-07-29T00:00:00"/>
    <x v="1"/>
    <n v="38871"/>
    <n v="2617"/>
    <n v="10"/>
    <d v="2024-08-08T00:00:00"/>
    <x v="1"/>
    <x v="0"/>
    <x v="1"/>
    <n v="14.853300000000001"/>
    <n v="143"/>
    <n v="2024"/>
    <s v="July"/>
  </r>
  <r>
    <s v="DINS-CLM-101196"/>
    <s v="DINS-CUS-501196"/>
    <s v="DINS-POL-201196"/>
    <x v="3"/>
    <x v="0"/>
    <x v="5"/>
    <x v="1"/>
    <x v="3"/>
    <d v="2023-11-09T00:00:00"/>
    <s v="Monthly"/>
    <d v="2024-02-13T00:00:00"/>
    <x v="1"/>
    <n v="37650"/>
    <n v="3992"/>
    <n v="45"/>
    <d v="2024-03-29T00:00:00"/>
    <x v="1"/>
    <x v="0"/>
    <x v="1"/>
    <n v="9.4314"/>
    <n v="96"/>
    <n v="2024"/>
    <s v="February"/>
  </r>
  <r>
    <s v="DINS-CLM-101197"/>
    <s v="DINS-CUS-501197"/>
    <s v="DINS-POL-201197"/>
    <x v="0"/>
    <x v="0"/>
    <x v="2"/>
    <x v="0"/>
    <x v="5"/>
    <d v="2024-02-06T00:00:00"/>
    <s v="Annual"/>
    <d v="2024-12-29T00:00:00"/>
    <x v="1"/>
    <n v="26927"/>
    <n v="8739"/>
    <n v="23"/>
    <d v="2025-01-21T00:00:00"/>
    <x v="0"/>
    <x v="0"/>
    <x v="1"/>
    <n v="3.0811999999999999"/>
    <n v="327"/>
    <n v="2024"/>
    <s v="December"/>
  </r>
  <r>
    <s v="DINS-CLM-101198"/>
    <s v="DINS-CUS-501198"/>
    <s v="DINS-POL-201198"/>
    <x v="1"/>
    <x v="1"/>
    <x v="3"/>
    <x v="1"/>
    <x v="2"/>
    <d v="2023-07-30T00:00:00"/>
    <s v="Annual"/>
    <d v="2024-05-10T00:00:00"/>
    <x v="0"/>
    <n v="54966"/>
    <n v="8813"/>
    <s v="N/A - Not Settled"/>
    <s v="N/A - Not Settled"/>
    <x v="0"/>
    <x v="0"/>
    <x v="1"/>
    <n v="6.2369000000000003"/>
    <n v="285"/>
    <n v="2024"/>
    <s v="May"/>
  </r>
  <r>
    <s v="DINS-CLM-101199"/>
    <s v="DINS-CUS-501199"/>
    <s v="DINS-POL-201199"/>
    <x v="2"/>
    <x v="2"/>
    <x v="1"/>
    <x v="0"/>
    <x v="7"/>
    <d v="2023-10-23T00:00:00"/>
    <s v="Monthly"/>
    <d v="2024-10-08T00:00:00"/>
    <x v="1"/>
    <n v="28856"/>
    <n v="8713"/>
    <n v="16"/>
    <d v="2024-10-24T00:00:00"/>
    <x v="0"/>
    <x v="0"/>
    <x v="0"/>
    <n v="3.3117999999999999"/>
    <n v="351"/>
    <n v="2024"/>
    <s v="October"/>
  </r>
  <r>
    <s v="DINS-CLM-101200"/>
    <s v="DINS-CUS-501200"/>
    <s v="DINS-POL-201200"/>
    <x v="0"/>
    <x v="2"/>
    <x v="4"/>
    <x v="1"/>
    <x v="1"/>
    <d v="2023-09-11T00:00:00"/>
    <s v="Monthly"/>
    <d v="2024-05-09T00:00:00"/>
    <x v="2"/>
    <n v="21573"/>
    <n v="6021"/>
    <s v="N/A - Not Settled"/>
    <s v="N/A - Not Settled"/>
    <x v="0"/>
    <x v="0"/>
    <x v="0"/>
    <n v="3.5830000000000002"/>
    <n v="241"/>
    <n v="2024"/>
    <s v="May"/>
  </r>
  <r>
    <s v="DINS-CLM-101201"/>
    <s v="DINS-CUS-501201"/>
    <s v="DINS-POL-201201"/>
    <x v="0"/>
    <x v="0"/>
    <x v="1"/>
    <x v="1"/>
    <x v="7"/>
    <d v="2023-09-26T00:00:00"/>
    <s v="Monthly"/>
    <d v="2024-02-09T00:00:00"/>
    <x v="0"/>
    <n v="44915"/>
    <n v="3006"/>
    <s v="N/A - Not Settled"/>
    <s v="N/A - Not Settled"/>
    <x v="0"/>
    <x v="0"/>
    <x v="2"/>
    <n v="14.941800000000001"/>
    <n v="136"/>
    <n v="2024"/>
    <s v="February"/>
  </r>
  <r>
    <s v="DINS-CLM-101202"/>
    <s v="DINS-CUS-501202"/>
    <s v="DINS-POL-201202"/>
    <x v="4"/>
    <x v="2"/>
    <x v="4"/>
    <x v="2"/>
    <x v="2"/>
    <d v="2024-04-24T00:00:00"/>
    <s v="Annual"/>
    <d v="2024-06-08T00:00:00"/>
    <x v="1"/>
    <n v="3328"/>
    <n v="8740"/>
    <n v="27"/>
    <d v="2024-07-05T00:00:00"/>
    <x v="0"/>
    <x v="0"/>
    <x v="1"/>
    <n v="0.38080000000000003"/>
    <n v="45"/>
    <n v="2024"/>
    <s v="June"/>
  </r>
  <r>
    <s v="DINS-CLM-101203"/>
    <s v="DINS-CUS-501203"/>
    <s v="DINS-POL-201203"/>
    <x v="0"/>
    <x v="1"/>
    <x v="2"/>
    <x v="0"/>
    <x v="1"/>
    <d v="2024-06-17T00:00:00"/>
    <s v="Annual"/>
    <d v="2024-07-27T00:00:00"/>
    <x v="2"/>
    <n v="15475"/>
    <n v="1394"/>
    <s v="N/A - Not Settled"/>
    <s v="N/A - Not Settled"/>
    <x v="0"/>
    <x v="0"/>
    <x v="2"/>
    <n v="11.101100000000001"/>
    <n v="40"/>
    <n v="2024"/>
    <s v="July"/>
  </r>
  <r>
    <s v="DINS-CLM-101204"/>
    <s v="DINS-CUS-501204"/>
    <s v="DINS-POL-201204"/>
    <x v="2"/>
    <x v="0"/>
    <x v="0"/>
    <x v="2"/>
    <x v="4"/>
    <d v="2023-11-24T00:00:00"/>
    <s v="Annual"/>
    <d v="2024-02-23T00:00:00"/>
    <x v="1"/>
    <n v="23466"/>
    <n v="580"/>
    <n v="15"/>
    <d v="2024-03-09T00:00:00"/>
    <x v="0"/>
    <x v="0"/>
    <x v="0"/>
    <n v="40.458599999999997"/>
    <n v="91"/>
    <n v="2024"/>
    <s v="February"/>
  </r>
  <r>
    <s v="DINS-CLM-101205"/>
    <s v="DINS-CUS-501205"/>
    <s v="DINS-POL-201205"/>
    <x v="2"/>
    <x v="2"/>
    <x v="5"/>
    <x v="2"/>
    <x v="0"/>
    <d v="2023-09-26T00:00:00"/>
    <s v="Monthly"/>
    <d v="2024-02-03T00:00:00"/>
    <x v="2"/>
    <n v="12274"/>
    <n v="8434"/>
    <s v="N/A - Not Settled"/>
    <s v="N/A - Not Settled"/>
    <x v="0"/>
    <x v="0"/>
    <x v="0"/>
    <n v="1.4553"/>
    <n v="130"/>
    <n v="2024"/>
    <s v="February"/>
  </r>
  <r>
    <s v="DINS-CLM-101206"/>
    <s v="DINS-CUS-501206"/>
    <s v="DINS-POL-201206"/>
    <x v="0"/>
    <x v="2"/>
    <x v="4"/>
    <x v="1"/>
    <x v="4"/>
    <d v="2023-12-01T00:00:00"/>
    <s v="Annual"/>
    <d v="2024-09-11T00:00:00"/>
    <x v="1"/>
    <n v="43265"/>
    <n v="2743"/>
    <n v="28"/>
    <d v="2024-10-09T00:00:00"/>
    <x v="1"/>
    <x v="1"/>
    <x v="1"/>
    <n v="15.7729"/>
    <n v="285"/>
    <n v="2024"/>
    <s v="September"/>
  </r>
  <r>
    <s v="DINS-CLM-101207"/>
    <s v="DINS-CUS-501207"/>
    <s v="DINS-POL-201207"/>
    <x v="2"/>
    <x v="2"/>
    <x v="4"/>
    <x v="1"/>
    <x v="5"/>
    <d v="2023-12-06T00:00:00"/>
    <s v="Monthly"/>
    <d v="2024-08-23T00:00:00"/>
    <x v="0"/>
    <n v="20334"/>
    <n v="1143"/>
    <s v="N/A - Not Settled"/>
    <s v="N/A - Not Settled"/>
    <x v="0"/>
    <x v="0"/>
    <x v="0"/>
    <n v="17.79"/>
    <n v="261"/>
    <n v="2024"/>
    <s v="August"/>
  </r>
  <r>
    <s v="DINS-CLM-101208"/>
    <s v="DINS-CUS-501208"/>
    <s v="DINS-POL-201208"/>
    <x v="2"/>
    <x v="1"/>
    <x v="0"/>
    <x v="0"/>
    <x v="4"/>
    <d v="2023-09-26T00:00:00"/>
    <s v="Annual"/>
    <d v="2024-03-04T00:00:00"/>
    <x v="1"/>
    <n v="28296"/>
    <n v="6667"/>
    <n v="25"/>
    <d v="2024-03-29T00:00:00"/>
    <x v="0"/>
    <x v="0"/>
    <x v="0"/>
    <n v="4.2442000000000002"/>
    <n v="160"/>
    <n v="2024"/>
    <s v="March"/>
  </r>
  <r>
    <s v="DINS-CLM-101209"/>
    <s v="DINS-CUS-501209"/>
    <s v="DINS-POL-201209"/>
    <x v="2"/>
    <x v="0"/>
    <x v="2"/>
    <x v="1"/>
    <x v="4"/>
    <d v="2023-05-23T00:00:00"/>
    <s v="Monthly"/>
    <d v="2024-02-21T00:00:00"/>
    <x v="1"/>
    <n v="23584"/>
    <n v="2131"/>
    <n v="5"/>
    <d v="2024-02-26T00:00:00"/>
    <x v="0"/>
    <x v="0"/>
    <x v="2"/>
    <n v="11.0671"/>
    <n v="274"/>
    <n v="2024"/>
    <s v="February"/>
  </r>
  <r>
    <s v="DINS-CLM-101210"/>
    <s v="DINS-CUS-501210"/>
    <s v="DINS-POL-201210"/>
    <x v="0"/>
    <x v="2"/>
    <x v="3"/>
    <x v="2"/>
    <x v="7"/>
    <d v="2023-07-12T00:00:00"/>
    <s v="Annual"/>
    <d v="2024-05-24T00:00:00"/>
    <x v="0"/>
    <n v="11662"/>
    <n v="4174"/>
    <s v="N/A - Not Settled"/>
    <s v="N/A - Not Settled"/>
    <x v="0"/>
    <x v="0"/>
    <x v="0"/>
    <n v="2.794"/>
    <n v="317"/>
    <n v="2024"/>
    <s v="May"/>
  </r>
  <r>
    <s v="DINS-CLM-101211"/>
    <s v="DINS-CUS-501211"/>
    <s v="DINS-POL-201211"/>
    <x v="3"/>
    <x v="0"/>
    <x v="4"/>
    <x v="2"/>
    <x v="6"/>
    <d v="2023-08-07T00:00:00"/>
    <s v="Monthly"/>
    <d v="2024-05-13T00:00:00"/>
    <x v="1"/>
    <n v="97355"/>
    <n v="7482"/>
    <n v="33"/>
    <d v="2024-06-15T00:00:00"/>
    <x v="0"/>
    <x v="0"/>
    <x v="1"/>
    <n v="13.011900000000001"/>
    <n v="280"/>
    <n v="2024"/>
    <s v="May"/>
  </r>
  <r>
    <s v="DINS-CLM-101212"/>
    <s v="DINS-CUS-501212"/>
    <s v="DINS-POL-201212"/>
    <x v="0"/>
    <x v="2"/>
    <x v="0"/>
    <x v="1"/>
    <x v="3"/>
    <d v="2023-02-09T00:00:00"/>
    <s v="Monthly"/>
    <d v="2024-01-09T00:00:00"/>
    <x v="1"/>
    <n v="45038"/>
    <n v="7491"/>
    <n v="42"/>
    <d v="2024-02-20T00:00:00"/>
    <x v="0"/>
    <x v="0"/>
    <x v="2"/>
    <n v="6.0122999999999998"/>
    <n v="334"/>
    <n v="2024"/>
    <s v="January"/>
  </r>
  <r>
    <s v="DINS-CLM-101213"/>
    <s v="DINS-CUS-501213"/>
    <s v="DINS-POL-201213"/>
    <x v="4"/>
    <x v="0"/>
    <x v="4"/>
    <x v="2"/>
    <x v="4"/>
    <d v="2023-12-26T00:00:00"/>
    <s v="Monthly"/>
    <d v="2024-11-07T00:00:00"/>
    <x v="1"/>
    <n v="8961"/>
    <n v="6171"/>
    <n v="30"/>
    <d v="2024-12-07T00:00:00"/>
    <x v="0"/>
    <x v="0"/>
    <x v="2"/>
    <n v="1.4520999999999999"/>
    <n v="317"/>
    <n v="2024"/>
    <s v="November"/>
  </r>
  <r>
    <s v="DINS-CLM-101214"/>
    <s v="DINS-CUS-501214"/>
    <s v="DINS-POL-201214"/>
    <x v="2"/>
    <x v="0"/>
    <x v="3"/>
    <x v="1"/>
    <x v="7"/>
    <d v="2024-01-25T00:00:00"/>
    <s v="Monthly"/>
    <d v="2024-06-17T00:00:00"/>
    <x v="0"/>
    <n v="6283"/>
    <n v="7976"/>
    <s v="N/A - Not Settled"/>
    <s v="N/A - Not Settled"/>
    <x v="1"/>
    <x v="0"/>
    <x v="2"/>
    <n v="0.78769999999999996"/>
    <n v="144"/>
    <n v="2024"/>
    <s v="June"/>
  </r>
  <r>
    <s v="DINS-CLM-101215"/>
    <s v="DINS-CUS-501215"/>
    <s v="DINS-POL-201215"/>
    <x v="4"/>
    <x v="2"/>
    <x v="1"/>
    <x v="0"/>
    <x v="3"/>
    <d v="2024-08-25T00:00:00"/>
    <s v="Monthly"/>
    <d v="2024-12-09T00:00:00"/>
    <x v="0"/>
    <n v="16381"/>
    <n v="3966"/>
    <s v="N/A - Not Settled"/>
    <s v="N/A - Not Settled"/>
    <x v="0"/>
    <x v="0"/>
    <x v="2"/>
    <n v="4.1303999999999998"/>
    <n v="106"/>
    <n v="2024"/>
    <s v="December"/>
  </r>
  <r>
    <s v="DINS-CLM-101216"/>
    <s v="DINS-CUS-501216"/>
    <s v="DINS-POL-201216"/>
    <x v="4"/>
    <x v="0"/>
    <x v="5"/>
    <x v="1"/>
    <x v="1"/>
    <d v="2024-01-30T00:00:00"/>
    <s v="Monthly"/>
    <d v="2024-07-28T00:00:00"/>
    <x v="0"/>
    <n v="2151"/>
    <n v="5821"/>
    <s v="N/A - Not Settled"/>
    <s v="N/A - Not Settled"/>
    <x v="0"/>
    <x v="0"/>
    <x v="0"/>
    <n v="0.3695"/>
    <n v="180"/>
    <n v="2024"/>
    <s v="July"/>
  </r>
  <r>
    <s v="DINS-CLM-101217"/>
    <s v="DINS-CUS-501217"/>
    <s v="DINS-POL-201217"/>
    <x v="2"/>
    <x v="0"/>
    <x v="2"/>
    <x v="2"/>
    <x v="1"/>
    <d v="2023-10-16T00:00:00"/>
    <s v="Annual"/>
    <d v="2024-05-26T00:00:00"/>
    <x v="1"/>
    <n v="29744"/>
    <n v="3720"/>
    <n v="10"/>
    <d v="2024-06-05T00:00:00"/>
    <x v="0"/>
    <x v="0"/>
    <x v="2"/>
    <n v="7.9957000000000003"/>
    <n v="223"/>
    <n v="2024"/>
    <s v="May"/>
  </r>
  <r>
    <s v="DINS-CLM-101218"/>
    <s v="DINS-CUS-501218"/>
    <s v="DINS-POL-201218"/>
    <x v="1"/>
    <x v="1"/>
    <x v="1"/>
    <x v="1"/>
    <x v="3"/>
    <d v="2023-05-06T00:00:00"/>
    <s v="Annual"/>
    <d v="2024-04-24T00:00:00"/>
    <x v="0"/>
    <n v="16819"/>
    <n v="8789"/>
    <s v="N/A - Not Settled"/>
    <s v="N/A - Not Settled"/>
    <x v="0"/>
    <x v="0"/>
    <x v="2"/>
    <n v="1.9136"/>
    <n v="354"/>
    <n v="2024"/>
    <s v="April"/>
  </r>
  <r>
    <s v="DINS-CLM-101219"/>
    <s v="DINS-CUS-501219"/>
    <s v="DINS-POL-201219"/>
    <x v="4"/>
    <x v="1"/>
    <x v="2"/>
    <x v="2"/>
    <x v="7"/>
    <d v="2024-04-13T00:00:00"/>
    <s v="Annual"/>
    <d v="2024-12-18T00:00:00"/>
    <x v="1"/>
    <n v="9338"/>
    <n v="2987"/>
    <n v="44"/>
    <d v="2025-01-31T00:00:00"/>
    <x v="0"/>
    <x v="0"/>
    <x v="1"/>
    <n v="3.1261999999999999"/>
    <n v="249"/>
    <n v="2024"/>
    <s v="December"/>
  </r>
  <r>
    <s v="DINS-CLM-101220"/>
    <s v="DINS-CUS-501220"/>
    <s v="DINS-POL-201220"/>
    <x v="0"/>
    <x v="2"/>
    <x v="5"/>
    <x v="2"/>
    <x v="6"/>
    <d v="2023-03-06T00:00:00"/>
    <s v="Annual"/>
    <d v="2024-02-20T00:00:00"/>
    <x v="0"/>
    <n v="54314"/>
    <n v="7923"/>
    <s v="N/A - Not Settled"/>
    <s v="N/A - Not Settled"/>
    <x v="0"/>
    <x v="0"/>
    <x v="0"/>
    <n v="6.8552"/>
    <n v="351"/>
    <n v="2024"/>
    <s v="February"/>
  </r>
  <r>
    <s v="DINS-CLM-101221"/>
    <s v="DINS-CUS-501221"/>
    <s v="DINS-POL-201221"/>
    <x v="0"/>
    <x v="2"/>
    <x v="1"/>
    <x v="0"/>
    <x v="6"/>
    <d v="2023-05-09T00:00:00"/>
    <s v="Annual"/>
    <d v="2024-04-22T00:00:00"/>
    <x v="1"/>
    <n v="19427"/>
    <n v="4754"/>
    <n v="6"/>
    <d v="2024-04-28T00:00:00"/>
    <x v="0"/>
    <x v="0"/>
    <x v="0"/>
    <n v="4.0865"/>
    <n v="349"/>
    <n v="2024"/>
    <s v="April"/>
  </r>
  <r>
    <s v="DINS-CLM-101222"/>
    <s v="DINS-CUS-501222"/>
    <s v="DINS-POL-201222"/>
    <x v="2"/>
    <x v="2"/>
    <x v="1"/>
    <x v="2"/>
    <x v="1"/>
    <d v="2023-12-15T00:00:00"/>
    <s v="Annual"/>
    <d v="2024-10-11T00:00:00"/>
    <x v="1"/>
    <n v="21692"/>
    <n v="6782"/>
    <n v="25"/>
    <d v="2024-11-05T00:00:00"/>
    <x v="0"/>
    <x v="0"/>
    <x v="0"/>
    <n v="3.1985000000000001"/>
    <n v="301"/>
    <n v="2024"/>
    <s v="October"/>
  </r>
  <r>
    <s v="DINS-CLM-101223"/>
    <s v="DINS-CUS-501223"/>
    <s v="DINS-POL-201223"/>
    <x v="3"/>
    <x v="1"/>
    <x v="0"/>
    <x v="2"/>
    <x v="2"/>
    <d v="2023-12-12T00:00:00"/>
    <s v="Monthly"/>
    <d v="2024-05-28T00:00:00"/>
    <x v="1"/>
    <n v="87426"/>
    <n v="6574"/>
    <n v="42"/>
    <d v="2024-07-09T00:00:00"/>
    <x v="0"/>
    <x v="0"/>
    <x v="0"/>
    <n v="13.2988"/>
    <n v="168"/>
    <n v="2024"/>
    <s v="May"/>
  </r>
  <r>
    <s v="DINS-CLM-101224"/>
    <s v="DINS-CUS-501224"/>
    <s v="DINS-POL-201224"/>
    <x v="5"/>
    <x v="1"/>
    <x v="1"/>
    <x v="2"/>
    <x v="5"/>
    <d v="2023-05-01T00:00:00"/>
    <s v="Monthly"/>
    <d v="2024-03-25T00:00:00"/>
    <x v="1"/>
    <n v="72326"/>
    <n v="1433"/>
    <n v="21"/>
    <d v="2024-04-15T00:00:00"/>
    <x v="0"/>
    <x v="0"/>
    <x v="2"/>
    <n v="50.471699999999998"/>
    <n v="329"/>
    <n v="2024"/>
    <s v="March"/>
  </r>
  <r>
    <s v="DINS-CLM-101225"/>
    <s v="DINS-CUS-501225"/>
    <s v="DINS-POL-201225"/>
    <x v="3"/>
    <x v="1"/>
    <x v="2"/>
    <x v="0"/>
    <x v="0"/>
    <d v="2024-08-19T00:00:00"/>
    <s v="Annual"/>
    <d v="2024-10-26T00:00:00"/>
    <x v="1"/>
    <n v="34667"/>
    <n v="7139"/>
    <n v="39"/>
    <d v="2024-12-04T00:00:00"/>
    <x v="0"/>
    <x v="0"/>
    <x v="2"/>
    <n v="4.8559999999999999"/>
    <n v="68"/>
    <n v="2024"/>
    <s v="October"/>
  </r>
  <r>
    <s v="DINS-CLM-101226"/>
    <s v="DINS-CUS-501226"/>
    <s v="DINS-POL-201226"/>
    <x v="5"/>
    <x v="0"/>
    <x v="1"/>
    <x v="0"/>
    <x v="3"/>
    <d v="2023-10-17T00:00:00"/>
    <s v="Annual"/>
    <d v="2024-09-29T00:00:00"/>
    <x v="1"/>
    <n v="26877"/>
    <n v="2267"/>
    <n v="28"/>
    <d v="2024-10-27T00:00:00"/>
    <x v="0"/>
    <x v="0"/>
    <x v="1"/>
    <n v="11.8558"/>
    <n v="348"/>
    <n v="2024"/>
    <s v="September"/>
  </r>
  <r>
    <s v="DINS-CLM-101227"/>
    <s v="DINS-CUS-501227"/>
    <s v="DINS-POL-201227"/>
    <x v="3"/>
    <x v="1"/>
    <x v="0"/>
    <x v="0"/>
    <x v="5"/>
    <d v="2023-09-05T00:00:00"/>
    <s v="Annual"/>
    <d v="2024-01-21T00:00:00"/>
    <x v="1"/>
    <n v="41333"/>
    <n v="2429"/>
    <n v="25"/>
    <d v="2024-02-15T00:00:00"/>
    <x v="0"/>
    <x v="0"/>
    <x v="1"/>
    <n v="17.016500000000001"/>
    <n v="138"/>
    <n v="2024"/>
    <s v="January"/>
  </r>
  <r>
    <s v="DINS-CLM-101228"/>
    <s v="DINS-CUS-501228"/>
    <s v="DINS-POL-201228"/>
    <x v="0"/>
    <x v="1"/>
    <x v="5"/>
    <x v="0"/>
    <x v="4"/>
    <d v="2024-01-19T00:00:00"/>
    <s v="Monthly"/>
    <d v="2024-05-12T00:00:00"/>
    <x v="1"/>
    <n v="40704"/>
    <n v="621"/>
    <n v="4"/>
    <d v="2024-05-16T00:00:00"/>
    <x v="0"/>
    <x v="0"/>
    <x v="2"/>
    <n v="65.545900000000003"/>
    <n v="114"/>
    <n v="2024"/>
    <s v="May"/>
  </r>
  <r>
    <s v="DINS-CLM-101229"/>
    <s v="DINS-CUS-501229"/>
    <s v="DINS-POL-201229"/>
    <x v="4"/>
    <x v="0"/>
    <x v="1"/>
    <x v="1"/>
    <x v="6"/>
    <d v="2024-01-17T00:00:00"/>
    <s v="Annual"/>
    <d v="2024-07-20T00:00:00"/>
    <x v="1"/>
    <n v="8058"/>
    <n v="8392"/>
    <n v="5"/>
    <d v="2024-07-25T00:00:00"/>
    <x v="0"/>
    <x v="0"/>
    <x v="0"/>
    <n v="0.96020000000000005"/>
    <n v="185"/>
    <n v="2024"/>
    <s v="July"/>
  </r>
  <r>
    <s v="DINS-CLM-101230"/>
    <s v="DINS-CUS-501230"/>
    <s v="DINS-POL-201230"/>
    <x v="0"/>
    <x v="2"/>
    <x v="0"/>
    <x v="0"/>
    <x v="4"/>
    <d v="2023-09-11T00:00:00"/>
    <s v="Monthly"/>
    <d v="2024-04-19T00:00:00"/>
    <x v="2"/>
    <n v="16288"/>
    <n v="5565"/>
    <s v="N/A - Not Settled"/>
    <s v="N/A - Not Settled"/>
    <x v="0"/>
    <x v="0"/>
    <x v="0"/>
    <n v="2.9268999999999998"/>
    <n v="221"/>
    <n v="2024"/>
    <s v="April"/>
  </r>
  <r>
    <s v="DINS-CLM-101231"/>
    <s v="DINS-CUS-501231"/>
    <s v="DINS-POL-201231"/>
    <x v="2"/>
    <x v="2"/>
    <x v="5"/>
    <x v="1"/>
    <x v="7"/>
    <d v="2024-08-01T00:00:00"/>
    <s v="Annual"/>
    <d v="2024-11-03T00:00:00"/>
    <x v="1"/>
    <n v="13095"/>
    <n v="8569"/>
    <n v="31"/>
    <d v="2024-12-04T00:00:00"/>
    <x v="0"/>
    <x v="0"/>
    <x v="1"/>
    <n v="1.5282"/>
    <n v="94"/>
    <n v="2024"/>
    <s v="November"/>
  </r>
  <r>
    <s v="DINS-CLM-101232"/>
    <s v="DINS-CUS-501232"/>
    <s v="DINS-POL-201232"/>
    <x v="1"/>
    <x v="0"/>
    <x v="3"/>
    <x v="2"/>
    <x v="2"/>
    <d v="2023-12-12T00:00:00"/>
    <s v="Monthly"/>
    <d v="2024-05-05T00:00:00"/>
    <x v="1"/>
    <n v="27653"/>
    <n v="5550"/>
    <n v="6"/>
    <d v="2024-05-11T00:00:00"/>
    <x v="0"/>
    <x v="0"/>
    <x v="1"/>
    <n v="4.9824999999999999"/>
    <n v="145"/>
    <n v="2024"/>
    <s v="May"/>
  </r>
  <r>
    <s v="DINS-CLM-101233"/>
    <s v="DINS-CUS-501233"/>
    <s v="DINS-POL-201233"/>
    <x v="0"/>
    <x v="2"/>
    <x v="0"/>
    <x v="0"/>
    <x v="5"/>
    <d v="2024-08-05T00:00:00"/>
    <s v="Monthly"/>
    <d v="2024-12-14T00:00:00"/>
    <x v="1"/>
    <n v="29918"/>
    <n v="8764"/>
    <n v="4"/>
    <d v="2024-12-18T00:00:00"/>
    <x v="0"/>
    <x v="0"/>
    <x v="2"/>
    <n v="3.4137"/>
    <n v="131"/>
    <n v="2024"/>
    <s v="December"/>
  </r>
  <r>
    <s v="DINS-CLM-101234"/>
    <s v="DINS-CUS-501234"/>
    <s v="DINS-POL-201234"/>
    <x v="0"/>
    <x v="2"/>
    <x v="0"/>
    <x v="2"/>
    <x v="4"/>
    <d v="2023-10-10T00:00:00"/>
    <s v="Annual"/>
    <d v="2024-03-17T00:00:00"/>
    <x v="1"/>
    <n v="37330"/>
    <n v="2092"/>
    <n v="17"/>
    <d v="2024-04-03T00:00:00"/>
    <x v="1"/>
    <x v="0"/>
    <x v="1"/>
    <n v="17.844200000000001"/>
    <n v="159"/>
    <n v="2024"/>
    <s v="March"/>
  </r>
  <r>
    <s v="DINS-CLM-101235"/>
    <s v="DINS-CUS-501235"/>
    <s v="DINS-POL-201235"/>
    <x v="5"/>
    <x v="1"/>
    <x v="3"/>
    <x v="1"/>
    <x v="6"/>
    <d v="2023-10-09T00:00:00"/>
    <s v="Monthly"/>
    <d v="2024-01-02T00:00:00"/>
    <x v="0"/>
    <n v="15527"/>
    <n v="8701"/>
    <s v="N/A - Not Settled"/>
    <s v="N/A - Not Settled"/>
    <x v="0"/>
    <x v="0"/>
    <x v="0"/>
    <n v="1.7845"/>
    <n v="85"/>
    <n v="2024"/>
    <s v="January"/>
  </r>
  <r>
    <s v="DINS-CLM-101236"/>
    <s v="DINS-CUS-501236"/>
    <s v="DINS-POL-201236"/>
    <x v="3"/>
    <x v="1"/>
    <x v="3"/>
    <x v="1"/>
    <x v="2"/>
    <d v="2024-08-04T00:00:00"/>
    <s v="Annual"/>
    <d v="2024-12-25T00:00:00"/>
    <x v="1"/>
    <n v="77045"/>
    <n v="5115"/>
    <n v="45"/>
    <d v="2025-02-08T00:00:00"/>
    <x v="0"/>
    <x v="0"/>
    <x v="2"/>
    <n v="15.0626"/>
    <n v="143"/>
    <n v="2024"/>
    <s v="December"/>
  </r>
  <r>
    <s v="DINS-CLM-101237"/>
    <s v="DINS-CUS-501237"/>
    <s v="DINS-POL-201237"/>
    <x v="0"/>
    <x v="0"/>
    <x v="5"/>
    <x v="1"/>
    <x v="3"/>
    <d v="2024-01-04T00:00:00"/>
    <s v="Monthly"/>
    <d v="2024-10-13T00:00:00"/>
    <x v="1"/>
    <n v="22827"/>
    <n v="8284"/>
    <n v="33"/>
    <d v="2024-11-15T00:00:00"/>
    <x v="0"/>
    <x v="0"/>
    <x v="0"/>
    <n v="2.7555999999999998"/>
    <n v="283"/>
    <n v="2024"/>
    <s v="October"/>
  </r>
  <r>
    <s v="DINS-CLM-101238"/>
    <s v="DINS-CUS-501238"/>
    <s v="DINS-POL-201238"/>
    <x v="0"/>
    <x v="2"/>
    <x v="0"/>
    <x v="0"/>
    <x v="4"/>
    <d v="2023-11-07T00:00:00"/>
    <s v="Annual"/>
    <d v="2024-02-20T00:00:00"/>
    <x v="1"/>
    <n v="34830"/>
    <n v="3878"/>
    <n v="25"/>
    <d v="2024-03-16T00:00:00"/>
    <x v="1"/>
    <x v="1"/>
    <x v="2"/>
    <n v="8.9814000000000007"/>
    <n v="105"/>
    <n v="2024"/>
    <s v="February"/>
  </r>
  <r>
    <s v="DINS-CLM-101239"/>
    <s v="DINS-CUS-501239"/>
    <s v="DINS-POL-201239"/>
    <x v="2"/>
    <x v="1"/>
    <x v="0"/>
    <x v="0"/>
    <x v="1"/>
    <d v="2024-03-21T00:00:00"/>
    <s v="Annual"/>
    <d v="2024-11-06T00:00:00"/>
    <x v="1"/>
    <n v="16727"/>
    <n v="3381"/>
    <n v="19"/>
    <d v="2024-11-25T00:00:00"/>
    <x v="0"/>
    <x v="0"/>
    <x v="0"/>
    <n v="4.9474"/>
    <n v="230"/>
    <n v="2024"/>
    <s v="November"/>
  </r>
  <r>
    <s v="DINS-CLM-101240"/>
    <s v="DINS-CUS-501240"/>
    <s v="DINS-POL-201240"/>
    <x v="3"/>
    <x v="1"/>
    <x v="3"/>
    <x v="1"/>
    <x v="1"/>
    <d v="2023-12-12T00:00:00"/>
    <s v="Annual"/>
    <d v="2024-09-16T00:00:00"/>
    <x v="2"/>
    <n v="20735"/>
    <n v="2315"/>
    <s v="N/A - Not Settled"/>
    <s v="N/A - Not Settled"/>
    <x v="0"/>
    <x v="0"/>
    <x v="0"/>
    <n v="8.9567999999999994"/>
    <n v="279"/>
    <n v="2024"/>
    <s v="September"/>
  </r>
  <r>
    <s v="DINS-CLM-101241"/>
    <s v="DINS-CUS-501241"/>
    <s v="DINS-POL-201241"/>
    <x v="0"/>
    <x v="1"/>
    <x v="2"/>
    <x v="2"/>
    <x v="4"/>
    <d v="2024-03-11T00:00:00"/>
    <s v="Annual"/>
    <d v="2024-11-17T00:00:00"/>
    <x v="1"/>
    <n v="46206"/>
    <n v="5759"/>
    <n v="31"/>
    <d v="2024-12-18T00:00:00"/>
    <x v="0"/>
    <x v="0"/>
    <x v="2"/>
    <n v="8.0233000000000008"/>
    <n v="251"/>
    <n v="2024"/>
    <s v="November"/>
  </r>
  <r>
    <s v="DINS-CLM-101242"/>
    <s v="DINS-CUS-501242"/>
    <s v="DINS-POL-201242"/>
    <x v="0"/>
    <x v="0"/>
    <x v="3"/>
    <x v="1"/>
    <x v="2"/>
    <d v="2024-03-03T00:00:00"/>
    <s v="Annual"/>
    <d v="2024-09-23T00:00:00"/>
    <x v="1"/>
    <n v="13181"/>
    <n v="3599"/>
    <n v="22"/>
    <d v="2024-10-15T00:00:00"/>
    <x v="1"/>
    <x v="0"/>
    <x v="1"/>
    <n v="3.6623999999999999"/>
    <n v="204"/>
    <n v="2024"/>
    <s v="September"/>
  </r>
  <r>
    <s v="DINS-CLM-101243"/>
    <s v="DINS-CUS-501243"/>
    <s v="DINS-POL-201243"/>
    <x v="0"/>
    <x v="2"/>
    <x v="1"/>
    <x v="0"/>
    <x v="6"/>
    <d v="2024-03-21T00:00:00"/>
    <s v="Annual"/>
    <d v="2024-12-06T00:00:00"/>
    <x v="1"/>
    <n v="54665"/>
    <n v="5107"/>
    <n v="2"/>
    <d v="2024-12-08T00:00:00"/>
    <x v="0"/>
    <x v="0"/>
    <x v="1"/>
    <n v="10.703900000000001"/>
    <n v="260"/>
    <n v="2024"/>
    <s v="December"/>
  </r>
  <r>
    <s v="DINS-CLM-101244"/>
    <s v="DINS-CUS-501244"/>
    <s v="DINS-POL-201244"/>
    <x v="2"/>
    <x v="0"/>
    <x v="4"/>
    <x v="1"/>
    <x v="0"/>
    <d v="2023-09-21T00:00:00"/>
    <s v="Monthly"/>
    <d v="2024-05-08T00:00:00"/>
    <x v="1"/>
    <n v="32274"/>
    <n v="8162"/>
    <n v="9"/>
    <d v="2024-05-17T00:00:00"/>
    <x v="0"/>
    <x v="0"/>
    <x v="2"/>
    <n v="3.9542000000000002"/>
    <n v="230"/>
    <n v="2024"/>
    <s v="May"/>
  </r>
  <r>
    <s v="DINS-CLM-101245"/>
    <s v="DINS-CUS-501245"/>
    <s v="DINS-POL-201245"/>
    <x v="1"/>
    <x v="1"/>
    <x v="2"/>
    <x v="1"/>
    <x v="5"/>
    <d v="2024-02-08T00:00:00"/>
    <s v="Annual"/>
    <d v="2024-07-29T00:00:00"/>
    <x v="1"/>
    <n v="63024"/>
    <n v="5564"/>
    <n v="43"/>
    <d v="2024-09-10T00:00:00"/>
    <x v="0"/>
    <x v="0"/>
    <x v="2"/>
    <n v="11.3271"/>
    <n v="172"/>
    <n v="2024"/>
    <s v="July"/>
  </r>
  <r>
    <s v="DINS-CLM-101246"/>
    <s v="DINS-CUS-501246"/>
    <s v="DINS-POL-201246"/>
    <x v="2"/>
    <x v="1"/>
    <x v="0"/>
    <x v="1"/>
    <x v="6"/>
    <d v="2023-05-27T00:00:00"/>
    <s v="Annual"/>
    <d v="2024-04-19T00:00:00"/>
    <x v="1"/>
    <n v="34517"/>
    <n v="8982"/>
    <n v="27"/>
    <d v="2024-05-16T00:00:00"/>
    <x v="0"/>
    <x v="0"/>
    <x v="2"/>
    <n v="3.8429000000000002"/>
    <n v="328"/>
    <n v="2024"/>
    <s v="April"/>
  </r>
  <r>
    <s v="DINS-CLM-101247"/>
    <s v="DINS-CUS-501247"/>
    <s v="DINS-POL-201247"/>
    <x v="2"/>
    <x v="2"/>
    <x v="2"/>
    <x v="1"/>
    <x v="7"/>
    <d v="2023-05-18T00:00:00"/>
    <s v="Monthly"/>
    <d v="2024-03-10T00:00:00"/>
    <x v="0"/>
    <n v="5858"/>
    <n v="6937"/>
    <s v="N/A - Not Settled"/>
    <s v="N/A - Not Settled"/>
    <x v="0"/>
    <x v="0"/>
    <x v="1"/>
    <n v="0.84450000000000003"/>
    <n v="297"/>
    <n v="2024"/>
    <s v="March"/>
  </r>
  <r>
    <s v="DINS-CLM-101248"/>
    <s v="DINS-CUS-501248"/>
    <s v="DINS-POL-201248"/>
    <x v="5"/>
    <x v="1"/>
    <x v="4"/>
    <x v="2"/>
    <x v="5"/>
    <d v="2024-02-20T00:00:00"/>
    <s v="Monthly"/>
    <d v="2024-07-15T00:00:00"/>
    <x v="0"/>
    <n v="68089"/>
    <n v="3319"/>
    <s v="N/A - Not Settled"/>
    <s v="N/A - Not Settled"/>
    <x v="1"/>
    <x v="0"/>
    <x v="2"/>
    <n v="20.514900000000001"/>
    <n v="146"/>
    <n v="2024"/>
    <s v="July"/>
  </r>
  <r>
    <s v="DINS-CLM-101249"/>
    <s v="DINS-CUS-501249"/>
    <s v="DINS-POL-201249"/>
    <x v="2"/>
    <x v="0"/>
    <x v="5"/>
    <x v="2"/>
    <x v="0"/>
    <d v="2023-07-29T00:00:00"/>
    <s v="Annual"/>
    <d v="2024-03-14T00:00:00"/>
    <x v="1"/>
    <n v="22493"/>
    <n v="4669"/>
    <n v="32"/>
    <d v="2024-04-15T00:00:00"/>
    <x v="0"/>
    <x v="0"/>
    <x v="2"/>
    <n v="4.8174999999999999"/>
    <n v="229"/>
    <n v="2024"/>
    <s v="March"/>
  </r>
  <r>
    <s v="DINS-CLM-101250"/>
    <s v="DINS-CUS-501250"/>
    <s v="DINS-POL-201250"/>
    <x v="0"/>
    <x v="1"/>
    <x v="3"/>
    <x v="1"/>
    <x v="1"/>
    <d v="2023-09-12T00:00:00"/>
    <s v="Monthly"/>
    <d v="2024-03-06T00:00:00"/>
    <x v="1"/>
    <n v="3798"/>
    <n v="5151"/>
    <n v="32"/>
    <d v="2024-04-07T00:00:00"/>
    <x v="1"/>
    <x v="0"/>
    <x v="2"/>
    <n v="0.73729999999999996"/>
    <n v="176"/>
    <n v="2024"/>
    <s v="March"/>
  </r>
  <r>
    <s v="DINS-CLM-101251"/>
    <s v="DINS-CUS-501251"/>
    <s v="DINS-POL-201251"/>
    <x v="2"/>
    <x v="0"/>
    <x v="3"/>
    <x v="1"/>
    <x v="0"/>
    <d v="2024-05-07T00:00:00"/>
    <s v="Monthly"/>
    <d v="2024-11-17T00:00:00"/>
    <x v="0"/>
    <n v="34355"/>
    <n v="3040"/>
    <s v="N/A - Not Settled"/>
    <s v="N/A - Not Settled"/>
    <x v="0"/>
    <x v="0"/>
    <x v="0"/>
    <n v="11.301"/>
    <n v="194"/>
    <n v="2024"/>
    <s v="November"/>
  </r>
  <r>
    <s v="DINS-CLM-101252"/>
    <s v="DINS-CUS-501252"/>
    <s v="DINS-POL-201252"/>
    <x v="0"/>
    <x v="2"/>
    <x v="1"/>
    <x v="0"/>
    <x v="7"/>
    <d v="2023-11-28T00:00:00"/>
    <s v="Monthly"/>
    <d v="2024-11-22T00:00:00"/>
    <x v="1"/>
    <n v="48667"/>
    <n v="4135"/>
    <n v="9"/>
    <d v="2024-12-01T00:00:00"/>
    <x v="0"/>
    <x v="0"/>
    <x v="1"/>
    <n v="11.769500000000001"/>
    <n v="360"/>
    <n v="2024"/>
    <s v="November"/>
  </r>
  <r>
    <s v="DINS-CLM-101253"/>
    <s v="DINS-CUS-501253"/>
    <s v="DINS-POL-201253"/>
    <x v="0"/>
    <x v="0"/>
    <x v="2"/>
    <x v="1"/>
    <x v="6"/>
    <d v="2023-12-25T00:00:00"/>
    <s v="Annual"/>
    <d v="2024-07-07T00:00:00"/>
    <x v="0"/>
    <n v="57274"/>
    <n v="6143"/>
    <s v="N/A - Not Settled"/>
    <s v="N/A - Not Settled"/>
    <x v="0"/>
    <x v="0"/>
    <x v="0"/>
    <n v="9.3234999999999992"/>
    <n v="195"/>
    <n v="2024"/>
    <s v="July"/>
  </r>
  <r>
    <s v="DINS-CLM-101254"/>
    <s v="DINS-CUS-501254"/>
    <s v="DINS-POL-201254"/>
    <x v="0"/>
    <x v="0"/>
    <x v="5"/>
    <x v="0"/>
    <x v="5"/>
    <d v="2024-07-08T00:00:00"/>
    <s v="Annual"/>
    <d v="2024-12-03T00:00:00"/>
    <x v="1"/>
    <n v="22858"/>
    <n v="3011"/>
    <n v="24"/>
    <d v="2024-12-27T00:00:00"/>
    <x v="0"/>
    <x v="0"/>
    <x v="1"/>
    <n v="7.5914999999999999"/>
    <n v="148"/>
    <n v="2024"/>
    <s v="December"/>
  </r>
  <r>
    <s v="DINS-CLM-101255"/>
    <s v="DINS-CUS-501255"/>
    <s v="DINS-POL-201255"/>
    <x v="3"/>
    <x v="2"/>
    <x v="1"/>
    <x v="2"/>
    <x v="0"/>
    <d v="2024-05-08T00:00:00"/>
    <s v="Monthly"/>
    <d v="2024-09-25T00:00:00"/>
    <x v="1"/>
    <n v="37371"/>
    <n v="1955"/>
    <n v="36"/>
    <d v="2024-10-31T00:00:00"/>
    <x v="0"/>
    <x v="0"/>
    <x v="1"/>
    <n v="19.115600000000001"/>
    <n v="140"/>
    <n v="2024"/>
    <s v="September"/>
  </r>
  <r>
    <s v="DINS-CLM-101256"/>
    <s v="DINS-CUS-501256"/>
    <s v="DINS-POL-201256"/>
    <x v="2"/>
    <x v="2"/>
    <x v="3"/>
    <x v="2"/>
    <x v="1"/>
    <d v="2024-07-06T00:00:00"/>
    <s v="Annual"/>
    <d v="2024-11-10T00:00:00"/>
    <x v="2"/>
    <n v="39890"/>
    <n v="5208"/>
    <s v="N/A - Not Settled"/>
    <s v="N/A - Not Settled"/>
    <x v="0"/>
    <x v="0"/>
    <x v="2"/>
    <n v="7.6593999999999998"/>
    <n v="127"/>
    <n v="2024"/>
    <s v="November"/>
  </r>
  <r>
    <s v="DINS-CLM-101257"/>
    <s v="DINS-CUS-501257"/>
    <s v="DINS-POL-201257"/>
    <x v="0"/>
    <x v="1"/>
    <x v="4"/>
    <x v="1"/>
    <x v="6"/>
    <d v="2024-06-09T00:00:00"/>
    <s v="Monthly"/>
    <d v="2024-09-25T00:00:00"/>
    <x v="1"/>
    <n v="39605"/>
    <n v="3909"/>
    <n v="42"/>
    <d v="2024-11-06T00:00:00"/>
    <x v="0"/>
    <x v="0"/>
    <x v="1"/>
    <n v="10.1317"/>
    <n v="108"/>
    <n v="2024"/>
    <s v="September"/>
  </r>
  <r>
    <s v="DINS-CLM-101258"/>
    <s v="DINS-CUS-501258"/>
    <s v="DINS-POL-201258"/>
    <x v="2"/>
    <x v="1"/>
    <x v="4"/>
    <x v="2"/>
    <x v="5"/>
    <d v="2024-07-14T00:00:00"/>
    <s v="Annual"/>
    <d v="2024-09-16T00:00:00"/>
    <x v="0"/>
    <n v="8684"/>
    <n v="8509"/>
    <s v="N/A - Not Settled"/>
    <s v="N/A - Not Settled"/>
    <x v="0"/>
    <x v="0"/>
    <x v="0"/>
    <n v="1.0206"/>
    <n v="64"/>
    <n v="2024"/>
    <s v="September"/>
  </r>
  <r>
    <s v="DINS-CLM-101259"/>
    <s v="DINS-CUS-501259"/>
    <s v="DINS-POL-201259"/>
    <x v="5"/>
    <x v="1"/>
    <x v="3"/>
    <x v="1"/>
    <x v="0"/>
    <d v="2024-02-25T00:00:00"/>
    <s v="Monthly"/>
    <d v="2024-07-09T00:00:00"/>
    <x v="2"/>
    <n v="59310"/>
    <n v="2537"/>
    <s v="N/A - Not Settled"/>
    <s v="N/A - Not Settled"/>
    <x v="0"/>
    <x v="0"/>
    <x v="1"/>
    <n v="23.378"/>
    <n v="135"/>
    <n v="2024"/>
    <s v="July"/>
  </r>
  <r>
    <s v="DINS-CLM-101260"/>
    <s v="DINS-CUS-501260"/>
    <s v="DINS-POL-201260"/>
    <x v="0"/>
    <x v="1"/>
    <x v="5"/>
    <x v="0"/>
    <x v="3"/>
    <d v="2024-03-11T00:00:00"/>
    <s v="Monthly"/>
    <d v="2024-12-04T00:00:00"/>
    <x v="0"/>
    <n v="18496"/>
    <n v="4892"/>
    <s v="N/A - Not Settled"/>
    <s v="N/A - Not Settled"/>
    <x v="0"/>
    <x v="0"/>
    <x v="0"/>
    <n v="3.7808999999999999"/>
    <n v="268"/>
    <n v="2024"/>
    <s v="December"/>
  </r>
  <r>
    <s v="DINS-CLM-101261"/>
    <s v="DINS-CUS-501261"/>
    <s v="DINS-POL-201261"/>
    <x v="0"/>
    <x v="0"/>
    <x v="4"/>
    <x v="1"/>
    <x v="1"/>
    <d v="2023-06-08T00:00:00"/>
    <s v="Annual"/>
    <d v="2024-04-27T00:00:00"/>
    <x v="2"/>
    <n v="21235"/>
    <n v="3154"/>
    <s v="N/A - Not Settled"/>
    <s v="N/A - Not Settled"/>
    <x v="1"/>
    <x v="0"/>
    <x v="1"/>
    <n v="6.7327000000000004"/>
    <n v="324"/>
    <n v="2024"/>
    <s v="April"/>
  </r>
  <r>
    <s v="DINS-CLM-101262"/>
    <s v="DINS-CUS-501262"/>
    <s v="DINS-POL-201262"/>
    <x v="4"/>
    <x v="0"/>
    <x v="4"/>
    <x v="1"/>
    <x v="3"/>
    <d v="2023-09-26T00:00:00"/>
    <s v="Annual"/>
    <d v="2024-08-20T00:00:00"/>
    <x v="2"/>
    <n v="4534"/>
    <n v="1160"/>
    <s v="N/A - Not Settled"/>
    <s v="N/A - Not Settled"/>
    <x v="0"/>
    <x v="0"/>
    <x v="0"/>
    <n v="3.9085999999999999"/>
    <n v="329"/>
    <n v="2024"/>
    <s v="August"/>
  </r>
  <r>
    <s v="DINS-CLM-101263"/>
    <s v="DINS-CUS-501263"/>
    <s v="DINS-POL-201263"/>
    <x v="1"/>
    <x v="1"/>
    <x v="3"/>
    <x v="2"/>
    <x v="1"/>
    <d v="2023-09-20T00:00:00"/>
    <s v="Annual"/>
    <d v="2024-06-08T00:00:00"/>
    <x v="0"/>
    <n v="60262"/>
    <n v="4226"/>
    <s v="N/A - Not Settled"/>
    <s v="N/A - Not Settled"/>
    <x v="0"/>
    <x v="0"/>
    <x v="2"/>
    <n v="14.2598"/>
    <n v="262"/>
    <n v="2024"/>
    <s v="June"/>
  </r>
  <r>
    <s v="DINS-CLM-101264"/>
    <s v="DINS-CUS-501264"/>
    <s v="DINS-POL-201264"/>
    <x v="2"/>
    <x v="2"/>
    <x v="1"/>
    <x v="1"/>
    <x v="0"/>
    <d v="2023-12-22T00:00:00"/>
    <s v="Monthly"/>
    <d v="2024-03-08T00:00:00"/>
    <x v="1"/>
    <n v="25662"/>
    <n v="6597"/>
    <n v="28"/>
    <d v="2024-04-05T00:00:00"/>
    <x v="0"/>
    <x v="0"/>
    <x v="1"/>
    <n v="3.8898999999999999"/>
    <n v="77"/>
    <n v="2024"/>
    <s v="March"/>
  </r>
  <r>
    <s v="DINS-CLM-101265"/>
    <s v="DINS-CUS-501265"/>
    <s v="DINS-POL-201265"/>
    <x v="0"/>
    <x v="0"/>
    <x v="2"/>
    <x v="0"/>
    <x v="3"/>
    <d v="2023-10-03T00:00:00"/>
    <s v="Monthly"/>
    <d v="2024-07-21T00:00:00"/>
    <x v="2"/>
    <n v="15462"/>
    <n v="6012"/>
    <s v="N/A - Not Settled"/>
    <s v="N/A - Not Settled"/>
    <x v="1"/>
    <x v="1"/>
    <x v="1"/>
    <n v="2.5718999999999999"/>
    <n v="292"/>
    <n v="2024"/>
    <s v="July"/>
  </r>
  <r>
    <s v="DINS-CLM-101266"/>
    <s v="DINS-CUS-501266"/>
    <s v="DINS-POL-201266"/>
    <x v="3"/>
    <x v="2"/>
    <x v="2"/>
    <x v="0"/>
    <x v="4"/>
    <d v="2023-04-27T00:00:00"/>
    <s v="Annual"/>
    <d v="2024-01-06T00:00:00"/>
    <x v="1"/>
    <n v="94796"/>
    <n v="6978"/>
    <n v="33"/>
    <d v="2024-02-08T00:00:00"/>
    <x v="0"/>
    <x v="0"/>
    <x v="2"/>
    <n v="13.585000000000001"/>
    <n v="254"/>
    <n v="2024"/>
    <s v="January"/>
  </r>
  <r>
    <s v="DINS-CLM-101267"/>
    <s v="DINS-CUS-501267"/>
    <s v="DINS-POL-201267"/>
    <x v="1"/>
    <x v="2"/>
    <x v="4"/>
    <x v="1"/>
    <x v="1"/>
    <d v="2023-11-21T00:00:00"/>
    <s v="Monthly"/>
    <d v="2024-09-30T00:00:00"/>
    <x v="2"/>
    <n v="34699"/>
    <n v="3110"/>
    <s v="N/A - Not Settled"/>
    <s v="N/A - Not Settled"/>
    <x v="0"/>
    <x v="0"/>
    <x v="0"/>
    <n v="11.1572"/>
    <n v="314"/>
    <n v="2024"/>
    <s v="September"/>
  </r>
  <r>
    <s v="DINS-CLM-101268"/>
    <s v="DINS-CUS-501268"/>
    <s v="DINS-POL-201268"/>
    <x v="2"/>
    <x v="0"/>
    <x v="2"/>
    <x v="0"/>
    <x v="6"/>
    <d v="2023-11-03T00:00:00"/>
    <s v="Monthly"/>
    <d v="2024-10-22T00:00:00"/>
    <x v="1"/>
    <n v="3975"/>
    <n v="8314"/>
    <n v="22"/>
    <d v="2024-11-13T00:00:00"/>
    <x v="0"/>
    <x v="0"/>
    <x v="2"/>
    <n v="0.47810000000000002"/>
    <n v="354"/>
    <n v="2024"/>
    <s v="October"/>
  </r>
  <r>
    <s v="DINS-CLM-101269"/>
    <s v="DINS-CUS-501269"/>
    <s v="DINS-POL-201269"/>
    <x v="4"/>
    <x v="0"/>
    <x v="4"/>
    <x v="0"/>
    <x v="0"/>
    <d v="2023-08-15T00:00:00"/>
    <s v="Monthly"/>
    <d v="2024-05-10T00:00:00"/>
    <x v="1"/>
    <n v="4249"/>
    <n v="1941"/>
    <n v="34"/>
    <d v="2024-06-13T00:00:00"/>
    <x v="1"/>
    <x v="0"/>
    <x v="2"/>
    <n v="2.1890999999999998"/>
    <n v="269"/>
    <n v="2024"/>
    <s v="May"/>
  </r>
  <r>
    <s v="DINS-CLM-101270"/>
    <s v="DINS-CUS-501270"/>
    <s v="DINS-POL-201270"/>
    <x v="5"/>
    <x v="2"/>
    <x v="4"/>
    <x v="0"/>
    <x v="7"/>
    <d v="2024-01-03T00:00:00"/>
    <s v="Monthly"/>
    <d v="2024-06-30T00:00:00"/>
    <x v="1"/>
    <n v="30224"/>
    <n v="791"/>
    <n v="36"/>
    <d v="2024-08-05T00:00:00"/>
    <x v="0"/>
    <x v="0"/>
    <x v="2"/>
    <n v="38.209899999999998"/>
    <n v="179"/>
    <n v="2024"/>
    <s v="June"/>
  </r>
  <r>
    <s v="DINS-CLM-101271"/>
    <s v="DINS-CUS-501271"/>
    <s v="DINS-POL-201271"/>
    <x v="2"/>
    <x v="0"/>
    <x v="2"/>
    <x v="2"/>
    <x v="2"/>
    <d v="2023-09-19T00:00:00"/>
    <s v="Monthly"/>
    <d v="2024-05-04T00:00:00"/>
    <x v="1"/>
    <n v="15795"/>
    <n v="1410"/>
    <n v="31"/>
    <d v="2024-06-04T00:00:00"/>
    <x v="1"/>
    <x v="0"/>
    <x v="2"/>
    <n v="11.2021"/>
    <n v="228"/>
    <n v="2024"/>
    <s v="May"/>
  </r>
  <r>
    <s v="DINS-CLM-101272"/>
    <s v="DINS-CUS-501272"/>
    <s v="DINS-POL-201272"/>
    <x v="0"/>
    <x v="0"/>
    <x v="4"/>
    <x v="2"/>
    <x v="7"/>
    <d v="2023-09-24T00:00:00"/>
    <s v="Monthly"/>
    <d v="2024-06-05T00:00:00"/>
    <x v="0"/>
    <n v="31695"/>
    <n v="3171"/>
    <s v="N/A - Not Settled"/>
    <s v="N/A - Not Settled"/>
    <x v="1"/>
    <x v="1"/>
    <x v="0"/>
    <n v="9.9953000000000003"/>
    <n v="255"/>
    <n v="2024"/>
    <s v="June"/>
  </r>
  <r>
    <s v="DINS-CLM-101273"/>
    <s v="DINS-CUS-501273"/>
    <s v="DINS-POL-201273"/>
    <x v="2"/>
    <x v="2"/>
    <x v="1"/>
    <x v="1"/>
    <x v="1"/>
    <d v="2023-06-04T00:00:00"/>
    <s v="Annual"/>
    <d v="2024-03-26T00:00:00"/>
    <x v="1"/>
    <n v="21326"/>
    <n v="4504"/>
    <n v="30"/>
    <d v="2024-04-25T00:00:00"/>
    <x v="0"/>
    <x v="0"/>
    <x v="1"/>
    <n v="4.7348999999999997"/>
    <n v="296"/>
    <n v="2024"/>
    <s v="March"/>
  </r>
  <r>
    <s v="DINS-CLM-101274"/>
    <s v="DINS-CUS-501274"/>
    <s v="DINS-POL-201274"/>
    <x v="0"/>
    <x v="2"/>
    <x v="3"/>
    <x v="2"/>
    <x v="0"/>
    <d v="2024-03-10T00:00:00"/>
    <s v="Monthly"/>
    <d v="2024-09-27T00:00:00"/>
    <x v="1"/>
    <n v="41358"/>
    <n v="2731"/>
    <n v="3"/>
    <d v="2024-09-30T00:00:00"/>
    <x v="0"/>
    <x v="0"/>
    <x v="2"/>
    <n v="15.1439"/>
    <n v="201"/>
    <n v="2024"/>
    <s v="September"/>
  </r>
  <r>
    <s v="DINS-CLM-101275"/>
    <s v="DINS-CUS-501275"/>
    <s v="DINS-POL-201275"/>
    <x v="0"/>
    <x v="0"/>
    <x v="5"/>
    <x v="0"/>
    <x v="5"/>
    <d v="2024-10-03T00:00:00"/>
    <s v="Monthly"/>
    <d v="2024-11-19T00:00:00"/>
    <x v="0"/>
    <n v="51540"/>
    <n v="6234"/>
    <s v="N/A - Not Settled"/>
    <s v="N/A - Not Settled"/>
    <x v="0"/>
    <x v="0"/>
    <x v="2"/>
    <n v="8.2675999999999998"/>
    <n v="47"/>
    <n v="2024"/>
    <s v="November"/>
  </r>
  <r>
    <s v="DINS-CLM-101276"/>
    <s v="DINS-CUS-501276"/>
    <s v="DINS-POL-201276"/>
    <x v="4"/>
    <x v="0"/>
    <x v="5"/>
    <x v="0"/>
    <x v="6"/>
    <d v="2024-08-08T00:00:00"/>
    <s v="Monthly"/>
    <d v="2024-12-10T00:00:00"/>
    <x v="0"/>
    <n v="8374"/>
    <n v="6130"/>
    <s v="N/A - Not Settled"/>
    <s v="N/A - Not Settled"/>
    <x v="0"/>
    <x v="0"/>
    <x v="1"/>
    <n v="1.3661000000000001"/>
    <n v="124"/>
    <n v="2024"/>
    <s v="December"/>
  </r>
  <r>
    <s v="DINS-CLM-101277"/>
    <s v="DINS-CUS-501277"/>
    <s v="DINS-POL-201277"/>
    <x v="0"/>
    <x v="0"/>
    <x v="1"/>
    <x v="2"/>
    <x v="6"/>
    <d v="2024-06-10T00:00:00"/>
    <s v="Monthly"/>
    <d v="2024-09-12T00:00:00"/>
    <x v="0"/>
    <n v="10855"/>
    <n v="3984"/>
    <s v="N/A - Not Settled"/>
    <s v="N/A - Not Settled"/>
    <x v="0"/>
    <x v="0"/>
    <x v="2"/>
    <n v="2.7246000000000001"/>
    <n v="94"/>
    <n v="2024"/>
    <s v="September"/>
  </r>
  <r>
    <s v="DINS-CLM-101278"/>
    <s v="DINS-CUS-501278"/>
    <s v="DINS-POL-201278"/>
    <x v="2"/>
    <x v="0"/>
    <x v="1"/>
    <x v="0"/>
    <x v="6"/>
    <d v="2024-01-17T00:00:00"/>
    <s v="Annual"/>
    <d v="2024-02-27T00:00:00"/>
    <x v="0"/>
    <n v="22494"/>
    <n v="7138"/>
    <s v="N/A - Not Settled"/>
    <s v="N/A - Not Settled"/>
    <x v="0"/>
    <x v="0"/>
    <x v="1"/>
    <n v="3.1513"/>
    <n v="41"/>
    <n v="2024"/>
    <s v="February"/>
  </r>
  <r>
    <s v="DINS-CLM-101279"/>
    <s v="DINS-CUS-501279"/>
    <s v="DINS-POL-201279"/>
    <x v="0"/>
    <x v="2"/>
    <x v="0"/>
    <x v="2"/>
    <x v="0"/>
    <d v="2023-09-26T00:00:00"/>
    <s v="Monthly"/>
    <d v="2024-02-01T00:00:00"/>
    <x v="1"/>
    <n v="45726"/>
    <n v="8929"/>
    <n v="43"/>
    <d v="2024-03-15T00:00:00"/>
    <x v="0"/>
    <x v="0"/>
    <x v="2"/>
    <n v="5.1211000000000002"/>
    <n v="128"/>
    <n v="2024"/>
    <s v="February"/>
  </r>
  <r>
    <s v="DINS-CLM-101280"/>
    <s v="DINS-CUS-501280"/>
    <s v="DINS-POL-201280"/>
    <x v="3"/>
    <x v="0"/>
    <x v="4"/>
    <x v="0"/>
    <x v="3"/>
    <d v="2024-09-19T00:00:00"/>
    <s v="Annual"/>
    <d v="2024-11-10T00:00:00"/>
    <x v="1"/>
    <n v="21686"/>
    <n v="8393"/>
    <n v="42"/>
    <d v="2024-12-22T00:00:00"/>
    <x v="0"/>
    <x v="0"/>
    <x v="0"/>
    <n v="2.5838000000000001"/>
    <n v="52"/>
    <n v="2024"/>
    <s v="November"/>
  </r>
  <r>
    <s v="DINS-CLM-101281"/>
    <s v="DINS-CUS-501281"/>
    <s v="DINS-POL-201281"/>
    <x v="3"/>
    <x v="0"/>
    <x v="2"/>
    <x v="1"/>
    <x v="2"/>
    <d v="2024-10-03T00:00:00"/>
    <s v="Annual"/>
    <d v="2024-12-17T00:00:00"/>
    <x v="0"/>
    <n v="55227"/>
    <n v="598"/>
    <s v="N/A - Not Settled"/>
    <s v="N/A - Not Settled"/>
    <x v="0"/>
    <x v="0"/>
    <x v="2"/>
    <n v="92.352800000000002"/>
    <n v="75"/>
    <n v="2024"/>
    <s v="December"/>
  </r>
  <r>
    <s v="DINS-CLM-101282"/>
    <s v="DINS-CUS-501282"/>
    <s v="DINS-POL-201282"/>
    <x v="1"/>
    <x v="1"/>
    <x v="3"/>
    <x v="1"/>
    <x v="5"/>
    <d v="2023-10-08T00:00:00"/>
    <s v="Monthly"/>
    <d v="2024-06-27T00:00:00"/>
    <x v="1"/>
    <n v="30282"/>
    <n v="4965"/>
    <n v="42"/>
    <d v="2024-08-08T00:00:00"/>
    <x v="0"/>
    <x v="0"/>
    <x v="2"/>
    <n v="6.0991"/>
    <n v="263"/>
    <n v="2024"/>
    <s v="June"/>
  </r>
  <r>
    <s v="DINS-CLM-101283"/>
    <s v="DINS-CUS-501283"/>
    <s v="DINS-POL-201283"/>
    <x v="0"/>
    <x v="0"/>
    <x v="1"/>
    <x v="1"/>
    <x v="2"/>
    <d v="2024-02-15T00:00:00"/>
    <s v="Monthly"/>
    <d v="2024-11-17T00:00:00"/>
    <x v="1"/>
    <n v="35544"/>
    <n v="6811"/>
    <n v="15"/>
    <d v="2024-12-02T00:00:00"/>
    <x v="0"/>
    <x v="0"/>
    <x v="0"/>
    <n v="5.2186000000000003"/>
    <n v="276"/>
    <n v="2024"/>
    <s v="November"/>
  </r>
  <r>
    <s v="DINS-CLM-101284"/>
    <s v="DINS-CUS-501284"/>
    <s v="DINS-POL-201284"/>
    <x v="5"/>
    <x v="1"/>
    <x v="4"/>
    <x v="2"/>
    <x v="6"/>
    <d v="2024-09-11T00:00:00"/>
    <s v="Monthly"/>
    <d v="2024-11-27T00:00:00"/>
    <x v="1"/>
    <n v="67899"/>
    <n v="4613"/>
    <n v="39"/>
    <d v="2025-01-05T00:00:00"/>
    <x v="0"/>
    <x v="0"/>
    <x v="2"/>
    <n v="14.719099999999999"/>
    <n v="77"/>
    <n v="2024"/>
    <s v="November"/>
  </r>
  <r>
    <s v="DINS-CLM-101285"/>
    <s v="DINS-CUS-501285"/>
    <s v="DINS-POL-201285"/>
    <x v="2"/>
    <x v="2"/>
    <x v="2"/>
    <x v="0"/>
    <x v="4"/>
    <d v="2023-12-27T00:00:00"/>
    <s v="Annual"/>
    <d v="2024-03-18T00:00:00"/>
    <x v="1"/>
    <n v="19412"/>
    <n v="4362"/>
    <n v="38"/>
    <d v="2024-04-25T00:00:00"/>
    <x v="1"/>
    <x v="1"/>
    <x v="1"/>
    <n v="4.4503000000000004"/>
    <n v="82"/>
    <n v="2024"/>
    <s v="March"/>
  </r>
  <r>
    <s v="DINS-CLM-101286"/>
    <s v="DINS-CUS-501286"/>
    <s v="DINS-POL-201286"/>
    <x v="1"/>
    <x v="1"/>
    <x v="3"/>
    <x v="1"/>
    <x v="1"/>
    <d v="2023-09-06T00:00:00"/>
    <s v="Annual"/>
    <d v="2024-07-22T00:00:00"/>
    <x v="0"/>
    <n v="49706"/>
    <n v="8884"/>
    <s v="N/A - Not Settled"/>
    <s v="N/A - Not Settled"/>
    <x v="0"/>
    <x v="0"/>
    <x v="2"/>
    <n v="5.5949999999999998"/>
    <n v="320"/>
    <n v="2024"/>
    <s v="July"/>
  </r>
  <r>
    <s v="DINS-CLM-101287"/>
    <s v="DINS-CUS-501287"/>
    <s v="DINS-POL-201287"/>
    <x v="2"/>
    <x v="1"/>
    <x v="1"/>
    <x v="0"/>
    <x v="5"/>
    <d v="2024-04-05T00:00:00"/>
    <s v="Monthly"/>
    <d v="2024-12-16T00:00:00"/>
    <x v="2"/>
    <n v="18360"/>
    <n v="5607"/>
    <s v="N/A - Not Settled"/>
    <s v="N/A - Not Settled"/>
    <x v="0"/>
    <x v="0"/>
    <x v="0"/>
    <n v="3.2745000000000002"/>
    <n v="255"/>
    <n v="2024"/>
    <s v="December"/>
  </r>
  <r>
    <s v="DINS-CLM-101288"/>
    <s v="DINS-CUS-501288"/>
    <s v="DINS-POL-201288"/>
    <x v="2"/>
    <x v="0"/>
    <x v="4"/>
    <x v="2"/>
    <x v="4"/>
    <d v="2024-01-07T00:00:00"/>
    <s v="Monthly"/>
    <d v="2024-12-31T00:00:00"/>
    <x v="1"/>
    <n v="13480"/>
    <n v="8442"/>
    <n v="6"/>
    <d v="2025-01-06T00:00:00"/>
    <x v="0"/>
    <x v="0"/>
    <x v="2"/>
    <n v="1.5968"/>
    <n v="359"/>
    <n v="2024"/>
    <s v="December"/>
  </r>
  <r>
    <s v="DINS-CLM-101289"/>
    <s v="DINS-CUS-501289"/>
    <s v="DINS-POL-201289"/>
    <x v="1"/>
    <x v="0"/>
    <x v="5"/>
    <x v="0"/>
    <x v="1"/>
    <d v="2024-01-08T00:00:00"/>
    <s v="Monthly"/>
    <d v="2024-10-06T00:00:00"/>
    <x v="2"/>
    <n v="52104"/>
    <n v="1676"/>
    <s v="N/A - Not Settled"/>
    <s v="N/A - Not Settled"/>
    <x v="0"/>
    <x v="0"/>
    <x v="2"/>
    <n v="31.0883"/>
    <n v="272"/>
    <n v="2024"/>
    <s v="October"/>
  </r>
  <r>
    <s v="DINS-CLM-101290"/>
    <s v="DINS-CUS-501290"/>
    <s v="DINS-POL-201290"/>
    <x v="0"/>
    <x v="0"/>
    <x v="3"/>
    <x v="1"/>
    <x v="3"/>
    <d v="2023-10-06T00:00:00"/>
    <s v="Monthly"/>
    <d v="2024-02-09T00:00:00"/>
    <x v="2"/>
    <n v="19652"/>
    <n v="6345"/>
    <s v="N/A - Not Settled"/>
    <s v="N/A - Not Settled"/>
    <x v="0"/>
    <x v="0"/>
    <x v="0"/>
    <n v="3.0972"/>
    <n v="126"/>
    <n v="2024"/>
    <s v="February"/>
  </r>
  <r>
    <s v="DINS-CLM-101291"/>
    <s v="DINS-CUS-501291"/>
    <s v="DINS-POL-201291"/>
    <x v="5"/>
    <x v="0"/>
    <x v="2"/>
    <x v="2"/>
    <x v="7"/>
    <d v="2024-01-03T00:00:00"/>
    <s v="Monthly"/>
    <d v="2024-03-04T00:00:00"/>
    <x v="1"/>
    <n v="72132"/>
    <n v="8813"/>
    <n v="20"/>
    <d v="2024-03-24T00:00:00"/>
    <x v="0"/>
    <x v="0"/>
    <x v="2"/>
    <n v="8.1846999999999994"/>
    <n v="61"/>
    <n v="2024"/>
    <s v="March"/>
  </r>
  <r>
    <s v="DINS-CLM-101292"/>
    <s v="DINS-CUS-501292"/>
    <s v="DINS-POL-201292"/>
    <x v="5"/>
    <x v="0"/>
    <x v="2"/>
    <x v="2"/>
    <x v="0"/>
    <d v="2023-10-29T00:00:00"/>
    <s v="Monthly"/>
    <d v="2024-07-31T00:00:00"/>
    <x v="1"/>
    <n v="28669"/>
    <n v="7340"/>
    <n v="35"/>
    <d v="2024-09-04T00:00:00"/>
    <x v="0"/>
    <x v="0"/>
    <x v="1"/>
    <n v="3.9058999999999999"/>
    <n v="276"/>
    <n v="2024"/>
    <s v="July"/>
  </r>
  <r>
    <s v="DINS-CLM-101293"/>
    <s v="DINS-CUS-501293"/>
    <s v="DINS-POL-201293"/>
    <x v="2"/>
    <x v="2"/>
    <x v="3"/>
    <x v="2"/>
    <x v="2"/>
    <d v="2024-05-09T00:00:00"/>
    <s v="Annual"/>
    <d v="2024-11-15T00:00:00"/>
    <x v="1"/>
    <n v="23656"/>
    <n v="5462"/>
    <n v="11"/>
    <d v="2024-11-26T00:00:00"/>
    <x v="0"/>
    <x v="0"/>
    <x v="2"/>
    <n v="4.3310000000000004"/>
    <n v="190"/>
    <n v="2024"/>
    <s v="November"/>
  </r>
  <r>
    <s v="DINS-CLM-101294"/>
    <s v="DINS-CUS-501294"/>
    <s v="DINS-POL-201294"/>
    <x v="4"/>
    <x v="1"/>
    <x v="0"/>
    <x v="2"/>
    <x v="1"/>
    <d v="2024-02-25T00:00:00"/>
    <s v="Monthly"/>
    <d v="2024-05-02T00:00:00"/>
    <x v="0"/>
    <n v="16873"/>
    <n v="3433"/>
    <s v="N/A - Not Settled"/>
    <s v="N/A - Not Settled"/>
    <x v="0"/>
    <x v="0"/>
    <x v="1"/>
    <n v="4.9149000000000003"/>
    <n v="67"/>
    <n v="2024"/>
    <s v="May"/>
  </r>
  <r>
    <s v="DINS-CLM-101295"/>
    <s v="DINS-CUS-501295"/>
    <s v="DINS-POL-201295"/>
    <x v="0"/>
    <x v="2"/>
    <x v="2"/>
    <x v="2"/>
    <x v="6"/>
    <d v="2024-06-16T00:00:00"/>
    <s v="Monthly"/>
    <d v="2024-09-27T00:00:00"/>
    <x v="1"/>
    <n v="40895"/>
    <n v="5875"/>
    <n v="10"/>
    <d v="2024-10-07T00:00:00"/>
    <x v="0"/>
    <x v="0"/>
    <x v="1"/>
    <n v="6.9608999999999996"/>
    <n v="103"/>
    <n v="2024"/>
    <s v="September"/>
  </r>
  <r>
    <s v="DINS-CLM-101296"/>
    <s v="DINS-CUS-501296"/>
    <s v="DINS-POL-201296"/>
    <x v="1"/>
    <x v="2"/>
    <x v="1"/>
    <x v="2"/>
    <x v="3"/>
    <d v="2024-09-02T00:00:00"/>
    <s v="Monthly"/>
    <d v="2024-11-29T00:00:00"/>
    <x v="0"/>
    <n v="25128"/>
    <n v="7216"/>
    <s v="N/A - Not Settled"/>
    <s v="N/A - Not Settled"/>
    <x v="0"/>
    <x v="0"/>
    <x v="2"/>
    <n v="3.4823"/>
    <n v="88"/>
    <n v="2024"/>
    <s v="November"/>
  </r>
  <r>
    <s v="DINS-CLM-101297"/>
    <s v="DINS-CUS-501297"/>
    <s v="DINS-POL-201297"/>
    <x v="5"/>
    <x v="0"/>
    <x v="3"/>
    <x v="2"/>
    <x v="5"/>
    <d v="2023-11-21T00:00:00"/>
    <s v="Monthly"/>
    <d v="2024-05-24T00:00:00"/>
    <x v="1"/>
    <n v="79790"/>
    <n v="851"/>
    <n v="42"/>
    <d v="2024-07-05T00:00:00"/>
    <x v="0"/>
    <x v="0"/>
    <x v="2"/>
    <n v="93.760300000000001"/>
    <n v="185"/>
    <n v="2024"/>
    <s v="May"/>
  </r>
  <r>
    <s v="DINS-CLM-101298"/>
    <s v="DINS-CUS-501298"/>
    <s v="DINS-POL-201298"/>
    <x v="2"/>
    <x v="2"/>
    <x v="2"/>
    <x v="2"/>
    <x v="3"/>
    <d v="2023-10-26T00:00:00"/>
    <s v="Monthly"/>
    <d v="2024-06-14T00:00:00"/>
    <x v="1"/>
    <n v="37273"/>
    <n v="624"/>
    <n v="33"/>
    <d v="2024-07-17T00:00:00"/>
    <x v="0"/>
    <x v="0"/>
    <x v="2"/>
    <n v="59.732399999999998"/>
    <n v="232"/>
    <n v="2024"/>
    <s v="June"/>
  </r>
  <r>
    <s v="DINS-CLM-101299"/>
    <s v="DINS-CUS-501299"/>
    <s v="DINS-POL-201299"/>
    <x v="0"/>
    <x v="0"/>
    <x v="4"/>
    <x v="0"/>
    <x v="7"/>
    <d v="2024-04-13T00:00:00"/>
    <s v="Annual"/>
    <d v="2024-10-26T00:00:00"/>
    <x v="1"/>
    <n v="22087"/>
    <n v="8969"/>
    <n v="19"/>
    <d v="2024-11-14T00:00:00"/>
    <x v="0"/>
    <x v="0"/>
    <x v="0"/>
    <n v="2.4626000000000001"/>
    <n v="196"/>
    <n v="2024"/>
    <s v="October"/>
  </r>
  <r>
    <s v="DINS-CLM-101300"/>
    <s v="DINS-CUS-501300"/>
    <s v="DINS-POL-201300"/>
    <x v="2"/>
    <x v="1"/>
    <x v="0"/>
    <x v="0"/>
    <x v="4"/>
    <d v="2023-09-17T00:00:00"/>
    <s v="Monthly"/>
    <d v="2024-05-30T00:00:00"/>
    <x v="1"/>
    <n v="14178"/>
    <n v="4323"/>
    <n v="14"/>
    <d v="2024-06-13T00:00:00"/>
    <x v="0"/>
    <x v="0"/>
    <x v="1"/>
    <n v="3.2797000000000001"/>
    <n v="256"/>
    <n v="2024"/>
    <s v="May"/>
  </r>
  <r>
    <s v="DINS-CLM-101301"/>
    <s v="DINS-CUS-501301"/>
    <s v="DINS-POL-201301"/>
    <x v="0"/>
    <x v="2"/>
    <x v="4"/>
    <x v="2"/>
    <x v="6"/>
    <d v="2024-02-20T00:00:00"/>
    <s v="Monthly"/>
    <d v="2024-06-07T00:00:00"/>
    <x v="1"/>
    <n v="29609"/>
    <n v="7335"/>
    <n v="13"/>
    <d v="2024-06-20T00:00:00"/>
    <x v="0"/>
    <x v="0"/>
    <x v="2"/>
    <n v="4.0366999999999997"/>
    <n v="108"/>
    <n v="2024"/>
    <s v="June"/>
  </r>
  <r>
    <s v="DINS-CLM-101302"/>
    <s v="DINS-CUS-501302"/>
    <s v="DINS-POL-201302"/>
    <x v="2"/>
    <x v="2"/>
    <x v="1"/>
    <x v="2"/>
    <x v="5"/>
    <d v="2024-04-05T00:00:00"/>
    <s v="Monthly"/>
    <d v="2024-05-07T00:00:00"/>
    <x v="1"/>
    <n v="2430"/>
    <n v="5345"/>
    <n v="42"/>
    <d v="2024-06-18T00:00:00"/>
    <x v="0"/>
    <x v="0"/>
    <x v="0"/>
    <n v="0.4546"/>
    <n v="32"/>
    <n v="2024"/>
    <s v="May"/>
  </r>
  <r>
    <s v="DINS-CLM-101303"/>
    <s v="DINS-CUS-501303"/>
    <s v="DINS-POL-201303"/>
    <x v="3"/>
    <x v="1"/>
    <x v="0"/>
    <x v="2"/>
    <x v="5"/>
    <d v="2023-11-27T00:00:00"/>
    <s v="Annual"/>
    <d v="2024-01-18T00:00:00"/>
    <x v="0"/>
    <n v="56140"/>
    <n v="7884"/>
    <s v="N/A - Not Settled"/>
    <s v="N/A - Not Settled"/>
    <x v="1"/>
    <x v="0"/>
    <x v="0"/>
    <n v="7.1208"/>
    <n v="52"/>
    <n v="2024"/>
    <s v="January"/>
  </r>
  <r>
    <s v="DINS-CLM-101304"/>
    <s v="DINS-CUS-501304"/>
    <s v="DINS-POL-201304"/>
    <x v="3"/>
    <x v="2"/>
    <x v="4"/>
    <x v="1"/>
    <x v="5"/>
    <d v="2024-08-07T00:00:00"/>
    <s v="Annual"/>
    <d v="2024-11-28T00:00:00"/>
    <x v="1"/>
    <n v="51792"/>
    <n v="2168"/>
    <n v="7"/>
    <d v="2024-12-05T00:00:00"/>
    <x v="0"/>
    <x v="0"/>
    <x v="0"/>
    <n v="23.889299999999999"/>
    <n v="113"/>
    <n v="2024"/>
    <s v="November"/>
  </r>
  <r>
    <s v="DINS-CLM-101305"/>
    <s v="DINS-CUS-501305"/>
    <s v="DINS-POL-201305"/>
    <x v="3"/>
    <x v="1"/>
    <x v="2"/>
    <x v="2"/>
    <x v="1"/>
    <d v="2023-10-11T00:00:00"/>
    <s v="Annual"/>
    <d v="2024-07-10T00:00:00"/>
    <x v="1"/>
    <n v="57914"/>
    <n v="6567"/>
    <n v="28"/>
    <d v="2024-08-07T00:00:00"/>
    <x v="0"/>
    <x v="0"/>
    <x v="2"/>
    <n v="8.8188999999999993"/>
    <n v="273"/>
    <n v="2024"/>
    <s v="July"/>
  </r>
  <r>
    <s v="DINS-CLM-101306"/>
    <s v="DINS-CUS-501306"/>
    <s v="DINS-POL-201306"/>
    <x v="2"/>
    <x v="1"/>
    <x v="5"/>
    <x v="1"/>
    <x v="7"/>
    <d v="2024-02-19T00:00:00"/>
    <s v="Annual"/>
    <d v="2024-04-29T00:00:00"/>
    <x v="0"/>
    <n v="12106"/>
    <n v="5008"/>
    <s v="N/A - Not Settled"/>
    <s v="N/A - Not Settled"/>
    <x v="1"/>
    <x v="1"/>
    <x v="0"/>
    <n v="2.4173"/>
    <n v="70"/>
    <n v="2024"/>
    <s v="April"/>
  </r>
  <r>
    <s v="DINS-CLM-101307"/>
    <s v="DINS-CUS-501307"/>
    <s v="DINS-POL-201307"/>
    <x v="2"/>
    <x v="0"/>
    <x v="1"/>
    <x v="0"/>
    <x v="7"/>
    <d v="2023-10-25T00:00:00"/>
    <s v="Monthly"/>
    <d v="2024-09-02T00:00:00"/>
    <x v="0"/>
    <n v="20101"/>
    <n v="4532"/>
    <s v="N/A - Not Settled"/>
    <s v="N/A - Not Settled"/>
    <x v="0"/>
    <x v="0"/>
    <x v="1"/>
    <n v="4.4352999999999998"/>
    <n v="313"/>
    <n v="2024"/>
    <s v="September"/>
  </r>
  <r>
    <s v="DINS-CLM-101308"/>
    <s v="DINS-CUS-501308"/>
    <s v="DINS-POL-201308"/>
    <x v="2"/>
    <x v="0"/>
    <x v="5"/>
    <x v="2"/>
    <x v="5"/>
    <d v="2023-10-10T00:00:00"/>
    <s v="Monthly"/>
    <d v="2024-07-29T00:00:00"/>
    <x v="1"/>
    <n v="7441"/>
    <n v="3286"/>
    <n v="44"/>
    <d v="2024-09-11T00:00:00"/>
    <x v="0"/>
    <x v="0"/>
    <x v="0"/>
    <n v="2.2645"/>
    <n v="293"/>
    <n v="2024"/>
    <s v="July"/>
  </r>
  <r>
    <s v="DINS-CLM-101309"/>
    <s v="DINS-CUS-501309"/>
    <s v="DINS-POL-201309"/>
    <x v="1"/>
    <x v="0"/>
    <x v="3"/>
    <x v="2"/>
    <x v="1"/>
    <d v="2024-08-29T00:00:00"/>
    <s v="Monthly"/>
    <d v="2024-11-10T00:00:00"/>
    <x v="0"/>
    <n v="38487"/>
    <n v="4441"/>
    <s v="N/A - Not Settled"/>
    <s v="N/A - Not Settled"/>
    <x v="0"/>
    <x v="0"/>
    <x v="0"/>
    <n v="8.6662999999999997"/>
    <n v="73"/>
    <n v="2024"/>
    <s v="November"/>
  </r>
  <r>
    <s v="DINS-CLM-101310"/>
    <s v="DINS-CUS-501310"/>
    <s v="DINS-POL-201310"/>
    <x v="1"/>
    <x v="0"/>
    <x v="2"/>
    <x v="2"/>
    <x v="4"/>
    <d v="2023-08-21T00:00:00"/>
    <s v="Monthly"/>
    <d v="2024-02-12T00:00:00"/>
    <x v="1"/>
    <n v="69695"/>
    <n v="1859"/>
    <n v="21"/>
    <d v="2024-03-04T00:00:00"/>
    <x v="1"/>
    <x v="1"/>
    <x v="1"/>
    <n v="37.490600000000001"/>
    <n v="175"/>
    <n v="2024"/>
    <s v="February"/>
  </r>
  <r>
    <s v="DINS-CLM-101311"/>
    <s v="DINS-CUS-501311"/>
    <s v="DINS-POL-201311"/>
    <x v="0"/>
    <x v="0"/>
    <x v="0"/>
    <x v="0"/>
    <x v="4"/>
    <d v="2024-08-03T00:00:00"/>
    <s v="Annual"/>
    <d v="2024-09-09T00:00:00"/>
    <x v="1"/>
    <n v="35183"/>
    <n v="3435"/>
    <n v="10"/>
    <d v="2024-09-19T00:00:00"/>
    <x v="0"/>
    <x v="0"/>
    <x v="1"/>
    <n v="10.2425"/>
    <n v="37"/>
    <n v="2024"/>
    <s v="September"/>
  </r>
  <r>
    <s v="DINS-CLM-101312"/>
    <s v="DINS-CUS-501312"/>
    <s v="DINS-POL-201312"/>
    <x v="3"/>
    <x v="1"/>
    <x v="2"/>
    <x v="0"/>
    <x v="7"/>
    <d v="2024-07-20T00:00:00"/>
    <s v="Monthly"/>
    <d v="2024-11-25T00:00:00"/>
    <x v="2"/>
    <n v="49964"/>
    <n v="2073"/>
    <s v="N/A - Not Settled"/>
    <s v="N/A - Not Settled"/>
    <x v="0"/>
    <x v="0"/>
    <x v="1"/>
    <n v="24.1023"/>
    <n v="128"/>
    <n v="2024"/>
    <s v="November"/>
  </r>
  <r>
    <s v="DINS-CLM-101313"/>
    <s v="DINS-CUS-501313"/>
    <s v="DINS-POL-201313"/>
    <x v="5"/>
    <x v="1"/>
    <x v="0"/>
    <x v="1"/>
    <x v="0"/>
    <d v="2023-11-12T00:00:00"/>
    <s v="Annual"/>
    <d v="2024-10-23T00:00:00"/>
    <x v="0"/>
    <n v="32999"/>
    <n v="3135"/>
    <s v="N/A - Not Settled"/>
    <s v="N/A - Not Settled"/>
    <x v="0"/>
    <x v="0"/>
    <x v="1"/>
    <n v="10.526"/>
    <n v="346"/>
    <n v="2024"/>
    <s v="October"/>
  </r>
  <r>
    <s v="DINS-CLM-101314"/>
    <s v="DINS-CUS-501314"/>
    <s v="DINS-POL-201314"/>
    <x v="3"/>
    <x v="2"/>
    <x v="5"/>
    <x v="0"/>
    <x v="4"/>
    <d v="2023-07-26T00:00:00"/>
    <s v="Annual"/>
    <d v="2024-02-15T00:00:00"/>
    <x v="1"/>
    <n v="47073"/>
    <n v="514"/>
    <n v="16"/>
    <d v="2024-03-02T00:00:00"/>
    <x v="0"/>
    <x v="0"/>
    <x v="2"/>
    <n v="91.581699999999998"/>
    <n v="204"/>
    <n v="2024"/>
    <s v="February"/>
  </r>
  <r>
    <s v="DINS-CLM-101315"/>
    <s v="DINS-CUS-501315"/>
    <s v="DINS-POL-201315"/>
    <x v="0"/>
    <x v="1"/>
    <x v="0"/>
    <x v="1"/>
    <x v="1"/>
    <d v="2023-12-05T00:00:00"/>
    <s v="Annual"/>
    <d v="2024-02-15T00:00:00"/>
    <x v="1"/>
    <n v="41519"/>
    <n v="1426"/>
    <n v="40"/>
    <d v="2024-03-26T00:00:00"/>
    <x v="0"/>
    <x v="0"/>
    <x v="1"/>
    <n v="29.1157"/>
    <n v="72"/>
    <n v="2024"/>
    <s v="February"/>
  </r>
  <r>
    <s v="DINS-CLM-101316"/>
    <s v="DINS-CUS-501316"/>
    <s v="DINS-POL-201316"/>
    <x v="0"/>
    <x v="0"/>
    <x v="5"/>
    <x v="1"/>
    <x v="0"/>
    <d v="2023-06-07T00:00:00"/>
    <s v="Monthly"/>
    <d v="2024-02-27T00:00:00"/>
    <x v="0"/>
    <n v="22785"/>
    <n v="2614"/>
    <s v="N/A - Not Settled"/>
    <s v="N/A - Not Settled"/>
    <x v="0"/>
    <x v="0"/>
    <x v="2"/>
    <n v="8.7164999999999999"/>
    <n v="265"/>
    <n v="2024"/>
    <s v="February"/>
  </r>
  <r>
    <s v="DINS-CLM-101317"/>
    <s v="DINS-CUS-501317"/>
    <s v="DINS-POL-201317"/>
    <x v="0"/>
    <x v="1"/>
    <x v="4"/>
    <x v="0"/>
    <x v="3"/>
    <d v="2023-07-10T00:00:00"/>
    <s v="Annual"/>
    <d v="2024-03-08T00:00:00"/>
    <x v="1"/>
    <n v="13198"/>
    <n v="7835"/>
    <n v="27"/>
    <d v="2024-04-04T00:00:00"/>
    <x v="1"/>
    <x v="0"/>
    <x v="2"/>
    <n v="1.6845000000000001"/>
    <n v="242"/>
    <n v="2024"/>
    <s v="March"/>
  </r>
  <r>
    <s v="DINS-CLM-101318"/>
    <s v="DINS-CUS-501318"/>
    <s v="DINS-POL-201318"/>
    <x v="3"/>
    <x v="2"/>
    <x v="2"/>
    <x v="2"/>
    <x v="7"/>
    <d v="2023-09-24T00:00:00"/>
    <s v="Annual"/>
    <d v="2024-04-12T00:00:00"/>
    <x v="1"/>
    <n v="36799"/>
    <n v="1455"/>
    <n v="20"/>
    <d v="2024-05-02T00:00:00"/>
    <x v="0"/>
    <x v="0"/>
    <x v="1"/>
    <n v="25.291399999999999"/>
    <n v="201"/>
    <n v="2024"/>
    <s v="April"/>
  </r>
  <r>
    <s v="DINS-CLM-101319"/>
    <s v="DINS-CUS-501319"/>
    <s v="DINS-POL-201319"/>
    <x v="5"/>
    <x v="0"/>
    <x v="5"/>
    <x v="2"/>
    <x v="2"/>
    <d v="2024-04-29T00:00:00"/>
    <s v="Monthly"/>
    <d v="2024-12-17T00:00:00"/>
    <x v="1"/>
    <n v="70441"/>
    <n v="2773"/>
    <n v="20"/>
    <d v="2025-01-06T00:00:00"/>
    <x v="0"/>
    <x v="0"/>
    <x v="1"/>
    <n v="25.4025"/>
    <n v="232"/>
    <n v="2024"/>
    <s v="December"/>
  </r>
  <r>
    <s v="DINS-CLM-101320"/>
    <s v="DINS-CUS-501320"/>
    <s v="DINS-POL-201320"/>
    <x v="5"/>
    <x v="2"/>
    <x v="5"/>
    <x v="0"/>
    <x v="1"/>
    <d v="2024-07-30T00:00:00"/>
    <s v="Monthly"/>
    <d v="2024-11-22T00:00:00"/>
    <x v="1"/>
    <n v="68679"/>
    <n v="3446"/>
    <n v="39"/>
    <d v="2024-12-31T00:00:00"/>
    <x v="0"/>
    <x v="0"/>
    <x v="2"/>
    <n v="19.930099999999999"/>
    <n v="115"/>
    <n v="2024"/>
    <s v="November"/>
  </r>
  <r>
    <s v="DINS-CLM-101321"/>
    <s v="DINS-CUS-501321"/>
    <s v="DINS-POL-201321"/>
    <x v="0"/>
    <x v="2"/>
    <x v="0"/>
    <x v="1"/>
    <x v="7"/>
    <d v="2023-01-19T00:00:00"/>
    <s v="Annual"/>
    <d v="2024-01-08T00:00:00"/>
    <x v="1"/>
    <n v="23329"/>
    <n v="5888"/>
    <n v="6"/>
    <d v="2024-01-14T00:00:00"/>
    <x v="0"/>
    <x v="0"/>
    <x v="0"/>
    <n v="3.9621"/>
    <n v="354"/>
    <n v="2024"/>
    <s v="January"/>
  </r>
  <r>
    <s v="DINS-CLM-101322"/>
    <s v="DINS-CUS-501322"/>
    <s v="DINS-POL-201322"/>
    <x v="0"/>
    <x v="1"/>
    <x v="2"/>
    <x v="1"/>
    <x v="4"/>
    <d v="2023-10-16T00:00:00"/>
    <s v="Annual"/>
    <d v="2024-03-13T00:00:00"/>
    <x v="1"/>
    <n v="30145"/>
    <n v="8011"/>
    <n v="26"/>
    <d v="2024-04-08T00:00:00"/>
    <x v="0"/>
    <x v="0"/>
    <x v="1"/>
    <n v="3.7629999999999999"/>
    <n v="149"/>
    <n v="2024"/>
    <s v="March"/>
  </r>
  <r>
    <s v="DINS-CLM-101323"/>
    <s v="DINS-CUS-501323"/>
    <s v="DINS-POL-201323"/>
    <x v="4"/>
    <x v="0"/>
    <x v="1"/>
    <x v="1"/>
    <x v="0"/>
    <d v="2024-04-26T00:00:00"/>
    <s v="Annual"/>
    <d v="2024-08-09T00:00:00"/>
    <x v="0"/>
    <n v="7412"/>
    <n v="2475"/>
    <s v="N/A - Not Settled"/>
    <s v="N/A - Not Settled"/>
    <x v="0"/>
    <x v="0"/>
    <x v="1"/>
    <n v="2.9946999999999999"/>
    <n v="105"/>
    <n v="2024"/>
    <s v="August"/>
  </r>
  <r>
    <s v="DINS-CLM-101324"/>
    <s v="DINS-CUS-501324"/>
    <s v="DINS-POL-201324"/>
    <x v="1"/>
    <x v="0"/>
    <x v="2"/>
    <x v="1"/>
    <x v="6"/>
    <d v="2024-04-05T00:00:00"/>
    <s v="Monthly"/>
    <d v="2024-11-30T00:00:00"/>
    <x v="2"/>
    <n v="30204"/>
    <n v="6498"/>
    <s v="N/A - Not Settled"/>
    <s v="N/A - Not Settled"/>
    <x v="1"/>
    <x v="0"/>
    <x v="0"/>
    <n v="4.6482000000000001"/>
    <n v="239"/>
    <n v="2024"/>
    <s v="November"/>
  </r>
  <r>
    <s v="DINS-CLM-101325"/>
    <s v="DINS-CUS-501325"/>
    <s v="DINS-POL-201325"/>
    <x v="0"/>
    <x v="0"/>
    <x v="4"/>
    <x v="0"/>
    <x v="1"/>
    <d v="2024-02-03T00:00:00"/>
    <s v="Monthly"/>
    <d v="2024-03-09T00:00:00"/>
    <x v="1"/>
    <n v="4012"/>
    <n v="4109"/>
    <n v="38"/>
    <d v="2024-04-16T00:00:00"/>
    <x v="0"/>
    <x v="0"/>
    <x v="2"/>
    <n v="0.97640000000000005"/>
    <n v="35"/>
    <n v="2024"/>
    <s v="March"/>
  </r>
  <r>
    <s v="DINS-CLM-101326"/>
    <s v="DINS-CUS-501326"/>
    <s v="DINS-POL-201326"/>
    <x v="5"/>
    <x v="0"/>
    <x v="1"/>
    <x v="1"/>
    <x v="0"/>
    <d v="2024-05-11T00:00:00"/>
    <s v="Annual"/>
    <d v="2024-10-05T00:00:00"/>
    <x v="1"/>
    <n v="27528"/>
    <n v="1282"/>
    <n v="18"/>
    <d v="2024-10-23T00:00:00"/>
    <x v="0"/>
    <x v="0"/>
    <x v="2"/>
    <n v="21.4727"/>
    <n v="147"/>
    <n v="2024"/>
    <s v="October"/>
  </r>
  <r>
    <s v="DINS-CLM-101327"/>
    <s v="DINS-CUS-501327"/>
    <s v="DINS-POL-201327"/>
    <x v="2"/>
    <x v="1"/>
    <x v="5"/>
    <x v="1"/>
    <x v="5"/>
    <d v="2023-11-10T00:00:00"/>
    <s v="Monthly"/>
    <d v="2024-11-09T00:00:00"/>
    <x v="1"/>
    <n v="37615"/>
    <n v="4461"/>
    <n v="20"/>
    <d v="2024-11-29T00:00:00"/>
    <x v="0"/>
    <x v="0"/>
    <x v="0"/>
    <n v="8.4320000000000004"/>
    <n v="365"/>
    <n v="2024"/>
    <s v="November"/>
  </r>
  <r>
    <s v="DINS-CLM-101328"/>
    <s v="DINS-CUS-501328"/>
    <s v="DINS-POL-201328"/>
    <x v="3"/>
    <x v="0"/>
    <x v="5"/>
    <x v="2"/>
    <x v="1"/>
    <d v="2023-10-06T00:00:00"/>
    <s v="Monthly"/>
    <d v="2024-05-23T00:00:00"/>
    <x v="1"/>
    <n v="94926"/>
    <n v="6846"/>
    <n v="38"/>
    <d v="2024-06-30T00:00:00"/>
    <x v="0"/>
    <x v="0"/>
    <x v="2"/>
    <n v="13.8659"/>
    <n v="230"/>
    <n v="2024"/>
    <s v="May"/>
  </r>
  <r>
    <s v="DINS-CLM-101329"/>
    <s v="DINS-CUS-501329"/>
    <s v="DINS-POL-201329"/>
    <x v="1"/>
    <x v="1"/>
    <x v="5"/>
    <x v="1"/>
    <x v="2"/>
    <d v="2023-06-20T00:00:00"/>
    <s v="Monthly"/>
    <d v="2024-03-19T00:00:00"/>
    <x v="1"/>
    <n v="20323"/>
    <n v="5135"/>
    <n v="14"/>
    <d v="2024-04-02T00:00:00"/>
    <x v="0"/>
    <x v="0"/>
    <x v="2"/>
    <n v="3.9577"/>
    <n v="273"/>
    <n v="2024"/>
    <s v="March"/>
  </r>
  <r>
    <s v="DINS-CLM-101330"/>
    <s v="DINS-CUS-501330"/>
    <s v="DINS-POL-201330"/>
    <x v="0"/>
    <x v="2"/>
    <x v="5"/>
    <x v="1"/>
    <x v="3"/>
    <d v="2024-05-31T00:00:00"/>
    <s v="Monthly"/>
    <d v="2024-07-11T00:00:00"/>
    <x v="1"/>
    <n v="41943"/>
    <n v="1279"/>
    <n v="10"/>
    <d v="2024-07-21T00:00:00"/>
    <x v="0"/>
    <x v="0"/>
    <x v="0"/>
    <n v="32.793599999999998"/>
    <n v="41"/>
    <n v="2024"/>
    <s v="July"/>
  </r>
  <r>
    <s v="DINS-CLM-101331"/>
    <s v="DINS-CUS-501331"/>
    <s v="DINS-POL-201331"/>
    <x v="4"/>
    <x v="0"/>
    <x v="1"/>
    <x v="0"/>
    <x v="5"/>
    <d v="2023-06-25T00:00:00"/>
    <s v="Monthly"/>
    <d v="2024-02-07T00:00:00"/>
    <x v="2"/>
    <n v="13773"/>
    <n v="7473"/>
    <s v="N/A - Not Settled"/>
    <s v="N/A - Not Settled"/>
    <x v="0"/>
    <x v="0"/>
    <x v="2"/>
    <n v="1.843"/>
    <n v="227"/>
    <n v="2024"/>
    <s v="February"/>
  </r>
  <r>
    <s v="DINS-CLM-101332"/>
    <s v="DINS-CUS-501332"/>
    <s v="DINS-POL-201332"/>
    <x v="0"/>
    <x v="1"/>
    <x v="1"/>
    <x v="1"/>
    <x v="0"/>
    <d v="2024-04-22T00:00:00"/>
    <s v="Monthly"/>
    <d v="2024-06-04T00:00:00"/>
    <x v="1"/>
    <n v="21637"/>
    <n v="8890"/>
    <n v="10"/>
    <d v="2024-06-14T00:00:00"/>
    <x v="0"/>
    <x v="0"/>
    <x v="0"/>
    <n v="2.4339"/>
    <n v="43"/>
    <n v="2024"/>
    <s v="June"/>
  </r>
  <r>
    <s v="DINS-CLM-101333"/>
    <s v="DINS-CUS-501333"/>
    <s v="DINS-POL-201333"/>
    <x v="5"/>
    <x v="2"/>
    <x v="0"/>
    <x v="1"/>
    <x v="7"/>
    <d v="2023-10-01T00:00:00"/>
    <s v="Annual"/>
    <d v="2024-09-23T00:00:00"/>
    <x v="1"/>
    <n v="59849"/>
    <n v="5941"/>
    <n v="23"/>
    <d v="2024-10-16T00:00:00"/>
    <x v="0"/>
    <x v="0"/>
    <x v="2"/>
    <n v="10.0739"/>
    <n v="358"/>
    <n v="2024"/>
    <s v="September"/>
  </r>
  <r>
    <s v="DINS-CLM-101334"/>
    <s v="DINS-CUS-501334"/>
    <s v="DINS-POL-201334"/>
    <x v="5"/>
    <x v="1"/>
    <x v="5"/>
    <x v="0"/>
    <x v="3"/>
    <d v="2024-05-25T00:00:00"/>
    <s v="Monthly"/>
    <d v="2024-12-24T00:00:00"/>
    <x v="2"/>
    <n v="43032"/>
    <n v="3688"/>
    <s v="N/A - Not Settled"/>
    <s v="N/A - Not Settled"/>
    <x v="0"/>
    <x v="0"/>
    <x v="1"/>
    <n v="11.668100000000001"/>
    <n v="213"/>
    <n v="2024"/>
    <s v="December"/>
  </r>
  <r>
    <s v="DINS-CLM-101335"/>
    <s v="DINS-CUS-501335"/>
    <s v="DINS-POL-201335"/>
    <x v="2"/>
    <x v="2"/>
    <x v="4"/>
    <x v="1"/>
    <x v="4"/>
    <d v="2023-12-11T00:00:00"/>
    <s v="Annual"/>
    <d v="2024-05-27T00:00:00"/>
    <x v="2"/>
    <n v="2255"/>
    <n v="7313"/>
    <s v="N/A - Not Settled"/>
    <s v="N/A - Not Settled"/>
    <x v="1"/>
    <x v="0"/>
    <x v="2"/>
    <n v="0.30840000000000001"/>
    <n v="168"/>
    <n v="2024"/>
    <s v="May"/>
  </r>
  <r>
    <s v="DINS-CLM-101336"/>
    <s v="DINS-CUS-501336"/>
    <s v="DINS-POL-201336"/>
    <x v="4"/>
    <x v="1"/>
    <x v="1"/>
    <x v="0"/>
    <x v="0"/>
    <d v="2024-04-14T00:00:00"/>
    <s v="Annual"/>
    <d v="2024-12-06T00:00:00"/>
    <x v="1"/>
    <n v="8561"/>
    <n v="3496"/>
    <n v="13"/>
    <d v="2024-12-19T00:00:00"/>
    <x v="0"/>
    <x v="0"/>
    <x v="1"/>
    <n v="2.4487999999999999"/>
    <n v="236"/>
    <n v="2024"/>
    <s v="December"/>
  </r>
  <r>
    <s v="DINS-CLM-101337"/>
    <s v="DINS-CUS-501337"/>
    <s v="DINS-POL-201337"/>
    <x v="1"/>
    <x v="2"/>
    <x v="1"/>
    <x v="1"/>
    <x v="4"/>
    <d v="2024-06-15T00:00:00"/>
    <s v="Annual"/>
    <d v="2024-09-13T00:00:00"/>
    <x v="1"/>
    <n v="12189"/>
    <n v="3114"/>
    <n v="10"/>
    <d v="2024-09-23T00:00:00"/>
    <x v="0"/>
    <x v="0"/>
    <x v="0"/>
    <n v="3.9142999999999999"/>
    <n v="90"/>
    <n v="2024"/>
    <s v="September"/>
  </r>
  <r>
    <s v="DINS-CLM-101338"/>
    <s v="DINS-CUS-501338"/>
    <s v="DINS-POL-201338"/>
    <x v="0"/>
    <x v="2"/>
    <x v="0"/>
    <x v="2"/>
    <x v="2"/>
    <d v="2024-03-09T00:00:00"/>
    <s v="Annual"/>
    <d v="2024-11-14T00:00:00"/>
    <x v="1"/>
    <n v="50441"/>
    <n v="1015"/>
    <n v="29"/>
    <d v="2024-12-13T00:00:00"/>
    <x v="0"/>
    <x v="0"/>
    <x v="2"/>
    <n v="49.695599999999999"/>
    <n v="250"/>
    <n v="2024"/>
    <s v="November"/>
  </r>
  <r>
    <s v="DINS-CLM-101339"/>
    <s v="DINS-CUS-501339"/>
    <s v="DINS-POL-201339"/>
    <x v="0"/>
    <x v="1"/>
    <x v="2"/>
    <x v="0"/>
    <x v="3"/>
    <d v="2023-09-16T00:00:00"/>
    <s v="Monthly"/>
    <d v="2024-08-11T00:00:00"/>
    <x v="1"/>
    <n v="27265"/>
    <n v="8677"/>
    <n v="36"/>
    <d v="2024-09-16T00:00:00"/>
    <x v="0"/>
    <x v="0"/>
    <x v="1"/>
    <n v="3.1421999999999999"/>
    <n v="330"/>
    <n v="2024"/>
    <s v="August"/>
  </r>
  <r>
    <s v="DINS-CLM-101340"/>
    <s v="DINS-CUS-501340"/>
    <s v="DINS-POL-201340"/>
    <x v="2"/>
    <x v="0"/>
    <x v="3"/>
    <x v="0"/>
    <x v="0"/>
    <d v="2023-02-12T00:00:00"/>
    <s v="Annual"/>
    <d v="2024-01-11T00:00:00"/>
    <x v="1"/>
    <n v="35833"/>
    <n v="2857"/>
    <n v="33"/>
    <d v="2024-02-13T00:00:00"/>
    <x v="0"/>
    <x v="0"/>
    <x v="0"/>
    <n v="12.542199999999999"/>
    <n v="333"/>
    <n v="2024"/>
    <s v="January"/>
  </r>
  <r>
    <s v="DINS-CLM-101341"/>
    <s v="DINS-CUS-501341"/>
    <s v="DINS-POL-201341"/>
    <x v="2"/>
    <x v="0"/>
    <x v="3"/>
    <x v="0"/>
    <x v="2"/>
    <d v="2023-10-31T00:00:00"/>
    <s v="Monthly"/>
    <d v="2024-08-15T00:00:00"/>
    <x v="1"/>
    <n v="27946"/>
    <n v="8393"/>
    <n v="16"/>
    <d v="2024-08-31T00:00:00"/>
    <x v="1"/>
    <x v="0"/>
    <x v="0"/>
    <n v="3.3296999999999999"/>
    <n v="289"/>
    <n v="2024"/>
    <s v="August"/>
  </r>
  <r>
    <s v="DINS-CLM-101342"/>
    <s v="DINS-CUS-501342"/>
    <s v="DINS-POL-201342"/>
    <x v="0"/>
    <x v="0"/>
    <x v="4"/>
    <x v="1"/>
    <x v="7"/>
    <d v="2023-11-16T00:00:00"/>
    <s v="Annual"/>
    <d v="2024-07-10T00:00:00"/>
    <x v="1"/>
    <n v="23103"/>
    <n v="2308"/>
    <n v="40"/>
    <d v="2024-08-19T00:00:00"/>
    <x v="0"/>
    <x v="0"/>
    <x v="2"/>
    <n v="10.01"/>
    <n v="237"/>
    <n v="2024"/>
    <s v="July"/>
  </r>
  <r>
    <s v="DINS-CLM-101343"/>
    <s v="DINS-CUS-501343"/>
    <s v="DINS-POL-201343"/>
    <x v="4"/>
    <x v="0"/>
    <x v="0"/>
    <x v="0"/>
    <x v="3"/>
    <d v="2024-04-18T00:00:00"/>
    <s v="Monthly"/>
    <d v="2024-06-19T00:00:00"/>
    <x v="1"/>
    <n v="12133"/>
    <n v="6193"/>
    <n v="27"/>
    <d v="2024-07-16T00:00:00"/>
    <x v="0"/>
    <x v="0"/>
    <x v="2"/>
    <n v="1.9591000000000001"/>
    <n v="62"/>
    <n v="2024"/>
    <s v="June"/>
  </r>
  <r>
    <s v="DINS-CLM-101344"/>
    <s v="DINS-CUS-501344"/>
    <s v="DINS-POL-201344"/>
    <x v="0"/>
    <x v="1"/>
    <x v="5"/>
    <x v="2"/>
    <x v="6"/>
    <d v="2024-02-21T00:00:00"/>
    <s v="Monthly"/>
    <d v="2024-08-13T00:00:00"/>
    <x v="1"/>
    <n v="28792"/>
    <n v="1902"/>
    <n v="2"/>
    <d v="2024-08-15T00:00:00"/>
    <x v="0"/>
    <x v="0"/>
    <x v="1"/>
    <n v="15.137700000000001"/>
    <n v="174"/>
    <n v="2024"/>
    <s v="August"/>
  </r>
  <r>
    <s v="DINS-CLM-101345"/>
    <s v="DINS-CUS-501345"/>
    <s v="DINS-POL-201345"/>
    <x v="2"/>
    <x v="2"/>
    <x v="4"/>
    <x v="1"/>
    <x v="5"/>
    <d v="2024-02-17T00:00:00"/>
    <s v="Monthly"/>
    <d v="2024-08-17T00:00:00"/>
    <x v="0"/>
    <n v="8962"/>
    <n v="3647"/>
    <s v="N/A - Not Settled"/>
    <s v="N/A - Not Settled"/>
    <x v="0"/>
    <x v="0"/>
    <x v="0"/>
    <n v="2.4573999999999998"/>
    <n v="182"/>
    <n v="2024"/>
    <s v="August"/>
  </r>
  <r>
    <s v="DINS-CLM-101346"/>
    <s v="DINS-CUS-501346"/>
    <s v="DINS-POL-201346"/>
    <x v="4"/>
    <x v="2"/>
    <x v="0"/>
    <x v="1"/>
    <x v="7"/>
    <d v="2024-05-12T00:00:00"/>
    <s v="Monthly"/>
    <d v="2024-06-23T00:00:00"/>
    <x v="1"/>
    <n v="11298"/>
    <n v="8376"/>
    <n v="35"/>
    <d v="2024-07-28T00:00:00"/>
    <x v="0"/>
    <x v="0"/>
    <x v="1"/>
    <n v="1.3489"/>
    <n v="42"/>
    <n v="2024"/>
    <s v="June"/>
  </r>
  <r>
    <s v="DINS-CLM-101347"/>
    <s v="DINS-CUS-501347"/>
    <s v="DINS-POL-201347"/>
    <x v="1"/>
    <x v="1"/>
    <x v="5"/>
    <x v="1"/>
    <x v="2"/>
    <d v="2024-03-15T00:00:00"/>
    <s v="Monthly"/>
    <d v="2024-12-30T00:00:00"/>
    <x v="2"/>
    <n v="58419"/>
    <n v="6008"/>
    <s v="N/A - Not Settled"/>
    <s v="N/A - Not Settled"/>
    <x v="0"/>
    <x v="0"/>
    <x v="2"/>
    <n v="9.7234999999999996"/>
    <n v="290"/>
    <n v="2024"/>
    <s v="December"/>
  </r>
  <r>
    <s v="DINS-CLM-101348"/>
    <s v="DINS-CUS-501348"/>
    <s v="DINS-POL-201348"/>
    <x v="1"/>
    <x v="1"/>
    <x v="4"/>
    <x v="1"/>
    <x v="3"/>
    <d v="2023-02-26T00:00:00"/>
    <s v="Monthly"/>
    <d v="2024-01-30T00:00:00"/>
    <x v="1"/>
    <n v="20702"/>
    <n v="5655"/>
    <n v="22"/>
    <d v="2024-02-21T00:00:00"/>
    <x v="0"/>
    <x v="0"/>
    <x v="2"/>
    <n v="3.6608000000000001"/>
    <n v="338"/>
    <n v="2024"/>
    <s v="January"/>
  </r>
  <r>
    <s v="DINS-CLM-101349"/>
    <s v="DINS-CUS-501349"/>
    <s v="DINS-POL-201349"/>
    <x v="2"/>
    <x v="0"/>
    <x v="5"/>
    <x v="1"/>
    <x v="6"/>
    <d v="2024-04-29T00:00:00"/>
    <s v="Monthly"/>
    <d v="2024-10-02T00:00:00"/>
    <x v="1"/>
    <n v="6388"/>
    <n v="987"/>
    <n v="13"/>
    <d v="2024-10-15T00:00:00"/>
    <x v="0"/>
    <x v="0"/>
    <x v="0"/>
    <n v="6.4721000000000002"/>
    <n v="156"/>
    <n v="2024"/>
    <s v="October"/>
  </r>
  <r>
    <s v="DINS-CLM-101350"/>
    <s v="DINS-CUS-501350"/>
    <s v="DINS-POL-201350"/>
    <x v="0"/>
    <x v="1"/>
    <x v="4"/>
    <x v="2"/>
    <x v="6"/>
    <d v="2024-09-21T00:00:00"/>
    <s v="Annual"/>
    <d v="2024-12-30T00:00:00"/>
    <x v="1"/>
    <n v="12607"/>
    <n v="6251"/>
    <n v="28"/>
    <d v="2025-01-27T00:00:00"/>
    <x v="0"/>
    <x v="0"/>
    <x v="2"/>
    <n v="2.0167999999999999"/>
    <n v="100"/>
    <n v="2024"/>
    <s v="December"/>
  </r>
  <r>
    <s v="DINS-CLM-101351"/>
    <s v="DINS-CUS-501351"/>
    <s v="DINS-POL-201351"/>
    <x v="2"/>
    <x v="1"/>
    <x v="2"/>
    <x v="0"/>
    <x v="2"/>
    <d v="2024-05-15T00:00:00"/>
    <s v="Monthly"/>
    <d v="2024-11-30T00:00:00"/>
    <x v="0"/>
    <n v="3875"/>
    <n v="8546"/>
    <s v="N/A - Not Settled"/>
    <s v="N/A - Not Settled"/>
    <x v="1"/>
    <x v="0"/>
    <x v="0"/>
    <n v="0.45340000000000003"/>
    <n v="199"/>
    <n v="2024"/>
    <s v="November"/>
  </r>
  <r>
    <s v="DINS-CLM-101352"/>
    <s v="DINS-CUS-501352"/>
    <s v="DINS-POL-201352"/>
    <x v="2"/>
    <x v="2"/>
    <x v="2"/>
    <x v="1"/>
    <x v="2"/>
    <d v="2024-03-02T00:00:00"/>
    <s v="Monthly"/>
    <d v="2024-04-21T00:00:00"/>
    <x v="0"/>
    <n v="39014"/>
    <n v="4061"/>
    <s v="N/A - Not Settled"/>
    <s v="N/A - Not Settled"/>
    <x v="1"/>
    <x v="0"/>
    <x v="1"/>
    <n v="9.6069999999999993"/>
    <n v="50"/>
    <n v="2024"/>
    <s v="April"/>
  </r>
  <r>
    <s v="DINS-CLM-101353"/>
    <s v="DINS-CUS-501353"/>
    <s v="DINS-POL-201353"/>
    <x v="2"/>
    <x v="0"/>
    <x v="2"/>
    <x v="2"/>
    <x v="0"/>
    <d v="2023-11-24T00:00:00"/>
    <s v="Monthly"/>
    <d v="2024-10-28T00:00:00"/>
    <x v="0"/>
    <n v="14148"/>
    <n v="1525"/>
    <s v="N/A - Not Settled"/>
    <s v="N/A - Not Settled"/>
    <x v="0"/>
    <x v="0"/>
    <x v="0"/>
    <n v="9.2774000000000001"/>
    <n v="339"/>
    <n v="2024"/>
    <s v="October"/>
  </r>
  <r>
    <s v="DINS-CLM-101354"/>
    <s v="DINS-CUS-501354"/>
    <s v="DINS-POL-201354"/>
    <x v="0"/>
    <x v="2"/>
    <x v="5"/>
    <x v="0"/>
    <x v="0"/>
    <d v="2024-04-12T00:00:00"/>
    <s v="Annual"/>
    <d v="2024-06-28T00:00:00"/>
    <x v="1"/>
    <n v="28781"/>
    <n v="4999"/>
    <n v="39"/>
    <d v="2024-08-06T00:00:00"/>
    <x v="1"/>
    <x v="0"/>
    <x v="0"/>
    <n v="5.7573999999999996"/>
    <n v="77"/>
    <n v="2024"/>
    <s v="June"/>
  </r>
  <r>
    <s v="DINS-CLM-101355"/>
    <s v="DINS-CUS-501355"/>
    <s v="DINS-POL-201355"/>
    <x v="2"/>
    <x v="0"/>
    <x v="3"/>
    <x v="2"/>
    <x v="1"/>
    <d v="2024-02-24T00:00:00"/>
    <s v="Annual"/>
    <d v="2024-12-04T00:00:00"/>
    <x v="0"/>
    <n v="11631"/>
    <n v="1467"/>
    <s v="N/A - Not Settled"/>
    <s v="N/A - Not Settled"/>
    <x v="0"/>
    <x v="0"/>
    <x v="0"/>
    <n v="7.9283999999999999"/>
    <n v="284"/>
    <n v="2024"/>
    <s v="December"/>
  </r>
  <r>
    <s v="DINS-CLM-101356"/>
    <s v="DINS-CUS-501356"/>
    <s v="DINS-POL-201356"/>
    <x v="2"/>
    <x v="0"/>
    <x v="4"/>
    <x v="2"/>
    <x v="1"/>
    <d v="2024-06-28T00:00:00"/>
    <s v="Monthly"/>
    <d v="2024-07-29T00:00:00"/>
    <x v="2"/>
    <n v="23060"/>
    <n v="5318"/>
    <s v="N/A - Not Settled"/>
    <s v="N/A - Not Settled"/>
    <x v="0"/>
    <x v="0"/>
    <x v="2"/>
    <n v="4.3361999999999998"/>
    <n v="31"/>
    <n v="2024"/>
    <s v="July"/>
  </r>
  <r>
    <s v="DINS-CLM-101357"/>
    <s v="DINS-CUS-501357"/>
    <s v="DINS-POL-201357"/>
    <x v="3"/>
    <x v="2"/>
    <x v="4"/>
    <x v="0"/>
    <x v="1"/>
    <d v="2023-04-12T00:00:00"/>
    <s v="Monthly"/>
    <d v="2024-04-11T00:00:00"/>
    <x v="0"/>
    <n v="67328"/>
    <n v="8280"/>
    <s v="N/A - Not Settled"/>
    <s v="N/A - Not Settled"/>
    <x v="0"/>
    <x v="0"/>
    <x v="0"/>
    <n v="8.1313999999999993"/>
    <n v="365"/>
    <n v="2024"/>
    <s v="April"/>
  </r>
  <r>
    <s v="DINS-CLM-101358"/>
    <s v="DINS-CUS-501358"/>
    <s v="DINS-POL-201358"/>
    <x v="2"/>
    <x v="0"/>
    <x v="1"/>
    <x v="1"/>
    <x v="6"/>
    <d v="2024-08-26T00:00:00"/>
    <s v="Monthly"/>
    <d v="2024-10-11T00:00:00"/>
    <x v="1"/>
    <n v="12161"/>
    <n v="3272"/>
    <n v="5"/>
    <d v="2024-10-16T00:00:00"/>
    <x v="1"/>
    <x v="0"/>
    <x v="2"/>
    <n v="3.7166999999999999"/>
    <n v="46"/>
    <n v="2024"/>
    <s v="October"/>
  </r>
  <r>
    <s v="DINS-CLM-101359"/>
    <s v="DINS-CUS-501359"/>
    <s v="DINS-POL-201359"/>
    <x v="2"/>
    <x v="1"/>
    <x v="1"/>
    <x v="2"/>
    <x v="3"/>
    <d v="2024-01-08T00:00:00"/>
    <s v="Annual"/>
    <d v="2024-05-27T00:00:00"/>
    <x v="1"/>
    <n v="31473"/>
    <n v="2755"/>
    <n v="8"/>
    <d v="2024-06-04T00:00:00"/>
    <x v="0"/>
    <x v="0"/>
    <x v="1"/>
    <n v="11.423999999999999"/>
    <n v="140"/>
    <n v="2024"/>
    <s v="May"/>
  </r>
  <r>
    <s v="DINS-CLM-101360"/>
    <s v="DINS-CUS-501360"/>
    <s v="DINS-POL-201360"/>
    <x v="0"/>
    <x v="0"/>
    <x v="3"/>
    <x v="1"/>
    <x v="2"/>
    <d v="2024-02-18T00:00:00"/>
    <s v="Monthly"/>
    <d v="2024-09-17T00:00:00"/>
    <x v="1"/>
    <n v="27984"/>
    <n v="4962"/>
    <n v="14"/>
    <d v="2024-10-01T00:00:00"/>
    <x v="0"/>
    <x v="0"/>
    <x v="2"/>
    <n v="5.6397000000000004"/>
    <n v="212"/>
    <n v="2024"/>
    <s v="September"/>
  </r>
  <r>
    <s v="DINS-CLM-101361"/>
    <s v="DINS-CUS-501361"/>
    <s v="DINS-POL-201361"/>
    <x v="2"/>
    <x v="0"/>
    <x v="1"/>
    <x v="1"/>
    <x v="0"/>
    <d v="2024-01-21T00:00:00"/>
    <s v="Monthly"/>
    <d v="2024-08-01T00:00:00"/>
    <x v="1"/>
    <n v="14556"/>
    <n v="3779"/>
    <n v="44"/>
    <d v="2024-09-14T00:00:00"/>
    <x v="0"/>
    <x v="0"/>
    <x v="2"/>
    <n v="3.8517999999999999"/>
    <n v="193"/>
    <n v="2024"/>
    <s v="August"/>
  </r>
  <r>
    <s v="DINS-CLM-101362"/>
    <s v="DINS-CUS-501362"/>
    <s v="DINS-POL-201362"/>
    <x v="4"/>
    <x v="0"/>
    <x v="3"/>
    <x v="0"/>
    <x v="2"/>
    <d v="2023-01-27T00:00:00"/>
    <s v="Monthly"/>
    <d v="2024-01-12T00:00:00"/>
    <x v="1"/>
    <n v="2114"/>
    <n v="2373"/>
    <n v="18"/>
    <d v="2024-01-30T00:00:00"/>
    <x v="1"/>
    <x v="1"/>
    <x v="2"/>
    <n v="0.89090000000000003"/>
    <n v="350"/>
    <n v="2024"/>
    <s v="January"/>
  </r>
  <r>
    <s v="DINS-CLM-101363"/>
    <s v="DINS-CUS-501363"/>
    <s v="DINS-POL-201363"/>
    <x v="4"/>
    <x v="2"/>
    <x v="0"/>
    <x v="0"/>
    <x v="2"/>
    <d v="2023-07-08T00:00:00"/>
    <s v="Monthly"/>
    <d v="2024-06-07T00:00:00"/>
    <x v="1"/>
    <n v="3700"/>
    <n v="4660"/>
    <n v="15"/>
    <d v="2024-06-22T00:00:00"/>
    <x v="0"/>
    <x v="0"/>
    <x v="2"/>
    <n v="0.79400000000000004"/>
    <n v="335"/>
    <n v="2024"/>
    <s v="June"/>
  </r>
  <r>
    <s v="DINS-CLM-101364"/>
    <s v="DINS-CUS-501364"/>
    <s v="DINS-POL-201364"/>
    <x v="4"/>
    <x v="0"/>
    <x v="4"/>
    <x v="2"/>
    <x v="6"/>
    <d v="2024-05-08T00:00:00"/>
    <s v="Annual"/>
    <d v="2024-08-18T00:00:00"/>
    <x v="2"/>
    <n v="14006"/>
    <n v="513"/>
    <s v="N/A - Not Settled"/>
    <s v="N/A - Not Settled"/>
    <x v="0"/>
    <x v="0"/>
    <x v="1"/>
    <n v="27.302099999999999"/>
    <n v="102"/>
    <n v="2024"/>
    <s v="August"/>
  </r>
  <r>
    <s v="DINS-CLM-101365"/>
    <s v="DINS-CUS-501365"/>
    <s v="DINS-POL-201365"/>
    <x v="1"/>
    <x v="0"/>
    <x v="4"/>
    <x v="1"/>
    <x v="1"/>
    <d v="2024-05-19T00:00:00"/>
    <s v="Monthly"/>
    <d v="2024-06-19T00:00:00"/>
    <x v="2"/>
    <n v="11197"/>
    <n v="6492"/>
    <s v="N/A - Not Settled"/>
    <s v="N/A - Not Settled"/>
    <x v="1"/>
    <x v="0"/>
    <x v="2"/>
    <n v="1.7246999999999999"/>
    <n v="31"/>
    <n v="2024"/>
    <s v="June"/>
  </r>
  <r>
    <s v="DINS-CLM-101366"/>
    <s v="DINS-CUS-501366"/>
    <s v="DINS-POL-201366"/>
    <x v="1"/>
    <x v="0"/>
    <x v="0"/>
    <x v="2"/>
    <x v="5"/>
    <d v="2023-10-09T00:00:00"/>
    <s v="Annual"/>
    <d v="2024-05-12T00:00:00"/>
    <x v="1"/>
    <n v="40372"/>
    <n v="3093"/>
    <n v="25"/>
    <d v="2024-06-06T00:00:00"/>
    <x v="0"/>
    <x v="0"/>
    <x v="1"/>
    <n v="13.0527"/>
    <n v="216"/>
    <n v="2024"/>
    <s v="May"/>
  </r>
  <r>
    <s v="DINS-CLM-101367"/>
    <s v="DINS-CUS-501367"/>
    <s v="DINS-POL-201367"/>
    <x v="5"/>
    <x v="1"/>
    <x v="1"/>
    <x v="1"/>
    <x v="3"/>
    <d v="2024-03-29T00:00:00"/>
    <s v="Monthly"/>
    <d v="2024-07-23T00:00:00"/>
    <x v="2"/>
    <n v="62915"/>
    <n v="1721"/>
    <s v="N/A - Not Settled"/>
    <s v="N/A - Not Settled"/>
    <x v="1"/>
    <x v="0"/>
    <x v="1"/>
    <n v="36.557200000000002"/>
    <n v="116"/>
    <n v="2024"/>
    <s v="July"/>
  </r>
  <r>
    <s v="DINS-CLM-101368"/>
    <s v="DINS-CUS-501368"/>
    <s v="DINS-POL-201368"/>
    <x v="1"/>
    <x v="1"/>
    <x v="0"/>
    <x v="2"/>
    <x v="6"/>
    <d v="2023-05-26T00:00:00"/>
    <s v="Monthly"/>
    <d v="2024-01-25T00:00:00"/>
    <x v="0"/>
    <n v="11213"/>
    <n v="5011"/>
    <s v="N/A - Not Settled"/>
    <s v="N/A - Not Settled"/>
    <x v="0"/>
    <x v="0"/>
    <x v="2"/>
    <n v="2.2376999999999998"/>
    <n v="244"/>
    <n v="2024"/>
    <s v="January"/>
  </r>
  <r>
    <s v="DINS-CLM-101369"/>
    <s v="DINS-CUS-501369"/>
    <s v="DINS-POL-201369"/>
    <x v="0"/>
    <x v="2"/>
    <x v="4"/>
    <x v="0"/>
    <x v="5"/>
    <d v="2023-11-08T00:00:00"/>
    <s v="Annual"/>
    <d v="2024-08-17T00:00:00"/>
    <x v="1"/>
    <n v="55498"/>
    <n v="6702"/>
    <n v="4"/>
    <d v="2024-08-21T00:00:00"/>
    <x v="0"/>
    <x v="0"/>
    <x v="2"/>
    <n v="8.2807999999999993"/>
    <n v="283"/>
    <n v="2024"/>
    <s v="August"/>
  </r>
  <r>
    <s v="DINS-CLM-101370"/>
    <s v="DINS-CUS-501370"/>
    <s v="DINS-POL-201370"/>
    <x v="3"/>
    <x v="1"/>
    <x v="3"/>
    <x v="2"/>
    <x v="3"/>
    <d v="2023-08-17T00:00:00"/>
    <s v="Monthly"/>
    <d v="2024-05-19T00:00:00"/>
    <x v="1"/>
    <n v="64123"/>
    <n v="4923"/>
    <n v="24"/>
    <d v="2024-06-12T00:00:00"/>
    <x v="0"/>
    <x v="0"/>
    <x v="2"/>
    <n v="13.0252"/>
    <n v="276"/>
    <n v="2024"/>
    <s v="May"/>
  </r>
  <r>
    <s v="DINS-CLM-101371"/>
    <s v="DINS-CUS-501371"/>
    <s v="DINS-POL-201371"/>
    <x v="3"/>
    <x v="2"/>
    <x v="0"/>
    <x v="0"/>
    <x v="7"/>
    <d v="2024-05-22T00:00:00"/>
    <s v="Annual"/>
    <d v="2024-07-23T00:00:00"/>
    <x v="1"/>
    <n v="89996"/>
    <n v="6638"/>
    <n v="7"/>
    <d v="2024-07-30T00:00:00"/>
    <x v="0"/>
    <x v="0"/>
    <x v="1"/>
    <n v="13.557700000000001"/>
    <n v="62"/>
    <n v="2024"/>
    <s v="July"/>
  </r>
  <r>
    <s v="DINS-CLM-101372"/>
    <s v="DINS-CUS-501372"/>
    <s v="DINS-POL-201372"/>
    <x v="3"/>
    <x v="1"/>
    <x v="3"/>
    <x v="0"/>
    <x v="7"/>
    <d v="2024-02-20T00:00:00"/>
    <s v="Monthly"/>
    <d v="2024-12-12T00:00:00"/>
    <x v="1"/>
    <n v="30720"/>
    <n v="5502"/>
    <n v="21"/>
    <d v="2025-01-02T00:00:00"/>
    <x v="0"/>
    <x v="0"/>
    <x v="2"/>
    <n v="5.5834000000000001"/>
    <n v="296"/>
    <n v="2024"/>
    <s v="December"/>
  </r>
  <r>
    <s v="DINS-CLM-101373"/>
    <s v="DINS-CUS-501373"/>
    <s v="DINS-POL-201373"/>
    <x v="5"/>
    <x v="2"/>
    <x v="3"/>
    <x v="0"/>
    <x v="4"/>
    <d v="2024-05-31T00:00:00"/>
    <s v="Monthly"/>
    <d v="2024-07-27T00:00:00"/>
    <x v="1"/>
    <n v="70811"/>
    <n v="1041"/>
    <n v="43"/>
    <d v="2024-09-08T00:00:00"/>
    <x v="0"/>
    <x v="0"/>
    <x v="1"/>
    <n v="68.022099999999995"/>
    <n v="57"/>
    <n v="2024"/>
    <s v="July"/>
  </r>
  <r>
    <s v="DINS-CLM-101374"/>
    <s v="DINS-CUS-501374"/>
    <s v="DINS-POL-201374"/>
    <x v="0"/>
    <x v="0"/>
    <x v="3"/>
    <x v="0"/>
    <x v="6"/>
    <d v="2024-03-15T00:00:00"/>
    <s v="Annual"/>
    <d v="2024-07-05T00:00:00"/>
    <x v="1"/>
    <n v="55681"/>
    <n v="3757"/>
    <n v="4"/>
    <d v="2024-07-09T00:00:00"/>
    <x v="1"/>
    <x v="1"/>
    <x v="2"/>
    <n v="14.820600000000001"/>
    <n v="112"/>
    <n v="2024"/>
    <s v="July"/>
  </r>
  <r>
    <s v="DINS-CLM-101375"/>
    <s v="DINS-CUS-501375"/>
    <s v="DINS-POL-201375"/>
    <x v="0"/>
    <x v="2"/>
    <x v="4"/>
    <x v="1"/>
    <x v="7"/>
    <d v="2024-04-01T00:00:00"/>
    <s v="Monthly"/>
    <d v="2024-08-30T00:00:00"/>
    <x v="1"/>
    <n v="53189"/>
    <n v="8993"/>
    <n v="44"/>
    <d v="2024-10-13T00:00:00"/>
    <x v="0"/>
    <x v="0"/>
    <x v="1"/>
    <n v="5.9145000000000003"/>
    <n v="151"/>
    <n v="2024"/>
    <s v="August"/>
  </r>
  <r>
    <s v="DINS-CLM-101376"/>
    <s v="DINS-CUS-501376"/>
    <s v="DINS-POL-201376"/>
    <x v="4"/>
    <x v="2"/>
    <x v="3"/>
    <x v="2"/>
    <x v="4"/>
    <d v="2024-01-11T00:00:00"/>
    <s v="Monthly"/>
    <d v="2024-03-30T00:00:00"/>
    <x v="1"/>
    <n v="14075"/>
    <n v="3724"/>
    <n v="22"/>
    <d v="2024-04-21T00:00:00"/>
    <x v="0"/>
    <x v="0"/>
    <x v="0"/>
    <n v="3.7795000000000001"/>
    <n v="79"/>
    <n v="2024"/>
    <s v="March"/>
  </r>
  <r>
    <s v="DINS-CLM-101377"/>
    <s v="DINS-CUS-501377"/>
    <s v="DINS-POL-201377"/>
    <x v="2"/>
    <x v="1"/>
    <x v="3"/>
    <x v="0"/>
    <x v="7"/>
    <d v="2024-07-26T00:00:00"/>
    <s v="Annual"/>
    <d v="2024-11-25T00:00:00"/>
    <x v="1"/>
    <n v="35248"/>
    <n v="7843"/>
    <n v="42"/>
    <d v="2025-01-06T00:00:00"/>
    <x v="1"/>
    <x v="0"/>
    <x v="2"/>
    <n v="4.4942000000000002"/>
    <n v="122"/>
    <n v="2024"/>
    <s v="November"/>
  </r>
  <r>
    <s v="DINS-CLM-101378"/>
    <s v="DINS-CUS-501378"/>
    <s v="DINS-POL-201378"/>
    <x v="5"/>
    <x v="2"/>
    <x v="1"/>
    <x v="0"/>
    <x v="3"/>
    <d v="2024-10-01T00:00:00"/>
    <s v="Monthly"/>
    <d v="2024-12-14T00:00:00"/>
    <x v="1"/>
    <n v="42638"/>
    <n v="1810"/>
    <n v="34"/>
    <d v="2025-01-17T00:00:00"/>
    <x v="0"/>
    <x v="0"/>
    <x v="1"/>
    <n v="23.556899999999999"/>
    <n v="74"/>
    <n v="2024"/>
    <s v="December"/>
  </r>
  <r>
    <s v="DINS-CLM-101379"/>
    <s v="DINS-CUS-501379"/>
    <s v="DINS-POL-201379"/>
    <x v="2"/>
    <x v="2"/>
    <x v="4"/>
    <x v="2"/>
    <x v="6"/>
    <d v="2024-08-18T00:00:00"/>
    <s v="Annual"/>
    <d v="2024-11-12T00:00:00"/>
    <x v="1"/>
    <n v="38239"/>
    <n v="8361"/>
    <n v="26"/>
    <d v="2024-12-08T00:00:00"/>
    <x v="0"/>
    <x v="0"/>
    <x v="1"/>
    <n v="4.5735000000000001"/>
    <n v="86"/>
    <n v="2024"/>
    <s v="November"/>
  </r>
  <r>
    <s v="DINS-CLM-101380"/>
    <s v="DINS-CUS-501380"/>
    <s v="DINS-POL-201380"/>
    <x v="1"/>
    <x v="0"/>
    <x v="0"/>
    <x v="2"/>
    <x v="3"/>
    <d v="2024-04-11T00:00:00"/>
    <s v="Annual"/>
    <d v="2024-05-16T00:00:00"/>
    <x v="1"/>
    <n v="27157"/>
    <n v="7503"/>
    <n v="36"/>
    <d v="2024-06-21T00:00:00"/>
    <x v="0"/>
    <x v="0"/>
    <x v="2"/>
    <n v="3.6194999999999999"/>
    <n v="35"/>
    <n v="2024"/>
    <s v="May"/>
  </r>
  <r>
    <s v="DINS-CLM-101381"/>
    <s v="DINS-CUS-501381"/>
    <s v="DINS-POL-201381"/>
    <x v="4"/>
    <x v="1"/>
    <x v="1"/>
    <x v="0"/>
    <x v="6"/>
    <d v="2024-05-27T00:00:00"/>
    <s v="Annual"/>
    <d v="2024-08-17T00:00:00"/>
    <x v="1"/>
    <n v="6109"/>
    <n v="4212"/>
    <n v="35"/>
    <d v="2024-09-21T00:00:00"/>
    <x v="1"/>
    <x v="0"/>
    <x v="1"/>
    <n v="1.4503999999999999"/>
    <n v="82"/>
    <n v="2024"/>
    <s v="August"/>
  </r>
  <r>
    <s v="DINS-CLM-101382"/>
    <s v="DINS-CUS-501382"/>
    <s v="DINS-POL-201382"/>
    <x v="3"/>
    <x v="0"/>
    <x v="5"/>
    <x v="0"/>
    <x v="6"/>
    <d v="2023-11-19T00:00:00"/>
    <s v="Monthly"/>
    <d v="2024-04-30T00:00:00"/>
    <x v="1"/>
    <n v="98266"/>
    <n v="4167"/>
    <n v="21"/>
    <d v="2024-05-21T00:00:00"/>
    <x v="0"/>
    <x v="0"/>
    <x v="0"/>
    <n v="23.582000000000001"/>
    <n v="163"/>
    <n v="2024"/>
    <s v="April"/>
  </r>
  <r>
    <s v="DINS-CLM-101383"/>
    <s v="DINS-CUS-501383"/>
    <s v="DINS-POL-201383"/>
    <x v="2"/>
    <x v="1"/>
    <x v="2"/>
    <x v="0"/>
    <x v="3"/>
    <d v="2023-04-21T00:00:00"/>
    <s v="Annual"/>
    <d v="2024-03-29T00:00:00"/>
    <x v="0"/>
    <n v="7475"/>
    <n v="1489"/>
    <s v="N/A - Not Settled"/>
    <s v="N/A - Not Settled"/>
    <x v="0"/>
    <x v="0"/>
    <x v="1"/>
    <n v="5.0201000000000002"/>
    <n v="343"/>
    <n v="2024"/>
    <s v="March"/>
  </r>
  <r>
    <s v="DINS-CLM-101384"/>
    <s v="DINS-CUS-501384"/>
    <s v="DINS-POL-201384"/>
    <x v="0"/>
    <x v="2"/>
    <x v="0"/>
    <x v="0"/>
    <x v="3"/>
    <d v="2023-09-29T00:00:00"/>
    <s v="Monthly"/>
    <d v="2024-05-20T00:00:00"/>
    <x v="1"/>
    <n v="3768"/>
    <n v="8341"/>
    <n v="31"/>
    <d v="2024-06-20T00:00:00"/>
    <x v="0"/>
    <x v="0"/>
    <x v="0"/>
    <n v="0.45169999999999999"/>
    <n v="234"/>
    <n v="2024"/>
    <s v="May"/>
  </r>
  <r>
    <s v="DINS-CLM-101385"/>
    <s v="DINS-CUS-501385"/>
    <s v="DINS-POL-201385"/>
    <x v="3"/>
    <x v="1"/>
    <x v="0"/>
    <x v="1"/>
    <x v="2"/>
    <d v="2023-10-25T00:00:00"/>
    <s v="Annual"/>
    <d v="2024-01-30T00:00:00"/>
    <x v="1"/>
    <n v="25728"/>
    <n v="5692"/>
    <n v="6"/>
    <d v="2024-02-05T00:00:00"/>
    <x v="0"/>
    <x v="0"/>
    <x v="0"/>
    <n v="4.5199999999999996"/>
    <n v="97"/>
    <n v="2024"/>
    <s v="January"/>
  </r>
  <r>
    <s v="DINS-CLM-101386"/>
    <s v="DINS-CUS-501386"/>
    <s v="DINS-POL-201386"/>
    <x v="1"/>
    <x v="1"/>
    <x v="5"/>
    <x v="2"/>
    <x v="5"/>
    <d v="2023-07-05T00:00:00"/>
    <s v="Monthly"/>
    <d v="2024-04-01T00:00:00"/>
    <x v="0"/>
    <n v="60024"/>
    <n v="8526"/>
    <s v="N/A - Not Settled"/>
    <s v="N/A - Not Settled"/>
    <x v="0"/>
    <x v="0"/>
    <x v="1"/>
    <n v="7.0400999999999998"/>
    <n v="271"/>
    <n v="2024"/>
    <s v="April"/>
  </r>
  <r>
    <s v="DINS-CLM-101387"/>
    <s v="DINS-CUS-501387"/>
    <s v="DINS-POL-201387"/>
    <x v="5"/>
    <x v="0"/>
    <x v="1"/>
    <x v="0"/>
    <x v="3"/>
    <d v="2023-05-08T00:00:00"/>
    <s v="Monthly"/>
    <d v="2024-02-25T00:00:00"/>
    <x v="2"/>
    <n v="33614"/>
    <n v="8029"/>
    <s v="N/A - Not Settled"/>
    <s v="N/A - Not Settled"/>
    <x v="0"/>
    <x v="0"/>
    <x v="2"/>
    <n v="4.1866000000000003"/>
    <n v="293"/>
    <n v="2024"/>
    <s v="February"/>
  </r>
  <r>
    <s v="DINS-CLM-101388"/>
    <s v="DINS-CUS-501388"/>
    <s v="DINS-POL-201388"/>
    <x v="0"/>
    <x v="1"/>
    <x v="4"/>
    <x v="2"/>
    <x v="7"/>
    <d v="2024-04-10T00:00:00"/>
    <s v="Monthly"/>
    <d v="2024-05-29T00:00:00"/>
    <x v="1"/>
    <n v="25068"/>
    <n v="8141"/>
    <n v="35"/>
    <d v="2024-07-03T00:00:00"/>
    <x v="0"/>
    <x v="0"/>
    <x v="0"/>
    <n v="3.0792000000000002"/>
    <n v="49"/>
    <n v="2024"/>
    <s v="May"/>
  </r>
  <r>
    <s v="DINS-CLM-101389"/>
    <s v="DINS-CUS-501389"/>
    <s v="DINS-POL-201389"/>
    <x v="0"/>
    <x v="1"/>
    <x v="2"/>
    <x v="1"/>
    <x v="7"/>
    <d v="2023-09-11T00:00:00"/>
    <s v="Annual"/>
    <d v="2024-02-14T00:00:00"/>
    <x v="1"/>
    <n v="43614"/>
    <n v="6566"/>
    <n v="31"/>
    <d v="2024-03-16T00:00:00"/>
    <x v="0"/>
    <x v="0"/>
    <x v="0"/>
    <n v="6.6424000000000003"/>
    <n v="156"/>
    <n v="2024"/>
    <s v="February"/>
  </r>
  <r>
    <s v="DINS-CLM-101390"/>
    <s v="DINS-CUS-501390"/>
    <s v="DINS-POL-201390"/>
    <x v="4"/>
    <x v="0"/>
    <x v="1"/>
    <x v="1"/>
    <x v="2"/>
    <d v="2024-02-11T00:00:00"/>
    <s v="Monthly"/>
    <d v="2024-12-07T00:00:00"/>
    <x v="2"/>
    <n v="16957"/>
    <n v="668"/>
    <s v="N/A - Not Settled"/>
    <s v="N/A - Not Settled"/>
    <x v="0"/>
    <x v="0"/>
    <x v="1"/>
    <n v="25.384699999999999"/>
    <n v="300"/>
    <n v="2024"/>
    <s v="December"/>
  </r>
  <r>
    <s v="DINS-CLM-101391"/>
    <s v="DINS-CUS-501391"/>
    <s v="DINS-POL-201391"/>
    <x v="2"/>
    <x v="1"/>
    <x v="2"/>
    <x v="0"/>
    <x v="4"/>
    <d v="2024-03-14T00:00:00"/>
    <s v="Monthly"/>
    <d v="2024-08-14T00:00:00"/>
    <x v="1"/>
    <n v="4795"/>
    <n v="8125"/>
    <n v="31"/>
    <d v="2024-09-14T00:00:00"/>
    <x v="0"/>
    <x v="0"/>
    <x v="0"/>
    <n v="0.59019999999999995"/>
    <n v="153"/>
    <n v="2024"/>
    <s v="August"/>
  </r>
  <r>
    <s v="DINS-CLM-101392"/>
    <s v="DINS-CUS-501392"/>
    <s v="DINS-POL-201392"/>
    <x v="2"/>
    <x v="1"/>
    <x v="1"/>
    <x v="0"/>
    <x v="6"/>
    <d v="2023-07-20T00:00:00"/>
    <s v="Monthly"/>
    <d v="2024-01-09T00:00:00"/>
    <x v="1"/>
    <n v="35265"/>
    <n v="5243"/>
    <n v="12"/>
    <d v="2024-01-21T00:00:00"/>
    <x v="0"/>
    <x v="0"/>
    <x v="1"/>
    <n v="6.7260999999999997"/>
    <n v="173"/>
    <n v="2024"/>
    <s v="January"/>
  </r>
  <r>
    <s v="DINS-CLM-101393"/>
    <s v="DINS-CUS-501393"/>
    <s v="DINS-POL-201393"/>
    <x v="0"/>
    <x v="1"/>
    <x v="3"/>
    <x v="1"/>
    <x v="3"/>
    <d v="2023-12-09T00:00:00"/>
    <s v="Monthly"/>
    <d v="2024-03-16T00:00:00"/>
    <x v="0"/>
    <n v="6253"/>
    <n v="4433"/>
    <s v="N/A - Not Settled"/>
    <s v="N/A - Not Settled"/>
    <x v="0"/>
    <x v="0"/>
    <x v="1"/>
    <n v="1.4106000000000001"/>
    <n v="98"/>
    <n v="2024"/>
    <s v="March"/>
  </r>
  <r>
    <s v="DINS-CLM-101394"/>
    <s v="DINS-CUS-501394"/>
    <s v="DINS-POL-201394"/>
    <x v="2"/>
    <x v="2"/>
    <x v="1"/>
    <x v="1"/>
    <x v="2"/>
    <d v="2023-12-25T00:00:00"/>
    <s v="Monthly"/>
    <d v="2024-06-15T00:00:00"/>
    <x v="1"/>
    <n v="32031"/>
    <n v="7084"/>
    <n v="19"/>
    <d v="2024-07-04T00:00:00"/>
    <x v="0"/>
    <x v="0"/>
    <x v="2"/>
    <n v="4.5216000000000003"/>
    <n v="173"/>
    <n v="2024"/>
    <s v="June"/>
  </r>
  <r>
    <s v="DINS-CLM-101395"/>
    <s v="DINS-CUS-501395"/>
    <s v="DINS-POL-201395"/>
    <x v="5"/>
    <x v="1"/>
    <x v="4"/>
    <x v="1"/>
    <x v="5"/>
    <d v="2024-08-01T00:00:00"/>
    <s v="Annual"/>
    <d v="2024-10-24T00:00:00"/>
    <x v="1"/>
    <n v="62883"/>
    <n v="6155"/>
    <n v="10"/>
    <d v="2024-11-03T00:00:00"/>
    <x v="1"/>
    <x v="0"/>
    <x v="1"/>
    <n v="10.2166"/>
    <n v="84"/>
    <n v="2024"/>
    <s v="October"/>
  </r>
  <r>
    <s v="DINS-CLM-101396"/>
    <s v="DINS-CUS-501396"/>
    <s v="DINS-POL-201396"/>
    <x v="4"/>
    <x v="1"/>
    <x v="3"/>
    <x v="0"/>
    <x v="1"/>
    <d v="2024-02-08T00:00:00"/>
    <s v="Monthly"/>
    <d v="2024-03-15T00:00:00"/>
    <x v="0"/>
    <n v="8981"/>
    <n v="2932"/>
    <s v="N/A - Not Settled"/>
    <s v="N/A - Not Settled"/>
    <x v="0"/>
    <x v="0"/>
    <x v="2"/>
    <n v="3.0630999999999999"/>
    <n v="36"/>
    <n v="2024"/>
    <s v="March"/>
  </r>
  <r>
    <s v="DINS-CLM-101397"/>
    <s v="DINS-CUS-501397"/>
    <s v="DINS-POL-201397"/>
    <x v="1"/>
    <x v="2"/>
    <x v="2"/>
    <x v="2"/>
    <x v="4"/>
    <d v="2024-04-02T00:00:00"/>
    <s v="Monthly"/>
    <d v="2024-07-02T00:00:00"/>
    <x v="1"/>
    <n v="55653"/>
    <n v="7991"/>
    <n v="8"/>
    <d v="2024-07-10T00:00:00"/>
    <x v="0"/>
    <x v="0"/>
    <x v="2"/>
    <n v="6.9645000000000001"/>
    <n v="91"/>
    <n v="2024"/>
    <s v="July"/>
  </r>
  <r>
    <s v="DINS-CLM-101398"/>
    <s v="DINS-CUS-501398"/>
    <s v="DINS-POL-201398"/>
    <x v="3"/>
    <x v="0"/>
    <x v="1"/>
    <x v="1"/>
    <x v="4"/>
    <d v="2023-04-03T00:00:00"/>
    <s v="Monthly"/>
    <d v="2024-01-16T00:00:00"/>
    <x v="1"/>
    <n v="20787"/>
    <n v="6731"/>
    <n v="29"/>
    <d v="2024-02-14T00:00:00"/>
    <x v="0"/>
    <x v="0"/>
    <x v="2"/>
    <n v="3.0882000000000001"/>
    <n v="288"/>
    <n v="2024"/>
    <s v="January"/>
  </r>
  <r>
    <s v="DINS-CLM-101399"/>
    <s v="DINS-CUS-501399"/>
    <s v="DINS-POL-201399"/>
    <x v="2"/>
    <x v="1"/>
    <x v="3"/>
    <x v="0"/>
    <x v="0"/>
    <d v="2024-01-03T00:00:00"/>
    <s v="Annual"/>
    <d v="2024-04-07T00:00:00"/>
    <x v="1"/>
    <n v="29862"/>
    <n v="5364"/>
    <n v="30"/>
    <d v="2024-05-07T00:00:00"/>
    <x v="1"/>
    <x v="0"/>
    <x v="1"/>
    <n v="5.5670999999999999"/>
    <n v="95"/>
    <n v="2024"/>
    <s v="April"/>
  </r>
  <r>
    <s v="DINS-CLM-101400"/>
    <s v="DINS-CUS-501400"/>
    <s v="DINS-POL-201400"/>
    <x v="2"/>
    <x v="2"/>
    <x v="3"/>
    <x v="1"/>
    <x v="7"/>
    <d v="2024-07-31T00:00:00"/>
    <s v="Monthly"/>
    <d v="2024-08-30T00:00:00"/>
    <x v="2"/>
    <n v="9018"/>
    <n v="2124"/>
    <s v="N/A - Not Settled"/>
    <s v="N/A - Not Settled"/>
    <x v="0"/>
    <x v="0"/>
    <x v="2"/>
    <n v="4.2458"/>
    <n v="30"/>
    <n v="2024"/>
    <s v="August"/>
  </r>
  <r>
    <s v="DINS-CLM-101401"/>
    <s v="DINS-CUS-501401"/>
    <s v="DINS-POL-201401"/>
    <x v="5"/>
    <x v="2"/>
    <x v="1"/>
    <x v="2"/>
    <x v="1"/>
    <d v="2023-04-11T00:00:00"/>
    <s v="Annual"/>
    <d v="2024-03-08T00:00:00"/>
    <x v="1"/>
    <n v="40124"/>
    <n v="6700"/>
    <n v="12"/>
    <d v="2024-03-20T00:00:00"/>
    <x v="0"/>
    <x v="0"/>
    <x v="2"/>
    <n v="5.9886999999999997"/>
    <n v="332"/>
    <n v="2024"/>
    <s v="March"/>
  </r>
  <r>
    <s v="DINS-CLM-101402"/>
    <s v="DINS-CUS-501402"/>
    <s v="DINS-POL-201402"/>
    <x v="3"/>
    <x v="2"/>
    <x v="5"/>
    <x v="0"/>
    <x v="3"/>
    <d v="2023-08-25T00:00:00"/>
    <s v="Annual"/>
    <d v="2024-07-03T00:00:00"/>
    <x v="1"/>
    <n v="51448"/>
    <n v="5191"/>
    <n v="29"/>
    <d v="2024-08-01T00:00:00"/>
    <x v="0"/>
    <x v="0"/>
    <x v="0"/>
    <n v="9.9109999999999996"/>
    <n v="313"/>
    <n v="2024"/>
    <s v="July"/>
  </r>
  <r>
    <s v="DINS-CLM-101403"/>
    <s v="DINS-CUS-501403"/>
    <s v="DINS-POL-201403"/>
    <x v="2"/>
    <x v="2"/>
    <x v="5"/>
    <x v="2"/>
    <x v="6"/>
    <d v="2023-07-28T00:00:00"/>
    <s v="Monthly"/>
    <d v="2024-05-11T00:00:00"/>
    <x v="2"/>
    <n v="37351"/>
    <n v="905"/>
    <s v="N/A - Not Settled"/>
    <s v="N/A - Not Settled"/>
    <x v="0"/>
    <x v="0"/>
    <x v="0"/>
    <n v="41.271799999999999"/>
    <n v="288"/>
    <n v="2024"/>
    <s v="May"/>
  </r>
  <r>
    <s v="DINS-CLM-101404"/>
    <s v="DINS-CUS-501404"/>
    <s v="DINS-POL-201404"/>
    <x v="1"/>
    <x v="2"/>
    <x v="3"/>
    <x v="1"/>
    <x v="3"/>
    <d v="2023-07-18T00:00:00"/>
    <s v="Annual"/>
    <d v="2024-01-05T00:00:00"/>
    <x v="1"/>
    <n v="60483"/>
    <n v="2743"/>
    <n v="41"/>
    <d v="2024-02-15T00:00:00"/>
    <x v="1"/>
    <x v="1"/>
    <x v="0"/>
    <n v="22.049900000000001"/>
    <n v="171"/>
    <n v="2024"/>
    <s v="January"/>
  </r>
  <r>
    <s v="DINS-CLM-101405"/>
    <s v="DINS-CUS-501405"/>
    <s v="DINS-POL-201405"/>
    <x v="0"/>
    <x v="1"/>
    <x v="5"/>
    <x v="1"/>
    <x v="2"/>
    <d v="2023-05-05T00:00:00"/>
    <s v="Annual"/>
    <d v="2024-04-12T00:00:00"/>
    <x v="1"/>
    <n v="15315"/>
    <n v="1312"/>
    <n v="21"/>
    <d v="2024-05-03T00:00:00"/>
    <x v="0"/>
    <x v="0"/>
    <x v="0"/>
    <n v="11.673"/>
    <n v="343"/>
    <n v="2024"/>
    <s v="April"/>
  </r>
  <r>
    <s v="DINS-CLM-101406"/>
    <s v="DINS-CUS-501406"/>
    <s v="DINS-POL-201406"/>
    <x v="2"/>
    <x v="0"/>
    <x v="4"/>
    <x v="1"/>
    <x v="6"/>
    <d v="2024-03-28T00:00:00"/>
    <s v="Monthly"/>
    <d v="2024-06-07T00:00:00"/>
    <x v="1"/>
    <n v="4919"/>
    <n v="5165"/>
    <n v="22"/>
    <d v="2024-06-29T00:00:00"/>
    <x v="0"/>
    <x v="0"/>
    <x v="2"/>
    <n v="0.95240000000000002"/>
    <n v="71"/>
    <n v="2024"/>
    <s v="June"/>
  </r>
  <r>
    <s v="DINS-CLM-101407"/>
    <s v="DINS-CUS-501407"/>
    <s v="DINS-POL-201407"/>
    <x v="0"/>
    <x v="0"/>
    <x v="3"/>
    <x v="1"/>
    <x v="1"/>
    <d v="2024-03-03T00:00:00"/>
    <s v="Annual"/>
    <d v="2024-12-14T00:00:00"/>
    <x v="2"/>
    <n v="54963"/>
    <n v="4757"/>
    <s v="N/A - Not Settled"/>
    <s v="N/A - Not Settled"/>
    <x v="1"/>
    <x v="1"/>
    <x v="2"/>
    <n v="11.5541"/>
    <n v="286"/>
    <n v="2024"/>
    <s v="December"/>
  </r>
  <r>
    <s v="DINS-CLM-101408"/>
    <s v="DINS-CUS-501408"/>
    <s v="DINS-POL-201408"/>
    <x v="2"/>
    <x v="2"/>
    <x v="0"/>
    <x v="0"/>
    <x v="2"/>
    <d v="2023-04-20T00:00:00"/>
    <s v="Annual"/>
    <d v="2024-04-10T00:00:00"/>
    <x v="0"/>
    <n v="8484"/>
    <n v="7091"/>
    <s v="N/A - Not Settled"/>
    <s v="N/A - Not Settled"/>
    <x v="0"/>
    <x v="0"/>
    <x v="2"/>
    <n v="1.1963999999999999"/>
    <n v="356"/>
    <n v="2024"/>
    <s v="April"/>
  </r>
  <r>
    <s v="DINS-CLM-101409"/>
    <s v="DINS-CUS-501409"/>
    <s v="DINS-POL-201409"/>
    <x v="2"/>
    <x v="0"/>
    <x v="0"/>
    <x v="1"/>
    <x v="7"/>
    <d v="2023-07-02T00:00:00"/>
    <s v="Annual"/>
    <d v="2024-01-18T00:00:00"/>
    <x v="1"/>
    <n v="3997"/>
    <n v="4169"/>
    <n v="2"/>
    <d v="2024-01-20T00:00:00"/>
    <x v="0"/>
    <x v="0"/>
    <x v="2"/>
    <n v="0.9587"/>
    <n v="200"/>
    <n v="2024"/>
    <s v="January"/>
  </r>
  <r>
    <s v="DINS-CLM-101410"/>
    <s v="DINS-CUS-501410"/>
    <s v="DINS-POL-201410"/>
    <x v="2"/>
    <x v="2"/>
    <x v="0"/>
    <x v="1"/>
    <x v="6"/>
    <d v="2023-05-07T00:00:00"/>
    <s v="Annual"/>
    <d v="2024-02-07T00:00:00"/>
    <x v="1"/>
    <n v="4616"/>
    <n v="4564"/>
    <n v="22"/>
    <d v="2024-02-29T00:00:00"/>
    <x v="0"/>
    <x v="0"/>
    <x v="1"/>
    <n v="1.0114000000000001"/>
    <n v="276"/>
    <n v="2024"/>
    <s v="February"/>
  </r>
  <r>
    <s v="DINS-CLM-101411"/>
    <s v="DINS-CUS-501411"/>
    <s v="DINS-POL-201411"/>
    <x v="4"/>
    <x v="2"/>
    <x v="4"/>
    <x v="1"/>
    <x v="0"/>
    <d v="2023-11-10T00:00:00"/>
    <s v="Monthly"/>
    <d v="2024-06-23T00:00:00"/>
    <x v="1"/>
    <n v="16111"/>
    <n v="8466"/>
    <n v="44"/>
    <d v="2024-08-06T00:00:00"/>
    <x v="0"/>
    <x v="0"/>
    <x v="0"/>
    <n v="1.903"/>
    <n v="226"/>
    <n v="2024"/>
    <s v="June"/>
  </r>
  <r>
    <s v="DINS-CLM-101412"/>
    <s v="DINS-CUS-501412"/>
    <s v="DINS-POL-201412"/>
    <x v="0"/>
    <x v="2"/>
    <x v="0"/>
    <x v="2"/>
    <x v="1"/>
    <d v="2023-10-22T00:00:00"/>
    <s v="Annual"/>
    <d v="2024-09-18T00:00:00"/>
    <x v="1"/>
    <n v="57663"/>
    <n v="7475"/>
    <n v="11"/>
    <d v="2024-09-29T00:00:00"/>
    <x v="0"/>
    <x v="0"/>
    <x v="2"/>
    <n v="7.7141000000000002"/>
    <n v="332"/>
    <n v="2024"/>
    <s v="September"/>
  </r>
  <r>
    <s v="DINS-CLM-101413"/>
    <s v="DINS-CUS-501413"/>
    <s v="DINS-POL-201413"/>
    <x v="3"/>
    <x v="1"/>
    <x v="2"/>
    <x v="2"/>
    <x v="4"/>
    <d v="2024-02-28T00:00:00"/>
    <s v="Annual"/>
    <d v="2024-10-26T00:00:00"/>
    <x v="1"/>
    <n v="27461"/>
    <n v="3728"/>
    <n v="18"/>
    <d v="2024-11-13T00:00:00"/>
    <x v="0"/>
    <x v="0"/>
    <x v="0"/>
    <n v="7.3661000000000003"/>
    <n v="241"/>
    <n v="2024"/>
    <s v="October"/>
  </r>
  <r>
    <s v="DINS-CLM-101414"/>
    <s v="DINS-CUS-501414"/>
    <s v="DINS-POL-201414"/>
    <x v="3"/>
    <x v="1"/>
    <x v="0"/>
    <x v="0"/>
    <x v="2"/>
    <d v="2023-02-25T00:00:00"/>
    <s v="Annual"/>
    <d v="2024-01-11T00:00:00"/>
    <x v="1"/>
    <n v="87839"/>
    <n v="2053"/>
    <n v="30"/>
    <d v="2024-02-10T00:00:00"/>
    <x v="0"/>
    <x v="0"/>
    <x v="2"/>
    <n v="42.785699999999999"/>
    <n v="320"/>
    <n v="2024"/>
    <s v="January"/>
  </r>
  <r>
    <s v="DINS-CLM-101415"/>
    <s v="DINS-CUS-501415"/>
    <s v="DINS-POL-201415"/>
    <x v="3"/>
    <x v="1"/>
    <x v="2"/>
    <x v="2"/>
    <x v="4"/>
    <d v="2023-07-10T00:00:00"/>
    <s v="Monthly"/>
    <d v="2024-04-17T00:00:00"/>
    <x v="1"/>
    <n v="54224"/>
    <n v="2604"/>
    <n v="2"/>
    <d v="2024-04-19T00:00:00"/>
    <x v="0"/>
    <x v="0"/>
    <x v="1"/>
    <n v="20.8233"/>
    <n v="282"/>
    <n v="2024"/>
    <s v="April"/>
  </r>
  <r>
    <s v="DINS-CLM-101416"/>
    <s v="DINS-CUS-501416"/>
    <s v="DINS-POL-201416"/>
    <x v="0"/>
    <x v="1"/>
    <x v="2"/>
    <x v="0"/>
    <x v="4"/>
    <d v="2023-07-12T00:00:00"/>
    <s v="Annual"/>
    <d v="2024-05-18T00:00:00"/>
    <x v="1"/>
    <n v="47865"/>
    <n v="5708"/>
    <n v="24"/>
    <d v="2024-06-11T00:00:00"/>
    <x v="0"/>
    <x v="0"/>
    <x v="1"/>
    <n v="8.3856000000000002"/>
    <n v="311"/>
    <n v="2024"/>
    <s v="May"/>
  </r>
  <r>
    <s v="DINS-CLM-101417"/>
    <s v="DINS-CUS-501417"/>
    <s v="DINS-POL-201417"/>
    <x v="0"/>
    <x v="2"/>
    <x v="5"/>
    <x v="0"/>
    <x v="1"/>
    <d v="2023-09-28T00:00:00"/>
    <s v="Monthly"/>
    <d v="2024-01-04T00:00:00"/>
    <x v="1"/>
    <n v="11098"/>
    <n v="5383"/>
    <n v="34"/>
    <d v="2024-02-07T00:00:00"/>
    <x v="0"/>
    <x v="0"/>
    <x v="1"/>
    <n v="2.0617000000000001"/>
    <n v="98"/>
    <n v="2024"/>
    <s v="January"/>
  </r>
  <r>
    <s v="DINS-CLM-101418"/>
    <s v="DINS-CUS-501418"/>
    <s v="DINS-POL-201418"/>
    <x v="5"/>
    <x v="0"/>
    <x v="3"/>
    <x v="1"/>
    <x v="0"/>
    <d v="2024-05-23T00:00:00"/>
    <s v="Annual"/>
    <d v="2024-10-29T00:00:00"/>
    <x v="1"/>
    <n v="34420"/>
    <n v="3689"/>
    <n v="6"/>
    <d v="2024-11-04T00:00:00"/>
    <x v="0"/>
    <x v="0"/>
    <x v="0"/>
    <n v="9.3303999999999991"/>
    <n v="159"/>
    <n v="2024"/>
    <s v="October"/>
  </r>
  <r>
    <s v="DINS-CLM-101419"/>
    <s v="DINS-CUS-501419"/>
    <s v="DINS-POL-201419"/>
    <x v="0"/>
    <x v="0"/>
    <x v="3"/>
    <x v="2"/>
    <x v="2"/>
    <d v="2024-11-01T00:00:00"/>
    <s v="Monthly"/>
    <d v="2024-12-31T00:00:00"/>
    <x v="2"/>
    <n v="50430"/>
    <n v="6493"/>
    <s v="N/A - Not Settled"/>
    <s v="N/A - Not Settled"/>
    <x v="0"/>
    <x v="0"/>
    <x v="0"/>
    <n v="7.7667999999999999"/>
    <n v="60"/>
    <n v="2024"/>
    <s v="December"/>
  </r>
  <r>
    <s v="DINS-CLM-101420"/>
    <s v="DINS-CUS-501420"/>
    <s v="DINS-POL-201420"/>
    <x v="3"/>
    <x v="0"/>
    <x v="3"/>
    <x v="2"/>
    <x v="6"/>
    <d v="2023-10-27T00:00:00"/>
    <s v="Annual"/>
    <d v="2024-03-27T00:00:00"/>
    <x v="1"/>
    <n v="98961"/>
    <n v="6437"/>
    <n v="7"/>
    <d v="2024-04-03T00:00:00"/>
    <x v="0"/>
    <x v="0"/>
    <x v="0"/>
    <n v="15.373799999999999"/>
    <n v="152"/>
    <n v="2024"/>
    <s v="March"/>
  </r>
  <r>
    <s v="DINS-CLM-101421"/>
    <s v="DINS-CUS-501421"/>
    <s v="DINS-POL-201421"/>
    <x v="4"/>
    <x v="1"/>
    <x v="1"/>
    <x v="0"/>
    <x v="7"/>
    <d v="2023-09-21T00:00:00"/>
    <s v="Annual"/>
    <d v="2024-08-22T00:00:00"/>
    <x v="1"/>
    <n v="8382"/>
    <n v="1050"/>
    <n v="22"/>
    <d v="2024-09-13T00:00:00"/>
    <x v="1"/>
    <x v="0"/>
    <x v="0"/>
    <n v="7.9828999999999999"/>
    <n v="336"/>
    <n v="2024"/>
    <s v="August"/>
  </r>
  <r>
    <s v="DINS-CLM-101422"/>
    <s v="DINS-CUS-501422"/>
    <s v="DINS-POL-201422"/>
    <x v="3"/>
    <x v="2"/>
    <x v="1"/>
    <x v="0"/>
    <x v="3"/>
    <d v="2023-05-27T00:00:00"/>
    <s v="Annual"/>
    <d v="2024-01-04T00:00:00"/>
    <x v="1"/>
    <n v="52637"/>
    <n v="2335"/>
    <n v="34"/>
    <d v="2024-02-07T00:00:00"/>
    <x v="0"/>
    <x v="0"/>
    <x v="1"/>
    <n v="22.5426"/>
    <n v="222"/>
    <n v="2024"/>
    <s v="January"/>
  </r>
  <r>
    <s v="DINS-CLM-101423"/>
    <s v="DINS-CUS-501423"/>
    <s v="DINS-POL-201423"/>
    <x v="5"/>
    <x v="1"/>
    <x v="0"/>
    <x v="1"/>
    <x v="1"/>
    <d v="2024-09-01T00:00:00"/>
    <s v="Annual"/>
    <d v="2024-12-24T00:00:00"/>
    <x v="1"/>
    <n v="74459"/>
    <n v="556"/>
    <n v="28"/>
    <d v="2025-01-21T00:00:00"/>
    <x v="0"/>
    <x v="0"/>
    <x v="0"/>
    <n v="133.91909999999999"/>
    <n v="114"/>
    <n v="2024"/>
    <s v="December"/>
  </r>
  <r>
    <s v="DINS-CLM-101424"/>
    <s v="DINS-CUS-501424"/>
    <s v="DINS-POL-201424"/>
    <x v="0"/>
    <x v="0"/>
    <x v="3"/>
    <x v="2"/>
    <x v="0"/>
    <d v="2023-05-24T00:00:00"/>
    <s v="Monthly"/>
    <d v="2024-04-19T00:00:00"/>
    <x v="1"/>
    <n v="46828"/>
    <n v="1285"/>
    <n v="19"/>
    <d v="2024-05-08T00:00:00"/>
    <x v="0"/>
    <x v="0"/>
    <x v="2"/>
    <n v="36.442"/>
    <n v="331"/>
    <n v="2024"/>
    <s v="April"/>
  </r>
  <r>
    <s v="DINS-CLM-101425"/>
    <s v="DINS-CUS-501425"/>
    <s v="DINS-POL-201425"/>
    <x v="3"/>
    <x v="0"/>
    <x v="1"/>
    <x v="2"/>
    <x v="3"/>
    <d v="2023-07-06T00:00:00"/>
    <s v="Annual"/>
    <d v="2024-05-09T00:00:00"/>
    <x v="1"/>
    <n v="24573"/>
    <n v="734"/>
    <n v="31"/>
    <d v="2024-06-09T00:00:00"/>
    <x v="1"/>
    <x v="0"/>
    <x v="1"/>
    <n v="33.478200000000001"/>
    <n v="308"/>
    <n v="2024"/>
    <s v="May"/>
  </r>
  <r>
    <s v="DINS-CLM-101426"/>
    <s v="DINS-CUS-501426"/>
    <s v="DINS-POL-201426"/>
    <x v="2"/>
    <x v="0"/>
    <x v="0"/>
    <x v="2"/>
    <x v="3"/>
    <d v="2024-05-27T00:00:00"/>
    <s v="Annual"/>
    <d v="2024-12-13T00:00:00"/>
    <x v="2"/>
    <n v="15439"/>
    <n v="1048"/>
    <s v="N/A - Not Settled"/>
    <s v="N/A - Not Settled"/>
    <x v="0"/>
    <x v="0"/>
    <x v="1"/>
    <n v="14.7319"/>
    <n v="200"/>
    <n v="2024"/>
    <s v="December"/>
  </r>
  <r>
    <s v="DINS-CLM-101427"/>
    <s v="DINS-CUS-501427"/>
    <s v="DINS-POL-201427"/>
    <x v="4"/>
    <x v="2"/>
    <x v="2"/>
    <x v="0"/>
    <x v="2"/>
    <d v="2023-10-20T00:00:00"/>
    <s v="Annual"/>
    <d v="2024-02-10T00:00:00"/>
    <x v="1"/>
    <n v="18004"/>
    <n v="931"/>
    <n v="45"/>
    <d v="2024-03-26T00:00:00"/>
    <x v="0"/>
    <x v="0"/>
    <x v="2"/>
    <n v="19.3383"/>
    <n v="113"/>
    <n v="2024"/>
    <s v="February"/>
  </r>
  <r>
    <s v="DINS-CLM-101428"/>
    <s v="DINS-CUS-501428"/>
    <s v="DINS-POL-201428"/>
    <x v="1"/>
    <x v="1"/>
    <x v="0"/>
    <x v="1"/>
    <x v="6"/>
    <d v="2024-04-22T00:00:00"/>
    <s v="Annual"/>
    <d v="2024-07-14T00:00:00"/>
    <x v="2"/>
    <n v="20133"/>
    <n v="3873"/>
    <s v="N/A - Not Settled"/>
    <s v="N/A - Not Settled"/>
    <x v="0"/>
    <x v="0"/>
    <x v="1"/>
    <n v="5.1982999999999997"/>
    <n v="83"/>
    <n v="2024"/>
    <s v="July"/>
  </r>
  <r>
    <s v="DINS-CLM-101429"/>
    <s v="DINS-CUS-501429"/>
    <s v="DINS-POL-201429"/>
    <x v="3"/>
    <x v="1"/>
    <x v="3"/>
    <x v="1"/>
    <x v="0"/>
    <d v="2024-07-25T00:00:00"/>
    <s v="Annual"/>
    <d v="2024-09-23T00:00:00"/>
    <x v="0"/>
    <n v="39545"/>
    <n v="4512"/>
    <s v="N/A - Not Settled"/>
    <s v="N/A - Not Settled"/>
    <x v="0"/>
    <x v="0"/>
    <x v="0"/>
    <n v="8.7644000000000002"/>
    <n v="60"/>
    <n v="2024"/>
    <s v="September"/>
  </r>
  <r>
    <s v="DINS-CLM-101430"/>
    <s v="DINS-CUS-501430"/>
    <s v="DINS-POL-201430"/>
    <x v="0"/>
    <x v="1"/>
    <x v="2"/>
    <x v="2"/>
    <x v="0"/>
    <d v="2024-04-08T00:00:00"/>
    <s v="Monthly"/>
    <d v="2024-08-29T00:00:00"/>
    <x v="1"/>
    <n v="30720"/>
    <n v="1546"/>
    <n v="18"/>
    <d v="2024-09-16T00:00:00"/>
    <x v="0"/>
    <x v="0"/>
    <x v="1"/>
    <n v="19.8706"/>
    <n v="143"/>
    <n v="2024"/>
    <s v="August"/>
  </r>
  <r>
    <s v="DINS-CLM-101431"/>
    <s v="DINS-CUS-501431"/>
    <s v="DINS-POL-201431"/>
    <x v="4"/>
    <x v="0"/>
    <x v="3"/>
    <x v="2"/>
    <x v="0"/>
    <d v="2024-03-03T00:00:00"/>
    <s v="Annual"/>
    <d v="2024-08-20T00:00:00"/>
    <x v="1"/>
    <n v="18850"/>
    <n v="8538"/>
    <n v="2"/>
    <d v="2024-08-22T00:00:00"/>
    <x v="0"/>
    <x v="0"/>
    <x v="2"/>
    <n v="2.2078000000000002"/>
    <n v="170"/>
    <n v="2024"/>
    <s v="August"/>
  </r>
  <r>
    <s v="DINS-CLM-101432"/>
    <s v="DINS-CUS-501432"/>
    <s v="DINS-POL-201432"/>
    <x v="3"/>
    <x v="1"/>
    <x v="1"/>
    <x v="2"/>
    <x v="1"/>
    <d v="2023-08-20T00:00:00"/>
    <s v="Annual"/>
    <d v="2024-01-27T00:00:00"/>
    <x v="1"/>
    <n v="21249"/>
    <n v="3336"/>
    <n v="33"/>
    <d v="2024-02-29T00:00:00"/>
    <x v="0"/>
    <x v="0"/>
    <x v="0"/>
    <n v="6.3696000000000002"/>
    <n v="160"/>
    <n v="2024"/>
    <s v="January"/>
  </r>
  <r>
    <s v="DINS-CLM-101433"/>
    <s v="DINS-CUS-501433"/>
    <s v="DINS-POL-201433"/>
    <x v="0"/>
    <x v="2"/>
    <x v="1"/>
    <x v="2"/>
    <x v="6"/>
    <d v="2024-03-31T00:00:00"/>
    <s v="Annual"/>
    <d v="2024-08-31T00:00:00"/>
    <x v="1"/>
    <n v="37627"/>
    <n v="5537"/>
    <n v="43"/>
    <d v="2024-10-13T00:00:00"/>
    <x v="1"/>
    <x v="1"/>
    <x v="0"/>
    <n v="6.7956000000000003"/>
    <n v="153"/>
    <n v="2024"/>
    <s v="August"/>
  </r>
  <r>
    <s v="DINS-CLM-101434"/>
    <s v="DINS-CUS-501434"/>
    <s v="DINS-POL-201434"/>
    <x v="2"/>
    <x v="0"/>
    <x v="5"/>
    <x v="1"/>
    <x v="7"/>
    <d v="2024-01-28T00:00:00"/>
    <s v="Monthly"/>
    <d v="2024-10-23T00:00:00"/>
    <x v="1"/>
    <n v="38943"/>
    <n v="530"/>
    <n v="38"/>
    <d v="2024-11-30T00:00:00"/>
    <x v="0"/>
    <x v="0"/>
    <x v="1"/>
    <n v="73.477400000000003"/>
    <n v="269"/>
    <n v="2024"/>
    <s v="October"/>
  </r>
  <r>
    <s v="DINS-CLM-101435"/>
    <s v="DINS-CUS-501435"/>
    <s v="DINS-POL-201435"/>
    <x v="5"/>
    <x v="0"/>
    <x v="0"/>
    <x v="2"/>
    <x v="2"/>
    <d v="2023-11-23T00:00:00"/>
    <s v="Annual"/>
    <d v="2024-06-15T00:00:00"/>
    <x v="1"/>
    <n v="12864"/>
    <n v="3854"/>
    <n v="39"/>
    <d v="2024-07-24T00:00:00"/>
    <x v="0"/>
    <x v="0"/>
    <x v="2"/>
    <n v="3.3378000000000001"/>
    <n v="205"/>
    <n v="2024"/>
    <s v="June"/>
  </r>
  <r>
    <s v="DINS-CLM-101436"/>
    <s v="DINS-CUS-501436"/>
    <s v="DINS-POL-201436"/>
    <x v="1"/>
    <x v="1"/>
    <x v="1"/>
    <x v="2"/>
    <x v="6"/>
    <d v="2023-08-21T00:00:00"/>
    <s v="Annual"/>
    <d v="2024-01-30T00:00:00"/>
    <x v="1"/>
    <n v="54734"/>
    <n v="6310"/>
    <n v="2"/>
    <d v="2024-02-01T00:00:00"/>
    <x v="0"/>
    <x v="0"/>
    <x v="0"/>
    <n v="8.6742000000000008"/>
    <n v="162"/>
    <n v="2024"/>
    <s v="January"/>
  </r>
  <r>
    <s v="DINS-CLM-101437"/>
    <s v="DINS-CUS-501437"/>
    <s v="DINS-POL-201437"/>
    <x v="1"/>
    <x v="2"/>
    <x v="1"/>
    <x v="1"/>
    <x v="5"/>
    <d v="2023-11-01T00:00:00"/>
    <s v="Monthly"/>
    <d v="2024-07-15T00:00:00"/>
    <x v="1"/>
    <n v="59138"/>
    <n v="2348"/>
    <n v="21"/>
    <d v="2024-08-05T00:00:00"/>
    <x v="0"/>
    <x v="0"/>
    <x v="1"/>
    <n v="25.186499999999999"/>
    <n v="257"/>
    <n v="2024"/>
    <s v="July"/>
  </r>
  <r>
    <s v="DINS-CLM-101438"/>
    <s v="DINS-CUS-501438"/>
    <s v="DINS-POL-201438"/>
    <x v="2"/>
    <x v="1"/>
    <x v="4"/>
    <x v="0"/>
    <x v="3"/>
    <d v="2023-06-29T00:00:00"/>
    <s v="Annual"/>
    <d v="2024-04-10T00:00:00"/>
    <x v="0"/>
    <n v="13741"/>
    <n v="4772"/>
    <s v="N/A - Not Settled"/>
    <s v="N/A - Not Settled"/>
    <x v="1"/>
    <x v="1"/>
    <x v="2"/>
    <n v="2.8795000000000002"/>
    <n v="286"/>
    <n v="2024"/>
    <s v="April"/>
  </r>
  <r>
    <s v="DINS-CLM-101439"/>
    <s v="DINS-CUS-501439"/>
    <s v="DINS-POL-201439"/>
    <x v="4"/>
    <x v="1"/>
    <x v="5"/>
    <x v="2"/>
    <x v="3"/>
    <d v="2023-12-14T00:00:00"/>
    <s v="Monthly"/>
    <d v="2024-03-28T00:00:00"/>
    <x v="1"/>
    <n v="5072"/>
    <n v="2350"/>
    <n v="31"/>
    <d v="2024-04-28T00:00:00"/>
    <x v="0"/>
    <x v="0"/>
    <x v="2"/>
    <n v="2.1583000000000001"/>
    <n v="105"/>
    <n v="2024"/>
    <s v="March"/>
  </r>
  <r>
    <s v="DINS-CLM-101440"/>
    <s v="DINS-CUS-501440"/>
    <s v="DINS-POL-201440"/>
    <x v="3"/>
    <x v="1"/>
    <x v="0"/>
    <x v="1"/>
    <x v="4"/>
    <d v="2023-02-12T00:00:00"/>
    <s v="Annual"/>
    <d v="2024-01-05T00:00:00"/>
    <x v="1"/>
    <n v="38552"/>
    <n v="6691"/>
    <n v="25"/>
    <d v="2024-01-30T00:00:00"/>
    <x v="0"/>
    <x v="0"/>
    <x v="2"/>
    <n v="5.7618"/>
    <n v="327"/>
    <n v="2024"/>
    <s v="January"/>
  </r>
  <r>
    <s v="DINS-CLM-101441"/>
    <s v="DINS-CUS-501441"/>
    <s v="DINS-POL-201441"/>
    <x v="3"/>
    <x v="0"/>
    <x v="0"/>
    <x v="1"/>
    <x v="7"/>
    <d v="2023-09-28T00:00:00"/>
    <s v="Annual"/>
    <d v="2024-09-14T00:00:00"/>
    <x v="1"/>
    <n v="98197"/>
    <n v="3191"/>
    <n v="20"/>
    <d v="2024-10-04T00:00:00"/>
    <x v="0"/>
    <x v="0"/>
    <x v="1"/>
    <n v="30.773099999999999"/>
    <n v="352"/>
    <n v="2024"/>
    <s v="September"/>
  </r>
  <r>
    <s v="DINS-CLM-101442"/>
    <s v="DINS-CUS-501442"/>
    <s v="DINS-POL-201442"/>
    <x v="2"/>
    <x v="0"/>
    <x v="2"/>
    <x v="0"/>
    <x v="4"/>
    <d v="2023-04-04T00:00:00"/>
    <s v="Monthly"/>
    <d v="2024-01-24T00:00:00"/>
    <x v="1"/>
    <n v="32101"/>
    <n v="5473"/>
    <n v="32"/>
    <d v="2024-02-25T00:00:00"/>
    <x v="1"/>
    <x v="0"/>
    <x v="2"/>
    <n v="5.8653000000000004"/>
    <n v="295"/>
    <n v="2024"/>
    <s v="January"/>
  </r>
  <r>
    <s v="DINS-CLM-101443"/>
    <s v="DINS-CUS-501443"/>
    <s v="DINS-POL-201443"/>
    <x v="5"/>
    <x v="0"/>
    <x v="5"/>
    <x v="0"/>
    <x v="5"/>
    <d v="2023-12-01T00:00:00"/>
    <s v="Monthly"/>
    <d v="2024-10-01T00:00:00"/>
    <x v="2"/>
    <n v="39067"/>
    <n v="3591"/>
    <s v="N/A - Not Settled"/>
    <s v="N/A - Not Settled"/>
    <x v="0"/>
    <x v="0"/>
    <x v="2"/>
    <n v="10.879099999999999"/>
    <n v="305"/>
    <n v="2024"/>
    <s v="October"/>
  </r>
  <r>
    <s v="DINS-CLM-101444"/>
    <s v="DINS-CUS-501444"/>
    <s v="DINS-POL-201444"/>
    <x v="0"/>
    <x v="1"/>
    <x v="2"/>
    <x v="0"/>
    <x v="3"/>
    <d v="2023-11-11T00:00:00"/>
    <s v="Annual"/>
    <d v="2024-08-21T00:00:00"/>
    <x v="0"/>
    <n v="53732"/>
    <n v="3102"/>
    <s v="N/A - Not Settled"/>
    <s v="N/A - Not Settled"/>
    <x v="0"/>
    <x v="0"/>
    <x v="2"/>
    <n v="17.3217"/>
    <n v="284"/>
    <n v="2024"/>
    <s v="August"/>
  </r>
  <r>
    <s v="DINS-CLM-101445"/>
    <s v="DINS-CUS-501445"/>
    <s v="DINS-POL-201445"/>
    <x v="0"/>
    <x v="0"/>
    <x v="2"/>
    <x v="0"/>
    <x v="6"/>
    <d v="2023-12-14T00:00:00"/>
    <s v="Monthly"/>
    <d v="2024-05-25T00:00:00"/>
    <x v="0"/>
    <n v="4156"/>
    <n v="5795"/>
    <s v="N/A - Not Settled"/>
    <s v="N/A - Not Settled"/>
    <x v="0"/>
    <x v="0"/>
    <x v="2"/>
    <n v="0.71719999999999995"/>
    <n v="163"/>
    <n v="2024"/>
    <s v="May"/>
  </r>
  <r>
    <s v="DINS-CLM-101446"/>
    <s v="DINS-CUS-501446"/>
    <s v="DINS-POL-201446"/>
    <x v="1"/>
    <x v="0"/>
    <x v="1"/>
    <x v="2"/>
    <x v="1"/>
    <d v="2024-01-19T00:00:00"/>
    <s v="Monthly"/>
    <d v="2024-12-15T00:00:00"/>
    <x v="1"/>
    <n v="24139"/>
    <n v="1247"/>
    <n v="27"/>
    <d v="2025-01-11T00:00:00"/>
    <x v="1"/>
    <x v="1"/>
    <x v="0"/>
    <n v="19.357700000000001"/>
    <n v="331"/>
    <n v="2024"/>
    <s v="December"/>
  </r>
  <r>
    <s v="DINS-CLM-101447"/>
    <s v="DINS-CUS-501447"/>
    <s v="DINS-POL-201447"/>
    <x v="0"/>
    <x v="0"/>
    <x v="2"/>
    <x v="2"/>
    <x v="1"/>
    <d v="2024-06-29T00:00:00"/>
    <s v="Annual"/>
    <d v="2024-12-27T00:00:00"/>
    <x v="1"/>
    <n v="16999"/>
    <n v="4834"/>
    <n v="7"/>
    <d v="2025-01-03T00:00:00"/>
    <x v="0"/>
    <x v="0"/>
    <x v="2"/>
    <n v="3.5165000000000002"/>
    <n v="181"/>
    <n v="2024"/>
    <s v="December"/>
  </r>
  <r>
    <s v="DINS-CLM-101448"/>
    <s v="DINS-CUS-501448"/>
    <s v="DINS-POL-201448"/>
    <x v="4"/>
    <x v="0"/>
    <x v="3"/>
    <x v="1"/>
    <x v="5"/>
    <d v="2023-02-13T00:00:00"/>
    <s v="Annual"/>
    <d v="2024-01-10T00:00:00"/>
    <x v="2"/>
    <n v="16965"/>
    <n v="5716"/>
    <s v="N/A - Not Settled"/>
    <s v="N/A - Not Settled"/>
    <x v="0"/>
    <x v="0"/>
    <x v="1"/>
    <n v="2.968"/>
    <n v="331"/>
    <n v="2024"/>
    <s v="January"/>
  </r>
  <r>
    <s v="DINS-CLM-101449"/>
    <s v="DINS-CUS-501449"/>
    <s v="DINS-POL-201449"/>
    <x v="5"/>
    <x v="2"/>
    <x v="4"/>
    <x v="2"/>
    <x v="4"/>
    <d v="2024-01-11T00:00:00"/>
    <s v="Monthly"/>
    <d v="2024-05-16T00:00:00"/>
    <x v="0"/>
    <n v="45087"/>
    <n v="8303"/>
    <s v="N/A - Not Settled"/>
    <s v="N/A - Not Settled"/>
    <x v="1"/>
    <x v="0"/>
    <x v="0"/>
    <n v="5.4302000000000001"/>
    <n v="126"/>
    <n v="2024"/>
    <s v="May"/>
  </r>
  <r>
    <s v="DINS-CLM-101450"/>
    <s v="DINS-CUS-501450"/>
    <s v="DINS-POL-201450"/>
    <x v="3"/>
    <x v="0"/>
    <x v="5"/>
    <x v="2"/>
    <x v="0"/>
    <d v="2024-05-14T00:00:00"/>
    <s v="Annual"/>
    <d v="2024-12-25T00:00:00"/>
    <x v="1"/>
    <n v="25781"/>
    <n v="3027"/>
    <n v="10"/>
    <d v="2025-01-04T00:00:00"/>
    <x v="0"/>
    <x v="0"/>
    <x v="0"/>
    <n v="8.5169999999999995"/>
    <n v="225"/>
    <n v="2024"/>
    <s v="December"/>
  </r>
  <r>
    <s v="DINS-CLM-101451"/>
    <s v="DINS-CUS-501451"/>
    <s v="DINS-POL-201451"/>
    <x v="5"/>
    <x v="0"/>
    <x v="1"/>
    <x v="1"/>
    <x v="6"/>
    <d v="2024-02-05T00:00:00"/>
    <s v="Monthly"/>
    <d v="2024-11-26T00:00:00"/>
    <x v="0"/>
    <n v="37996"/>
    <n v="3282"/>
    <s v="N/A - Not Settled"/>
    <s v="N/A - Not Settled"/>
    <x v="0"/>
    <x v="0"/>
    <x v="2"/>
    <n v="11.5771"/>
    <n v="295"/>
    <n v="2024"/>
    <s v="November"/>
  </r>
  <r>
    <s v="DINS-CLM-101452"/>
    <s v="DINS-CUS-501452"/>
    <s v="DINS-POL-201452"/>
    <x v="2"/>
    <x v="0"/>
    <x v="2"/>
    <x v="1"/>
    <x v="4"/>
    <d v="2024-06-13T00:00:00"/>
    <s v="Monthly"/>
    <d v="2024-12-30T00:00:00"/>
    <x v="1"/>
    <n v="10932"/>
    <n v="8934"/>
    <n v="13"/>
    <d v="2025-01-12T00:00:00"/>
    <x v="0"/>
    <x v="0"/>
    <x v="0"/>
    <n v="1.2236"/>
    <n v="200"/>
    <n v="2024"/>
    <s v="December"/>
  </r>
  <r>
    <s v="DINS-CLM-101453"/>
    <s v="DINS-CUS-501453"/>
    <s v="DINS-POL-201453"/>
    <x v="3"/>
    <x v="1"/>
    <x v="3"/>
    <x v="1"/>
    <x v="1"/>
    <d v="2024-03-29T00:00:00"/>
    <s v="Annual"/>
    <d v="2024-10-26T00:00:00"/>
    <x v="2"/>
    <n v="50018"/>
    <n v="1626"/>
    <s v="N/A - Not Settled"/>
    <s v="N/A - Not Settled"/>
    <x v="1"/>
    <x v="1"/>
    <x v="1"/>
    <n v="30.761399999999998"/>
    <n v="211"/>
    <n v="2024"/>
    <s v="October"/>
  </r>
  <r>
    <s v="DINS-CLM-101454"/>
    <s v="DINS-CUS-501454"/>
    <s v="DINS-POL-201454"/>
    <x v="0"/>
    <x v="0"/>
    <x v="5"/>
    <x v="1"/>
    <x v="6"/>
    <d v="2024-07-26T00:00:00"/>
    <s v="Monthly"/>
    <d v="2024-11-21T00:00:00"/>
    <x v="0"/>
    <n v="31173"/>
    <n v="6700"/>
    <s v="N/A - Not Settled"/>
    <s v="N/A - Not Settled"/>
    <x v="0"/>
    <x v="0"/>
    <x v="1"/>
    <n v="4.6527000000000003"/>
    <n v="118"/>
    <n v="2024"/>
    <s v="November"/>
  </r>
  <r>
    <s v="DINS-CLM-101455"/>
    <s v="DINS-CUS-501455"/>
    <s v="DINS-POL-201455"/>
    <x v="3"/>
    <x v="0"/>
    <x v="0"/>
    <x v="1"/>
    <x v="5"/>
    <d v="2023-06-13T00:00:00"/>
    <s v="Monthly"/>
    <d v="2024-02-02T00:00:00"/>
    <x v="2"/>
    <n v="85616"/>
    <n v="8263"/>
    <s v="N/A - Not Settled"/>
    <s v="N/A - Not Settled"/>
    <x v="0"/>
    <x v="0"/>
    <x v="1"/>
    <n v="10.3614"/>
    <n v="234"/>
    <n v="2024"/>
    <s v="February"/>
  </r>
  <r>
    <s v="DINS-CLM-101456"/>
    <s v="DINS-CUS-501456"/>
    <s v="DINS-POL-201456"/>
    <x v="3"/>
    <x v="0"/>
    <x v="2"/>
    <x v="1"/>
    <x v="2"/>
    <d v="2023-10-30T00:00:00"/>
    <s v="Monthly"/>
    <d v="2024-10-16T00:00:00"/>
    <x v="0"/>
    <n v="35091"/>
    <n v="715"/>
    <s v="N/A - Not Settled"/>
    <s v="N/A - Not Settled"/>
    <x v="0"/>
    <x v="0"/>
    <x v="2"/>
    <n v="49.078299999999999"/>
    <n v="352"/>
    <n v="2024"/>
    <s v="October"/>
  </r>
  <r>
    <s v="DINS-CLM-101457"/>
    <s v="DINS-CUS-501457"/>
    <s v="DINS-POL-201457"/>
    <x v="0"/>
    <x v="1"/>
    <x v="5"/>
    <x v="0"/>
    <x v="1"/>
    <d v="2024-07-27T00:00:00"/>
    <s v="Monthly"/>
    <d v="2024-09-06T00:00:00"/>
    <x v="0"/>
    <n v="10409"/>
    <n v="5979"/>
    <s v="N/A - Not Settled"/>
    <s v="N/A - Not Settled"/>
    <x v="1"/>
    <x v="0"/>
    <x v="0"/>
    <n v="1.7408999999999999"/>
    <n v="41"/>
    <n v="2024"/>
    <s v="September"/>
  </r>
  <r>
    <s v="DINS-CLM-101458"/>
    <s v="DINS-CUS-501458"/>
    <s v="DINS-POL-201458"/>
    <x v="1"/>
    <x v="2"/>
    <x v="1"/>
    <x v="1"/>
    <x v="1"/>
    <d v="2023-12-20T00:00:00"/>
    <s v="Monthly"/>
    <d v="2024-10-07T00:00:00"/>
    <x v="0"/>
    <n v="14838"/>
    <n v="1768"/>
    <s v="N/A - Not Settled"/>
    <s v="N/A - Not Settled"/>
    <x v="0"/>
    <x v="0"/>
    <x v="2"/>
    <n v="8.3925000000000001"/>
    <n v="292"/>
    <n v="2024"/>
    <s v="October"/>
  </r>
  <r>
    <s v="DINS-CLM-101459"/>
    <s v="DINS-CUS-501459"/>
    <s v="DINS-POL-201459"/>
    <x v="1"/>
    <x v="2"/>
    <x v="1"/>
    <x v="0"/>
    <x v="4"/>
    <d v="2023-03-19T00:00:00"/>
    <s v="Annual"/>
    <d v="2024-03-15T00:00:00"/>
    <x v="2"/>
    <n v="52210"/>
    <n v="1140"/>
    <s v="N/A - Not Settled"/>
    <s v="N/A - Not Settled"/>
    <x v="0"/>
    <x v="0"/>
    <x v="2"/>
    <n v="45.798200000000001"/>
    <n v="362"/>
    <n v="2024"/>
    <s v="March"/>
  </r>
  <r>
    <s v="DINS-CLM-101460"/>
    <s v="DINS-CUS-501460"/>
    <s v="DINS-POL-201460"/>
    <x v="5"/>
    <x v="0"/>
    <x v="0"/>
    <x v="0"/>
    <x v="1"/>
    <d v="2024-07-03T00:00:00"/>
    <s v="Annual"/>
    <d v="2024-08-24T00:00:00"/>
    <x v="1"/>
    <n v="30933"/>
    <n v="4972"/>
    <n v="34"/>
    <d v="2024-09-27T00:00:00"/>
    <x v="0"/>
    <x v="0"/>
    <x v="0"/>
    <n v="6.2214"/>
    <n v="52"/>
    <n v="2024"/>
    <s v="August"/>
  </r>
  <r>
    <s v="DINS-CLM-101461"/>
    <s v="DINS-CUS-501461"/>
    <s v="DINS-POL-201461"/>
    <x v="0"/>
    <x v="1"/>
    <x v="1"/>
    <x v="1"/>
    <x v="7"/>
    <d v="2023-01-31T00:00:00"/>
    <s v="Annual"/>
    <d v="2024-01-16T00:00:00"/>
    <x v="1"/>
    <n v="25677"/>
    <n v="4167"/>
    <n v="5"/>
    <d v="2024-01-21T00:00:00"/>
    <x v="0"/>
    <x v="0"/>
    <x v="1"/>
    <n v="6.1619999999999999"/>
    <n v="350"/>
    <n v="2024"/>
    <s v="January"/>
  </r>
  <r>
    <s v="DINS-CLM-101462"/>
    <s v="DINS-CUS-501462"/>
    <s v="DINS-POL-201462"/>
    <x v="0"/>
    <x v="2"/>
    <x v="5"/>
    <x v="1"/>
    <x v="4"/>
    <d v="2023-09-24T00:00:00"/>
    <s v="Annual"/>
    <d v="2024-03-07T00:00:00"/>
    <x v="0"/>
    <n v="20544"/>
    <n v="7535"/>
    <s v="N/A - Not Settled"/>
    <s v="N/A - Not Settled"/>
    <x v="1"/>
    <x v="0"/>
    <x v="2"/>
    <n v="2.7265000000000001"/>
    <n v="165"/>
    <n v="2024"/>
    <s v="March"/>
  </r>
  <r>
    <s v="DINS-CLM-101463"/>
    <s v="DINS-CUS-501463"/>
    <s v="DINS-POL-201463"/>
    <x v="5"/>
    <x v="1"/>
    <x v="0"/>
    <x v="2"/>
    <x v="6"/>
    <d v="2023-10-10T00:00:00"/>
    <s v="Annual"/>
    <d v="2024-08-04T00:00:00"/>
    <x v="2"/>
    <n v="44268"/>
    <n v="3243"/>
    <s v="N/A - Not Settled"/>
    <s v="N/A - Not Settled"/>
    <x v="0"/>
    <x v="0"/>
    <x v="1"/>
    <n v="13.6503"/>
    <n v="299"/>
    <n v="2024"/>
    <s v="August"/>
  </r>
  <r>
    <s v="DINS-CLM-101464"/>
    <s v="DINS-CUS-501464"/>
    <s v="DINS-POL-201464"/>
    <x v="2"/>
    <x v="1"/>
    <x v="4"/>
    <x v="2"/>
    <x v="4"/>
    <d v="2023-08-03T00:00:00"/>
    <s v="Annual"/>
    <d v="2024-05-24T00:00:00"/>
    <x v="1"/>
    <n v="19300"/>
    <n v="5854"/>
    <n v="21"/>
    <d v="2024-06-14T00:00:00"/>
    <x v="0"/>
    <x v="0"/>
    <x v="1"/>
    <n v="3.2968999999999999"/>
    <n v="295"/>
    <n v="2024"/>
    <s v="May"/>
  </r>
  <r>
    <s v="DINS-CLM-101465"/>
    <s v="DINS-CUS-501465"/>
    <s v="DINS-POL-201465"/>
    <x v="4"/>
    <x v="0"/>
    <x v="3"/>
    <x v="1"/>
    <x v="3"/>
    <d v="2023-05-22T00:00:00"/>
    <s v="Annual"/>
    <d v="2024-03-09T00:00:00"/>
    <x v="1"/>
    <n v="2774"/>
    <n v="730"/>
    <n v="37"/>
    <d v="2024-04-15T00:00:00"/>
    <x v="0"/>
    <x v="0"/>
    <x v="0"/>
    <n v="3.8"/>
    <n v="292"/>
    <n v="2024"/>
    <s v="March"/>
  </r>
  <r>
    <s v="DINS-CLM-101466"/>
    <s v="DINS-CUS-501466"/>
    <s v="DINS-POL-201466"/>
    <x v="5"/>
    <x v="2"/>
    <x v="4"/>
    <x v="0"/>
    <x v="3"/>
    <d v="2023-07-17T00:00:00"/>
    <s v="Annual"/>
    <d v="2024-04-11T00:00:00"/>
    <x v="1"/>
    <n v="13596"/>
    <n v="1302"/>
    <n v="37"/>
    <d v="2024-05-18T00:00:00"/>
    <x v="0"/>
    <x v="0"/>
    <x v="0"/>
    <n v="10.442399999999999"/>
    <n v="269"/>
    <n v="2024"/>
    <s v="April"/>
  </r>
  <r>
    <s v="DINS-CLM-101467"/>
    <s v="DINS-CUS-501467"/>
    <s v="DINS-POL-201467"/>
    <x v="4"/>
    <x v="1"/>
    <x v="4"/>
    <x v="2"/>
    <x v="6"/>
    <d v="2023-08-14T00:00:00"/>
    <s v="Annual"/>
    <d v="2024-05-13T00:00:00"/>
    <x v="1"/>
    <n v="2921"/>
    <n v="1149"/>
    <n v="4"/>
    <d v="2024-05-17T00:00:00"/>
    <x v="0"/>
    <x v="0"/>
    <x v="0"/>
    <n v="2.5421999999999998"/>
    <n v="273"/>
    <n v="2024"/>
    <s v="May"/>
  </r>
  <r>
    <s v="DINS-CLM-101468"/>
    <s v="DINS-CUS-501468"/>
    <s v="DINS-POL-201468"/>
    <x v="3"/>
    <x v="2"/>
    <x v="0"/>
    <x v="0"/>
    <x v="5"/>
    <d v="2024-08-09T00:00:00"/>
    <s v="Monthly"/>
    <d v="2024-11-11T00:00:00"/>
    <x v="1"/>
    <n v="50267"/>
    <n v="8436"/>
    <n v="11"/>
    <d v="2024-11-22T00:00:00"/>
    <x v="0"/>
    <x v="0"/>
    <x v="1"/>
    <n v="5.9585999999999997"/>
    <n v="94"/>
    <n v="2024"/>
    <s v="November"/>
  </r>
  <r>
    <s v="DINS-CLM-101469"/>
    <s v="DINS-CUS-501469"/>
    <s v="DINS-POL-201469"/>
    <x v="4"/>
    <x v="2"/>
    <x v="1"/>
    <x v="0"/>
    <x v="4"/>
    <d v="2023-08-19T00:00:00"/>
    <s v="Annual"/>
    <d v="2024-08-12T00:00:00"/>
    <x v="1"/>
    <n v="5529"/>
    <n v="7188"/>
    <n v="20"/>
    <d v="2024-09-01T00:00:00"/>
    <x v="0"/>
    <x v="0"/>
    <x v="0"/>
    <n v="0.76919999999999999"/>
    <n v="359"/>
    <n v="2024"/>
    <s v="August"/>
  </r>
  <r>
    <s v="DINS-CLM-101470"/>
    <s v="DINS-CUS-501470"/>
    <s v="DINS-POL-201470"/>
    <x v="1"/>
    <x v="1"/>
    <x v="2"/>
    <x v="2"/>
    <x v="5"/>
    <d v="2024-01-03T00:00:00"/>
    <s v="Monthly"/>
    <d v="2024-11-22T00:00:00"/>
    <x v="1"/>
    <n v="35618"/>
    <n v="507"/>
    <n v="34"/>
    <d v="2024-12-26T00:00:00"/>
    <x v="0"/>
    <x v="0"/>
    <x v="0"/>
    <n v="70.252499999999998"/>
    <n v="324"/>
    <n v="2024"/>
    <s v="November"/>
  </r>
  <r>
    <s v="DINS-CLM-101471"/>
    <s v="DINS-CUS-501471"/>
    <s v="DINS-POL-201471"/>
    <x v="2"/>
    <x v="0"/>
    <x v="2"/>
    <x v="1"/>
    <x v="6"/>
    <d v="2023-03-15T00:00:00"/>
    <s v="Monthly"/>
    <d v="2024-02-12T00:00:00"/>
    <x v="0"/>
    <n v="15619"/>
    <n v="1823"/>
    <s v="N/A - Not Settled"/>
    <s v="N/A - Not Settled"/>
    <x v="0"/>
    <x v="0"/>
    <x v="1"/>
    <n v="8.5677000000000003"/>
    <n v="334"/>
    <n v="2024"/>
    <s v="February"/>
  </r>
  <r>
    <s v="DINS-CLM-101472"/>
    <s v="DINS-CUS-501472"/>
    <s v="DINS-POL-201472"/>
    <x v="2"/>
    <x v="2"/>
    <x v="0"/>
    <x v="2"/>
    <x v="0"/>
    <d v="2024-07-23T00:00:00"/>
    <s v="Annual"/>
    <d v="2024-12-17T00:00:00"/>
    <x v="1"/>
    <n v="16654"/>
    <n v="8317"/>
    <n v="41"/>
    <d v="2025-01-27T00:00:00"/>
    <x v="0"/>
    <x v="0"/>
    <x v="2"/>
    <n v="2.0024000000000002"/>
    <n v="147"/>
    <n v="2024"/>
    <s v="December"/>
  </r>
  <r>
    <s v="DINS-CLM-101473"/>
    <s v="DINS-CUS-501473"/>
    <s v="DINS-POL-201473"/>
    <x v="4"/>
    <x v="2"/>
    <x v="3"/>
    <x v="1"/>
    <x v="2"/>
    <d v="2023-10-20T00:00:00"/>
    <s v="Annual"/>
    <d v="2024-05-14T00:00:00"/>
    <x v="0"/>
    <n v="17353"/>
    <n v="5684"/>
    <s v="N/A - Not Settled"/>
    <s v="N/A - Not Settled"/>
    <x v="0"/>
    <x v="0"/>
    <x v="1"/>
    <n v="3.0529999999999999"/>
    <n v="207"/>
    <n v="2024"/>
    <s v="May"/>
  </r>
  <r>
    <s v="DINS-CLM-101474"/>
    <s v="DINS-CUS-501474"/>
    <s v="DINS-POL-201474"/>
    <x v="0"/>
    <x v="1"/>
    <x v="2"/>
    <x v="1"/>
    <x v="3"/>
    <d v="2024-05-13T00:00:00"/>
    <s v="Annual"/>
    <d v="2024-08-18T00:00:00"/>
    <x v="1"/>
    <n v="6584"/>
    <n v="7245"/>
    <n v="30"/>
    <d v="2024-09-17T00:00:00"/>
    <x v="0"/>
    <x v="0"/>
    <x v="0"/>
    <n v="0.90880000000000005"/>
    <n v="97"/>
    <n v="2024"/>
    <s v="August"/>
  </r>
  <r>
    <s v="DINS-CLM-101475"/>
    <s v="DINS-CUS-501475"/>
    <s v="DINS-POL-201475"/>
    <x v="2"/>
    <x v="1"/>
    <x v="5"/>
    <x v="0"/>
    <x v="5"/>
    <d v="2023-10-13T00:00:00"/>
    <s v="Monthly"/>
    <d v="2024-06-13T00:00:00"/>
    <x v="2"/>
    <n v="34034"/>
    <n v="3622"/>
    <s v="N/A - Not Settled"/>
    <s v="N/A - Not Settled"/>
    <x v="0"/>
    <x v="0"/>
    <x v="2"/>
    <n v="9.3964999999999996"/>
    <n v="244"/>
    <n v="2024"/>
    <s v="June"/>
  </r>
  <r>
    <s v="DINS-CLM-101476"/>
    <s v="DINS-CUS-501476"/>
    <s v="DINS-POL-201476"/>
    <x v="2"/>
    <x v="1"/>
    <x v="0"/>
    <x v="0"/>
    <x v="5"/>
    <d v="2023-09-11T00:00:00"/>
    <s v="Annual"/>
    <d v="2024-06-26T00:00:00"/>
    <x v="1"/>
    <n v="2350"/>
    <n v="7814"/>
    <n v="7"/>
    <d v="2024-07-03T00:00:00"/>
    <x v="0"/>
    <x v="0"/>
    <x v="2"/>
    <n v="0.30070000000000002"/>
    <n v="289"/>
    <n v="2024"/>
    <s v="June"/>
  </r>
  <r>
    <s v="DINS-CLM-101477"/>
    <s v="DINS-CUS-501477"/>
    <s v="DINS-POL-201477"/>
    <x v="2"/>
    <x v="1"/>
    <x v="3"/>
    <x v="0"/>
    <x v="2"/>
    <d v="2024-01-21T00:00:00"/>
    <s v="Annual"/>
    <d v="2024-08-22T00:00:00"/>
    <x v="2"/>
    <n v="37244"/>
    <n v="6472"/>
    <s v="N/A - Not Settled"/>
    <s v="N/A - Not Settled"/>
    <x v="0"/>
    <x v="0"/>
    <x v="0"/>
    <n v="5.7545999999999999"/>
    <n v="214"/>
    <n v="2024"/>
    <s v="August"/>
  </r>
  <r>
    <s v="DINS-CLM-101478"/>
    <s v="DINS-CUS-501478"/>
    <s v="DINS-POL-201478"/>
    <x v="1"/>
    <x v="1"/>
    <x v="3"/>
    <x v="1"/>
    <x v="1"/>
    <d v="2023-04-23T00:00:00"/>
    <s v="Monthly"/>
    <d v="2024-03-02T00:00:00"/>
    <x v="1"/>
    <n v="52338"/>
    <n v="6549"/>
    <n v="15"/>
    <d v="2024-03-17T00:00:00"/>
    <x v="0"/>
    <x v="0"/>
    <x v="0"/>
    <n v="7.9917999999999996"/>
    <n v="314"/>
    <n v="2024"/>
    <s v="March"/>
  </r>
  <r>
    <s v="DINS-CLM-101479"/>
    <s v="DINS-CUS-501479"/>
    <s v="DINS-POL-201479"/>
    <x v="0"/>
    <x v="2"/>
    <x v="1"/>
    <x v="0"/>
    <x v="2"/>
    <d v="2023-02-28T00:00:00"/>
    <s v="Monthly"/>
    <d v="2024-02-05T00:00:00"/>
    <x v="1"/>
    <n v="42749"/>
    <n v="8435"/>
    <n v="17"/>
    <d v="2024-02-22T00:00:00"/>
    <x v="0"/>
    <x v="0"/>
    <x v="1"/>
    <n v="5.0679999999999996"/>
    <n v="342"/>
    <n v="2024"/>
    <s v="February"/>
  </r>
  <r>
    <s v="DINS-CLM-101480"/>
    <s v="DINS-CUS-501480"/>
    <s v="DINS-POL-201480"/>
    <x v="0"/>
    <x v="1"/>
    <x v="2"/>
    <x v="2"/>
    <x v="3"/>
    <d v="2023-04-04T00:00:00"/>
    <s v="Annual"/>
    <d v="2024-01-22T00:00:00"/>
    <x v="1"/>
    <n v="49150"/>
    <n v="8116"/>
    <n v="15"/>
    <d v="2024-02-06T00:00:00"/>
    <x v="0"/>
    <x v="0"/>
    <x v="0"/>
    <n v="6.0559000000000003"/>
    <n v="293"/>
    <n v="2024"/>
    <s v="January"/>
  </r>
  <r>
    <s v="DINS-CLM-101481"/>
    <s v="DINS-CUS-501481"/>
    <s v="DINS-POL-201481"/>
    <x v="2"/>
    <x v="2"/>
    <x v="4"/>
    <x v="0"/>
    <x v="7"/>
    <d v="2023-11-08T00:00:00"/>
    <s v="Monthly"/>
    <d v="2024-02-27T00:00:00"/>
    <x v="1"/>
    <n v="10503"/>
    <n v="4595"/>
    <n v="23"/>
    <d v="2024-03-21T00:00:00"/>
    <x v="0"/>
    <x v="0"/>
    <x v="2"/>
    <n v="2.2856999999999998"/>
    <n v="111"/>
    <n v="2024"/>
    <s v="February"/>
  </r>
  <r>
    <s v="DINS-CLM-101482"/>
    <s v="DINS-CUS-501482"/>
    <s v="DINS-POL-201482"/>
    <x v="4"/>
    <x v="0"/>
    <x v="0"/>
    <x v="0"/>
    <x v="2"/>
    <d v="2023-12-18T00:00:00"/>
    <s v="Annual"/>
    <d v="2024-02-27T00:00:00"/>
    <x v="1"/>
    <n v="16939"/>
    <n v="2086"/>
    <n v="36"/>
    <d v="2024-04-03T00:00:00"/>
    <x v="0"/>
    <x v="0"/>
    <x v="2"/>
    <n v="8.1203000000000003"/>
    <n v="71"/>
    <n v="2024"/>
    <s v="February"/>
  </r>
  <r>
    <s v="DINS-CLM-101483"/>
    <s v="DINS-CUS-501483"/>
    <s v="DINS-POL-201483"/>
    <x v="5"/>
    <x v="2"/>
    <x v="3"/>
    <x v="2"/>
    <x v="1"/>
    <d v="2024-01-03T00:00:00"/>
    <s v="Monthly"/>
    <d v="2024-04-20T00:00:00"/>
    <x v="1"/>
    <n v="46371"/>
    <n v="1599"/>
    <n v="30"/>
    <d v="2024-05-20T00:00:00"/>
    <x v="0"/>
    <x v="0"/>
    <x v="0"/>
    <n v="29"/>
    <n v="108"/>
    <n v="2024"/>
    <s v="April"/>
  </r>
  <r>
    <s v="DINS-CLM-101484"/>
    <s v="DINS-CUS-501484"/>
    <s v="DINS-POL-201484"/>
    <x v="2"/>
    <x v="0"/>
    <x v="5"/>
    <x v="2"/>
    <x v="5"/>
    <d v="2023-01-18T00:00:00"/>
    <s v="Monthly"/>
    <d v="2024-01-01T00:00:00"/>
    <x v="1"/>
    <n v="36018"/>
    <n v="1719"/>
    <n v="34"/>
    <d v="2024-02-04T00:00:00"/>
    <x v="0"/>
    <x v="0"/>
    <x v="2"/>
    <n v="20.9529"/>
    <n v="348"/>
    <n v="2024"/>
    <s v="January"/>
  </r>
  <r>
    <s v="DINS-CLM-101485"/>
    <s v="DINS-CUS-501485"/>
    <s v="DINS-POL-201485"/>
    <x v="4"/>
    <x v="2"/>
    <x v="0"/>
    <x v="2"/>
    <x v="3"/>
    <d v="2023-04-19T00:00:00"/>
    <s v="Annual"/>
    <d v="2024-02-05T00:00:00"/>
    <x v="1"/>
    <n v="15650"/>
    <n v="4868"/>
    <n v="3"/>
    <d v="2024-02-08T00:00:00"/>
    <x v="0"/>
    <x v="0"/>
    <x v="0"/>
    <n v="3.2149000000000001"/>
    <n v="292"/>
    <n v="2024"/>
    <s v="February"/>
  </r>
  <r>
    <s v="DINS-CLM-101486"/>
    <s v="DINS-CUS-501486"/>
    <s v="DINS-POL-201486"/>
    <x v="0"/>
    <x v="0"/>
    <x v="2"/>
    <x v="1"/>
    <x v="1"/>
    <d v="2023-08-05T00:00:00"/>
    <s v="Monthly"/>
    <d v="2024-01-31T00:00:00"/>
    <x v="1"/>
    <n v="47382"/>
    <n v="3893"/>
    <n v="37"/>
    <d v="2024-03-08T00:00:00"/>
    <x v="0"/>
    <x v="0"/>
    <x v="1"/>
    <n v="12.171099999999999"/>
    <n v="179"/>
    <n v="2024"/>
    <s v="January"/>
  </r>
  <r>
    <s v="DINS-CLM-101487"/>
    <s v="DINS-CUS-501487"/>
    <s v="DINS-POL-201487"/>
    <x v="1"/>
    <x v="2"/>
    <x v="3"/>
    <x v="1"/>
    <x v="3"/>
    <d v="2023-11-17T00:00:00"/>
    <s v="Monthly"/>
    <d v="2024-11-13T00:00:00"/>
    <x v="1"/>
    <n v="30207"/>
    <n v="1680"/>
    <n v="9"/>
    <d v="2024-11-22T00:00:00"/>
    <x v="0"/>
    <x v="0"/>
    <x v="0"/>
    <n v="17.980399999999999"/>
    <n v="362"/>
    <n v="2024"/>
    <s v="November"/>
  </r>
  <r>
    <s v="DINS-CLM-101488"/>
    <s v="DINS-CUS-501488"/>
    <s v="DINS-POL-201488"/>
    <x v="0"/>
    <x v="1"/>
    <x v="0"/>
    <x v="1"/>
    <x v="7"/>
    <d v="2023-10-05T00:00:00"/>
    <s v="Monthly"/>
    <d v="2024-03-28T00:00:00"/>
    <x v="1"/>
    <n v="13616"/>
    <n v="2356"/>
    <n v="35"/>
    <d v="2024-05-02T00:00:00"/>
    <x v="0"/>
    <x v="0"/>
    <x v="0"/>
    <n v="5.7793000000000001"/>
    <n v="175"/>
    <n v="2024"/>
    <s v="March"/>
  </r>
  <r>
    <s v="DINS-CLM-101489"/>
    <s v="DINS-CUS-501489"/>
    <s v="DINS-POL-201489"/>
    <x v="3"/>
    <x v="1"/>
    <x v="1"/>
    <x v="0"/>
    <x v="5"/>
    <d v="2023-07-05T00:00:00"/>
    <s v="Monthly"/>
    <d v="2024-01-27T00:00:00"/>
    <x v="0"/>
    <n v="71528"/>
    <n v="8344"/>
    <s v="N/A - Not Settled"/>
    <s v="N/A - Not Settled"/>
    <x v="0"/>
    <x v="0"/>
    <x v="0"/>
    <n v="8.5724"/>
    <n v="206"/>
    <n v="2024"/>
    <s v="January"/>
  </r>
  <r>
    <s v="DINS-CLM-101490"/>
    <s v="DINS-CUS-501490"/>
    <s v="DINS-POL-201490"/>
    <x v="2"/>
    <x v="1"/>
    <x v="3"/>
    <x v="1"/>
    <x v="2"/>
    <d v="2023-12-27T00:00:00"/>
    <s v="Annual"/>
    <d v="2024-08-02T00:00:00"/>
    <x v="2"/>
    <n v="37251"/>
    <n v="7106"/>
    <s v="N/A - Not Settled"/>
    <s v="N/A - Not Settled"/>
    <x v="0"/>
    <x v="0"/>
    <x v="1"/>
    <n v="5.2422000000000004"/>
    <n v="219"/>
    <n v="2024"/>
    <s v="August"/>
  </r>
  <r>
    <s v="DINS-CLM-101491"/>
    <s v="DINS-CUS-501491"/>
    <s v="DINS-POL-201491"/>
    <x v="3"/>
    <x v="0"/>
    <x v="2"/>
    <x v="1"/>
    <x v="3"/>
    <d v="2023-11-17T00:00:00"/>
    <s v="Annual"/>
    <d v="2024-01-31T00:00:00"/>
    <x v="1"/>
    <n v="95693"/>
    <n v="1454"/>
    <n v="2"/>
    <d v="2024-02-02T00:00:00"/>
    <x v="0"/>
    <x v="0"/>
    <x v="1"/>
    <n v="65.813599999999994"/>
    <n v="75"/>
    <n v="2024"/>
    <s v="January"/>
  </r>
  <r>
    <s v="DINS-CLM-101492"/>
    <s v="DINS-CUS-501492"/>
    <s v="DINS-POL-201492"/>
    <x v="2"/>
    <x v="0"/>
    <x v="3"/>
    <x v="2"/>
    <x v="2"/>
    <d v="2024-03-11T00:00:00"/>
    <s v="Monthly"/>
    <d v="2024-10-30T00:00:00"/>
    <x v="1"/>
    <n v="36599"/>
    <n v="3659"/>
    <n v="24"/>
    <d v="2024-11-23T00:00:00"/>
    <x v="0"/>
    <x v="0"/>
    <x v="0"/>
    <n v="10.0025"/>
    <n v="233"/>
    <n v="2024"/>
    <s v="October"/>
  </r>
  <r>
    <s v="DINS-CLM-101493"/>
    <s v="DINS-CUS-501493"/>
    <s v="DINS-POL-201493"/>
    <x v="2"/>
    <x v="1"/>
    <x v="4"/>
    <x v="1"/>
    <x v="2"/>
    <d v="2023-06-19T00:00:00"/>
    <s v="Monthly"/>
    <d v="2024-01-14T00:00:00"/>
    <x v="0"/>
    <n v="6318"/>
    <n v="4011"/>
    <s v="N/A - Not Settled"/>
    <s v="N/A - Not Settled"/>
    <x v="0"/>
    <x v="0"/>
    <x v="1"/>
    <n v="1.5751999999999999"/>
    <n v="209"/>
    <n v="2024"/>
    <s v="January"/>
  </r>
  <r>
    <s v="DINS-CLM-101494"/>
    <s v="DINS-CUS-501494"/>
    <s v="DINS-POL-201494"/>
    <x v="3"/>
    <x v="2"/>
    <x v="1"/>
    <x v="1"/>
    <x v="3"/>
    <d v="2023-11-30T00:00:00"/>
    <s v="Monthly"/>
    <d v="2024-10-16T00:00:00"/>
    <x v="1"/>
    <n v="44465"/>
    <n v="4300"/>
    <n v="31"/>
    <d v="2024-11-16T00:00:00"/>
    <x v="0"/>
    <x v="0"/>
    <x v="1"/>
    <n v="10.3407"/>
    <n v="321"/>
    <n v="2024"/>
    <s v="October"/>
  </r>
  <r>
    <s v="DINS-CLM-101495"/>
    <s v="DINS-CUS-501495"/>
    <s v="DINS-POL-201495"/>
    <x v="0"/>
    <x v="0"/>
    <x v="5"/>
    <x v="2"/>
    <x v="1"/>
    <d v="2024-02-02T00:00:00"/>
    <s v="Annual"/>
    <d v="2024-07-27T00:00:00"/>
    <x v="1"/>
    <n v="53162"/>
    <n v="5419"/>
    <n v="37"/>
    <d v="2024-09-02T00:00:00"/>
    <x v="0"/>
    <x v="0"/>
    <x v="2"/>
    <n v="9.8102999999999998"/>
    <n v="176"/>
    <n v="2024"/>
    <s v="July"/>
  </r>
  <r>
    <s v="DINS-CLM-101496"/>
    <s v="DINS-CUS-501496"/>
    <s v="DINS-POL-201496"/>
    <x v="2"/>
    <x v="1"/>
    <x v="2"/>
    <x v="1"/>
    <x v="1"/>
    <d v="2023-07-13T00:00:00"/>
    <s v="Monthly"/>
    <d v="2024-04-07T00:00:00"/>
    <x v="0"/>
    <n v="3813"/>
    <n v="8341"/>
    <s v="N/A - Not Settled"/>
    <s v="N/A - Not Settled"/>
    <x v="0"/>
    <x v="0"/>
    <x v="2"/>
    <n v="0.45710000000000001"/>
    <n v="269"/>
    <n v="2024"/>
    <s v="April"/>
  </r>
  <r>
    <s v="DINS-CLM-101497"/>
    <s v="DINS-CUS-501497"/>
    <s v="DINS-POL-201497"/>
    <x v="5"/>
    <x v="2"/>
    <x v="1"/>
    <x v="0"/>
    <x v="7"/>
    <d v="2023-07-13T00:00:00"/>
    <s v="Annual"/>
    <d v="2024-04-22T00:00:00"/>
    <x v="1"/>
    <n v="30012"/>
    <n v="7947"/>
    <n v="14"/>
    <d v="2024-05-06T00:00:00"/>
    <x v="0"/>
    <x v="0"/>
    <x v="2"/>
    <n v="3.7765"/>
    <n v="284"/>
    <n v="2024"/>
    <s v="April"/>
  </r>
  <r>
    <s v="DINS-CLM-101498"/>
    <s v="DINS-CUS-501498"/>
    <s v="DINS-POL-201498"/>
    <x v="1"/>
    <x v="1"/>
    <x v="2"/>
    <x v="0"/>
    <x v="3"/>
    <d v="2024-01-23T00:00:00"/>
    <s v="Annual"/>
    <d v="2024-07-13T00:00:00"/>
    <x v="0"/>
    <n v="22647"/>
    <n v="963"/>
    <s v="N/A - Not Settled"/>
    <s v="N/A - Not Settled"/>
    <x v="0"/>
    <x v="0"/>
    <x v="2"/>
    <n v="23.517099999999999"/>
    <n v="172"/>
    <n v="2024"/>
    <s v="July"/>
  </r>
  <r>
    <s v="DINS-CLM-101499"/>
    <s v="DINS-CUS-501499"/>
    <s v="DINS-POL-201499"/>
    <x v="5"/>
    <x v="1"/>
    <x v="3"/>
    <x v="0"/>
    <x v="6"/>
    <d v="2023-03-13T00:00:00"/>
    <s v="Annual"/>
    <d v="2024-01-28T00:00:00"/>
    <x v="0"/>
    <n v="33132"/>
    <n v="4592"/>
    <s v="N/A - Not Settled"/>
    <s v="N/A - Not Settled"/>
    <x v="1"/>
    <x v="1"/>
    <x v="2"/>
    <n v="7.2152000000000003"/>
    <n v="321"/>
    <n v="2024"/>
    <s v="January"/>
  </r>
  <r>
    <s v="DINS-CLM-101500"/>
    <s v="DINS-CUS-501500"/>
    <s v="DINS-POL-201500"/>
    <x v="2"/>
    <x v="2"/>
    <x v="2"/>
    <x v="1"/>
    <x v="0"/>
    <d v="2024-05-19T00:00:00"/>
    <s v="Annual"/>
    <d v="2024-12-08T00:00:00"/>
    <x v="1"/>
    <n v="19368"/>
    <n v="1184"/>
    <n v="34"/>
    <d v="2025-01-11T00:00:00"/>
    <x v="0"/>
    <x v="0"/>
    <x v="1"/>
    <n v="16.3581"/>
    <n v="203"/>
    <n v="2024"/>
    <s v="December"/>
  </r>
  <r>
    <s v="DINS-CLM-101501"/>
    <s v="DINS-CUS-501501"/>
    <s v="DINS-POL-201501"/>
    <x v="0"/>
    <x v="0"/>
    <x v="0"/>
    <x v="2"/>
    <x v="4"/>
    <d v="2024-10-02T00:00:00"/>
    <s v="Annual"/>
    <d v="2024-11-06T00:00:00"/>
    <x v="0"/>
    <n v="7234"/>
    <n v="3125"/>
    <s v="N/A - Not Settled"/>
    <s v="N/A - Not Settled"/>
    <x v="0"/>
    <x v="0"/>
    <x v="1"/>
    <n v="2.3149000000000002"/>
    <n v="35"/>
    <n v="2024"/>
    <s v="November"/>
  </r>
  <r>
    <s v="DINS-CLM-101502"/>
    <s v="DINS-CUS-501502"/>
    <s v="DINS-POL-201502"/>
    <x v="2"/>
    <x v="2"/>
    <x v="2"/>
    <x v="1"/>
    <x v="4"/>
    <d v="2023-12-23T00:00:00"/>
    <s v="Annual"/>
    <d v="2024-11-27T00:00:00"/>
    <x v="1"/>
    <n v="9830"/>
    <n v="7849"/>
    <n v="41"/>
    <d v="2025-01-07T00:00:00"/>
    <x v="1"/>
    <x v="1"/>
    <x v="1"/>
    <n v="1.2524"/>
    <n v="340"/>
    <n v="2024"/>
    <s v="November"/>
  </r>
  <r>
    <s v="DINS-CLM-101503"/>
    <s v="DINS-CUS-501503"/>
    <s v="DINS-POL-201503"/>
    <x v="4"/>
    <x v="1"/>
    <x v="3"/>
    <x v="1"/>
    <x v="1"/>
    <d v="2024-02-09T00:00:00"/>
    <s v="Monthly"/>
    <d v="2024-03-23T00:00:00"/>
    <x v="1"/>
    <n v="3055"/>
    <n v="7478"/>
    <n v="8"/>
    <d v="2024-03-31T00:00:00"/>
    <x v="0"/>
    <x v="0"/>
    <x v="2"/>
    <n v="0.40849999999999997"/>
    <n v="43"/>
    <n v="2024"/>
    <s v="March"/>
  </r>
  <r>
    <s v="DINS-CLM-101504"/>
    <s v="DINS-CUS-501504"/>
    <s v="DINS-POL-201504"/>
    <x v="4"/>
    <x v="1"/>
    <x v="1"/>
    <x v="1"/>
    <x v="5"/>
    <d v="2023-10-12T00:00:00"/>
    <s v="Annual"/>
    <d v="2024-04-16T00:00:00"/>
    <x v="0"/>
    <n v="17555"/>
    <n v="2187"/>
    <s v="N/A - Not Settled"/>
    <s v="N/A - Not Settled"/>
    <x v="0"/>
    <x v="0"/>
    <x v="2"/>
    <n v="8.0269999999999992"/>
    <n v="187"/>
    <n v="2024"/>
    <s v="April"/>
  </r>
  <r>
    <s v="DINS-CLM-101505"/>
    <s v="DINS-CUS-501505"/>
    <s v="DINS-POL-201505"/>
    <x v="3"/>
    <x v="1"/>
    <x v="0"/>
    <x v="1"/>
    <x v="1"/>
    <d v="2023-11-20T00:00:00"/>
    <s v="Annual"/>
    <d v="2024-05-30T00:00:00"/>
    <x v="2"/>
    <n v="80955"/>
    <n v="4523"/>
    <s v="N/A - Not Settled"/>
    <s v="N/A - Not Settled"/>
    <x v="0"/>
    <x v="0"/>
    <x v="2"/>
    <n v="17.898499999999999"/>
    <n v="192"/>
    <n v="2024"/>
    <s v="May"/>
  </r>
  <r>
    <s v="DINS-CLM-101506"/>
    <s v="DINS-CUS-501506"/>
    <s v="DINS-POL-201506"/>
    <x v="2"/>
    <x v="0"/>
    <x v="2"/>
    <x v="2"/>
    <x v="0"/>
    <d v="2023-03-19T00:00:00"/>
    <s v="Monthly"/>
    <d v="2024-03-08T00:00:00"/>
    <x v="1"/>
    <n v="20459"/>
    <n v="8909"/>
    <n v="37"/>
    <d v="2024-04-14T00:00:00"/>
    <x v="1"/>
    <x v="0"/>
    <x v="1"/>
    <n v="2.2964000000000002"/>
    <n v="355"/>
    <n v="2024"/>
    <s v="March"/>
  </r>
  <r>
    <s v="DINS-CLM-101507"/>
    <s v="DINS-CUS-501507"/>
    <s v="DINS-POL-201507"/>
    <x v="3"/>
    <x v="0"/>
    <x v="0"/>
    <x v="1"/>
    <x v="2"/>
    <d v="2024-03-01T00:00:00"/>
    <s v="Monthly"/>
    <d v="2024-12-11T00:00:00"/>
    <x v="2"/>
    <n v="68843"/>
    <n v="1935"/>
    <s v="N/A - Not Settled"/>
    <s v="N/A - Not Settled"/>
    <x v="1"/>
    <x v="1"/>
    <x v="2"/>
    <n v="35.577800000000003"/>
    <n v="285"/>
    <n v="2024"/>
    <s v="December"/>
  </r>
  <r>
    <s v="DINS-CLM-101508"/>
    <s v="DINS-CUS-501508"/>
    <s v="DINS-POL-201508"/>
    <x v="2"/>
    <x v="0"/>
    <x v="5"/>
    <x v="1"/>
    <x v="7"/>
    <d v="2024-06-01T00:00:00"/>
    <s v="Monthly"/>
    <d v="2024-08-01T00:00:00"/>
    <x v="1"/>
    <n v="15393"/>
    <n v="4311"/>
    <n v="45"/>
    <d v="2024-09-15T00:00:00"/>
    <x v="1"/>
    <x v="1"/>
    <x v="1"/>
    <n v="3.5706000000000002"/>
    <n v="61"/>
    <n v="2024"/>
    <s v="August"/>
  </r>
  <r>
    <s v="DINS-CLM-101509"/>
    <s v="DINS-CUS-501509"/>
    <s v="DINS-POL-201509"/>
    <x v="2"/>
    <x v="2"/>
    <x v="4"/>
    <x v="0"/>
    <x v="3"/>
    <d v="2024-07-25T00:00:00"/>
    <s v="Annual"/>
    <d v="2024-12-08T00:00:00"/>
    <x v="2"/>
    <n v="22495"/>
    <n v="8556"/>
    <s v="N/A - Not Settled"/>
    <s v="N/A - Not Settled"/>
    <x v="0"/>
    <x v="0"/>
    <x v="2"/>
    <n v="2.6291000000000002"/>
    <n v="136"/>
    <n v="2024"/>
    <s v="December"/>
  </r>
  <r>
    <s v="DINS-CLM-101510"/>
    <s v="DINS-CUS-501510"/>
    <s v="DINS-POL-201510"/>
    <x v="2"/>
    <x v="1"/>
    <x v="5"/>
    <x v="1"/>
    <x v="0"/>
    <d v="2024-01-30T00:00:00"/>
    <s v="Monthly"/>
    <d v="2024-11-18T00:00:00"/>
    <x v="1"/>
    <n v="32245"/>
    <n v="3798"/>
    <n v="7"/>
    <d v="2024-11-25T00:00:00"/>
    <x v="1"/>
    <x v="0"/>
    <x v="1"/>
    <n v="8.49"/>
    <n v="293"/>
    <n v="2024"/>
    <s v="November"/>
  </r>
  <r>
    <s v="DINS-CLM-101511"/>
    <s v="DINS-CUS-501511"/>
    <s v="DINS-POL-201511"/>
    <x v="0"/>
    <x v="1"/>
    <x v="3"/>
    <x v="2"/>
    <x v="5"/>
    <d v="2024-01-07T00:00:00"/>
    <s v="Annual"/>
    <d v="2024-03-11T00:00:00"/>
    <x v="0"/>
    <n v="54614"/>
    <n v="6372"/>
    <s v="N/A - Not Settled"/>
    <s v="N/A - Not Settled"/>
    <x v="0"/>
    <x v="0"/>
    <x v="2"/>
    <n v="8.5709"/>
    <n v="64"/>
    <n v="2024"/>
    <s v="March"/>
  </r>
  <r>
    <s v="DINS-CLM-101512"/>
    <s v="DINS-CUS-501512"/>
    <s v="DINS-POL-201512"/>
    <x v="4"/>
    <x v="0"/>
    <x v="4"/>
    <x v="0"/>
    <x v="3"/>
    <d v="2023-06-02T00:00:00"/>
    <s v="Annual"/>
    <d v="2024-02-21T00:00:00"/>
    <x v="1"/>
    <n v="2041"/>
    <n v="2543"/>
    <n v="4"/>
    <d v="2024-02-25T00:00:00"/>
    <x v="0"/>
    <x v="0"/>
    <x v="2"/>
    <n v="0.80259999999999998"/>
    <n v="264"/>
    <n v="2024"/>
    <s v="February"/>
  </r>
  <r>
    <s v="DINS-CLM-101513"/>
    <s v="DINS-CUS-501513"/>
    <s v="DINS-POL-201513"/>
    <x v="0"/>
    <x v="1"/>
    <x v="4"/>
    <x v="0"/>
    <x v="1"/>
    <d v="2024-05-15T00:00:00"/>
    <s v="Annual"/>
    <d v="2024-07-26T00:00:00"/>
    <x v="1"/>
    <n v="24550"/>
    <n v="8950"/>
    <n v="14"/>
    <d v="2024-08-09T00:00:00"/>
    <x v="0"/>
    <x v="0"/>
    <x v="0"/>
    <n v="2.7429999999999999"/>
    <n v="72"/>
    <n v="2024"/>
    <s v="July"/>
  </r>
  <r>
    <s v="DINS-CLM-101514"/>
    <s v="DINS-CUS-501514"/>
    <s v="DINS-POL-201514"/>
    <x v="0"/>
    <x v="1"/>
    <x v="2"/>
    <x v="1"/>
    <x v="3"/>
    <d v="2024-06-24T00:00:00"/>
    <s v="Annual"/>
    <d v="2024-08-25T00:00:00"/>
    <x v="0"/>
    <n v="31770"/>
    <n v="8911"/>
    <s v="N/A - Not Settled"/>
    <s v="N/A - Not Settled"/>
    <x v="0"/>
    <x v="0"/>
    <x v="1"/>
    <n v="3.5653000000000001"/>
    <n v="62"/>
    <n v="2024"/>
    <s v="August"/>
  </r>
  <r>
    <s v="DINS-CLM-101515"/>
    <s v="DINS-CUS-501515"/>
    <s v="DINS-POL-201515"/>
    <x v="2"/>
    <x v="1"/>
    <x v="2"/>
    <x v="1"/>
    <x v="1"/>
    <d v="2023-11-29T00:00:00"/>
    <s v="Monthly"/>
    <d v="2024-11-27T00:00:00"/>
    <x v="2"/>
    <n v="32415"/>
    <n v="2574"/>
    <s v="N/A - Not Settled"/>
    <s v="N/A - Not Settled"/>
    <x v="0"/>
    <x v="0"/>
    <x v="1"/>
    <n v="12.5932"/>
    <n v="364"/>
    <n v="2024"/>
    <s v="November"/>
  </r>
  <r>
    <s v="DINS-CLM-101516"/>
    <s v="DINS-CUS-501516"/>
    <s v="DINS-POL-201516"/>
    <x v="0"/>
    <x v="1"/>
    <x v="2"/>
    <x v="2"/>
    <x v="0"/>
    <d v="2024-01-11T00:00:00"/>
    <s v="Annual"/>
    <d v="2024-02-19T00:00:00"/>
    <x v="1"/>
    <n v="16885"/>
    <n v="2232"/>
    <n v="45"/>
    <d v="2024-04-04T00:00:00"/>
    <x v="0"/>
    <x v="0"/>
    <x v="2"/>
    <n v="7.5650000000000004"/>
    <n v="39"/>
    <n v="2024"/>
    <s v="February"/>
  </r>
  <r>
    <s v="DINS-CLM-101517"/>
    <s v="DINS-CUS-501517"/>
    <s v="DINS-POL-201517"/>
    <x v="2"/>
    <x v="0"/>
    <x v="2"/>
    <x v="0"/>
    <x v="7"/>
    <d v="2024-04-01T00:00:00"/>
    <s v="Monthly"/>
    <d v="2024-12-04T00:00:00"/>
    <x v="1"/>
    <n v="4494"/>
    <n v="5364"/>
    <n v="3"/>
    <d v="2024-12-07T00:00:00"/>
    <x v="0"/>
    <x v="0"/>
    <x v="0"/>
    <n v="0.83779999999999999"/>
    <n v="247"/>
    <n v="2024"/>
    <s v="December"/>
  </r>
  <r>
    <s v="DINS-CLM-101518"/>
    <s v="DINS-CUS-501518"/>
    <s v="DINS-POL-201518"/>
    <x v="0"/>
    <x v="0"/>
    <x v="2"/>
    <x v="0"/>
    <x v="0"/>
    <d v="2023-08-07T00:00:00"/>
    <s v="Monthly"/>
    <d v="2024-04-17T00:00:00"/>
    <x v="1"/>
    <n v="10159"/>
    <n v="6439"/>
    <n v="28"/>
    <d v="2024-05-15T00:00:00"/>
    <x v="0"/>
    <x v="0"/>
    <x v="0"/>
    <n v="1.5777000000000001"/>
    <n v="254"/>
    <n v="2024"/>
    <s v="April"/>
  </r>
  <r>
    <s v="DINS-CLM-101519"/>
    <s v="DINS-CUS-501519"/>
    <s v="DINS-POL-201519"/>
    <x v="0"/>
    <x v="1"/>
    <x v="4"/>
    <x v="1"/>
    <x v="4"/>
    <d v="2023-11-30T00:00:00"/>
    <s v="Annual"/>
    <d v="2024-09-17T00:00:00"/>
    <x v="0"/>
    <n v="21661"/>
    <n v="3717"/>
    <s v="N/A - Not Settled"/>
    <s v="N/A - Not Settled"/>
    <x v="0"/>
    <x v="0"/>
    <x v="1"/>
    <n v="5.8274999999999997"/>
    <n v="292"/>
    <n v="2024"/>
    <s v="September"/>
  </r>
  <r>
    <s v="DINS-CLM-101520"/>
    <s v="DINS-CUS-501520"/>
    <s v="DINS-POL-201520"/>
    <x v="0"/>
    <x v="1"/>
    <x v="3"/>
    <x v="2"/>
    <x v="3"/>
    <d v="2023-06-30T00:00:00"/>
    <s v="Monthly"/>
    <d v="2024-05-28T00:00:00"/>
    <x v="2"/>
    <n v="42692"/>
    <n v="6172"/>
    <s v="N/A - Not Settled"/>
    <s v="N/A - Not Settled"/>
    <x v="0"/>
    <x v="0"/>
    <x v="0"/>
    <n v="6.9169999999999998"/>
    <n v="333"/>
    <n v="2024"/>
    <s v="May"/>
  </r>
  <r>
    <s v="DINS-CLM-101521"/>
    <s v="DINS-CUS-501521"/>
    <s v="DINS-POL-201521"/>
    <x v="1"/>
    <x v="1"/>
    <x v="0"/>
    <x v="2"/>
    <x v="1"/>
    <d v="2024-02-25T00:00:00"/>
    <s v="Annual"/>
    <d v="2024-10-23T00:00:00"/>
    <x v="1"/>
    <n v="64486"/>
    <n v="3511"/>
    <n v="25"/>
    <d v="2024-11-17T00:00:00"/>
    <x v="0"/>
    <x v="0"/>
    <x v="2"/>
    <n v="18.366800000000001"/>
    <n v="241"/>
    <n v="2024"/>
    <s v="October"/>
  </r>
  <r>
    <s v="DINS-CLM-101522"/>
    <s v="DINS-CUS-501522"/>
    <s v="DINS-POL-201522"/>
    <x v="3"/>
    <x v="2"/>
    <x v="2"/>
    <x v="0"/>
    <x v="7"/>
    <d v="2023-09-02T00:00:00"/>
    <s v="Annual"/>
    <d v="2024-05-12T00:00:00"/>
    <x v="0"/>
    <n v="59057"/>
    <n v="5464"/>
    <s v="N/A - Not Settled"/>
    <s v="N/A - Not Settled"/>
    <x v="0"/>
    <x v="0"/>
    <x v="0"/>
    <n v="10.808400000000001"/>
    <n v="253"/>
    <n v="2024"/>
    <s v="May"/>
  </r>
  <r>
    <s v="DINS-CLM-101523"/>
    <s v="DINS-CUS-501523"/>
    <s v="DINS-POL-201523"/>
    <x v="4"/>
    <x v="1"/>
    <x v="4"/>
    <x v="1"/>
    <x v="5"/>
    <d v="2023-07-03T00:00:00"/>
    <s v="Annual"/>
    <d v="2024-03-23T00:00:00"/>
    <x v="0"/>
    <n v="6690"/>
    <n v="2840"/>
    <s v="N/A - Not Settled"/>
    <s v="N/A - Not Settled"/>
    <x v="0"/>
    <x v="0"/>
    <x v="1"/>
    <n v="2.3555999999999999"/>
    <n v="264"/>
    <n v="2024"/>
    <s v="March"/>
  </r>
  <r>
    <s v="DINS-CLM-101524"/>
    <s v="DINS-CUS-501524"/>
    <s v="DINS-POL-201524"/>
    <x v="4"/>
    <x v="1"/>
    <x v="4"/>
    <x v="2"/>
    <x v="0"/>
    <d v="2024-07-04T00:00:00"/>
    <s v="Monthly"/>
    <d v="2024-10-17T00:00:00"/>
    <x v="1"/>
    <n v="3560"/>
    <n v="6510"/>
    <n v="27"/>
    <d v="2024-11-13T00:00:00"/>
    <x v="0"/>
    <x v="0"/>
    <x v="2"/>
    <n v="0.54690000000000005"/>
    <n v="105"/>
    <n v="2024"/>
    <s v="October"/>
  </r>
  <r>
    <s v="DINS-CLM-101525"/>
    <s v="DINS-CUS-501525"/>
    <s v="DINS-POL-201525"/>
    <x v="1"/>
    <x v="0"/>
    <x v="2"/>
    <x v="2"/>
    <x v="7"/>
    <d v="2024-03-14T00:00:00"/>
    <s v="Monthly"/>
    <d v="2024-07-25T00:00:00"/>
    <x v="1"/>
    <n v="42626"/>
    <n v="5207"/>
    <n v="19"/>
    <d v="2024-08-13T00:00:00"/>
    <x v="0"/>
    <x v="0"/>
    <x v="2"/>
    <n v="8.1862999999999992"/>
    <n v="133"/>
    <n v="2024"/>
    <s v="July"/>
  </r>
  <r>
    <s v="DINS-CLM-101526"/>
    <s v="DINS-CUS-501526"/>
    <s v="DINS-POL-201526"/>
    <x v="2"/>
    <x v="1"/>
    <x v="1"/>
    <x v="2"/>
    <x v="1"/>
    <d v="2024-03-25T00:00:00"/>
    <s v="Annual"/>
    <d v="2024-07-24T00:00:00"/>
    <x v="1"/>
    <n v="12432"/>
    <n v="3836"/>
    <n v="14"/>
    <d v="2024-08-07T00:00:00"/>
    <x v="0"/>
    <x v="0"/>
    <x v="0"/>
    <n v="3.2408999999999999"/>
    <n v="121"/>
    <n v="2024"/>
    <s v="July"/>
  </r>
  <r>
    <s v="DINS-CLM-101527"/>
    <s v="DINS-CUS-501527"/>
    <s v="DINS-POL-201527"/>
    <x v="5"/>
    <x v="0"/>
    <x v="4"/>
    <x v="2"/>
    <x v="2"/>
    <d v="2023-10-08T00:00:00"/>
    <s v="Monthly"/>
    <d v="2024-04-06T00:00:00"/>
    <x v="1"/>
    <n v="20416"/>
    <n v="5517"/>
    <n v="27"/>
    <d v="2024-05-03T00:00:00"/>
    <x v="0"/>
    <x v="0"/>
    <x v="1"/>
    <n v="3.7006000000000001"/>
    <n v="181"/>
    <n v="2024"/>
    <s v="April"/>
  </r>
  <r>
    <s v="DINS-CLM-101528"/>
    <s v="DINS-CUS-501528"/>
    <s v="DINS-POL-201528"/>
    <x v="2"/>
    <x v="0"/>
    <x v="0"/>
    <x v="0"/>
    <x v="3"/>
    <d v="2024-02-05T00:00:00"/>
    <s v="Annual"/>
    <d v="2024-09-08T00:00:00"/>
    <x v="0"/>
    <n v="39626"/>
    <n v="2130"/>
    <s v="N/A - Not Settled"/>
    <s v="N/A - Not Settled"/>
    <x v="0"/>
    <x v="0"/>
    <x v="1"/>
    <n v="18.6038"/>
    <n v="216"/>
    <n v="2024"/>
    <s v="September"/>
  </r>
  <r>
    <s v="DINS-CLM-101529"/>
    <s v="DINS-CUS-501529"/>
    <s v="DINS-POL-201529"/>
    <x v="3"/>
    <x v="1"/>
    <x v="3"/>
    <x v="0"/>
    <x v="5"/>
    <d v="2023-04-11T00:00:00"/>
    <s v="Annual"/>
    <d v="2024-04-03T00:00:00"/>
    <x v="2"/>
    <n v="47344"/>
    <n v="7849"/>
    <s v="N/A - Not Settled"/>
    <s v="N/A - Not Settled"/>
    <x v="0"/>
    <x v="0"/>
    <x v="1"/>
    <n v="6.0319000000000003"/>
    <n v="358"/>
    <n v="2024"/>
    <s v="April"/>
  </r>
  <r>
    <s v="DINS-CLM-101530"/>
    <s v="DINS-CUS-501530"/>
    <s v="DINS-POL-201530"/>
    <x v="4"/>
    <x v="0"/>
    <x v="1"/>
    <x v="1"/>
    <x v="2"/>
    <d v="2024-05-14T00:00:00"/>
    <s v="Annual"/>
    <d v="2024-10-20T00:00:00"/>
    <x v="1"/>
    <n v="10219"/>
    <n v="4473"/>
    <n v="37"/>
    <d v="2024-11-26T00:00:00"/>
    <x v="0"/>
    <x v="0"/>
    <x v="1"/>
    <n v="2.2846000000000002"/>
    <n v="159"/>
    <n v="2024"/>
    <s v="October"/>
  </r>
  <r>
    <s v="DINS-CLM-101531"/>
    <s v="DINS-CUS-501531"/>
    <s v="DINS-POL-201531"/>
    <x v="3"/>
    <x v="0"/>
    <x v="4"/>
    <x v="2"/>
    <x v="4"/>
    <d v="2023-02-22T00:00:00"/>
    <s v="Annual"/>
    <d v="2024-01-26T00:00:00"/>
    <x v="1"/>
    <n v="65702"/>
    <n v="4354"/>
    <n v="10"/>
    <d v="2024-02-05T00:00:00"/>
    <x v="0"/>
    <x v="0"/>
    <x v="0"/>
    <n v="15.09"/>
    <n v="338"/>
    <n v="2024"/>
    <s v="January"/>
  </r>
  <r>
    <s v="DINS-CLM-101532"/>
    <s v="DINS-CUS-501532"/>
    <s v="DINS-POL-201532"/>
    <x v="0"/>
    <x v="0"/>
    <x v="1"/>
    <x v="1"/>
    <x v="0"/>
    <d v="2024-03-18T00:00:00"/>
    <s v="Monthly"/>
    <d v="2024-08-11T00:00:00"/>
    <x v="2"/>
    <n v="27196"/>
    <n v="6447"/>
    <s v="N/A - Not Settled"/>
    <s v="N/A - Not Settled"/>
    <x v="0"/>
    <x v="0"/>
    <x v="1"/>
    <n v="4.2183999999999999"/>
    <n v="146"/>
    <n v="2024"/>
    <s v="August"/>
  </r>
  <r>
    <s v="DINS-CLM-101533"/>
    <s v="DINS-CUS-501533"/>
    <s v="DINS-POL-201533"/>
    <x v="4"/>
    <x v="0"/>
    <x v="3"/>
    <x v="2"/>
    <x v="1"/>
    <d v="2024-02-04T00:00:00"/>
    <s v="Monthly"/>
    <d v="2024-07-01T00:00:00"/>
    <x v="1"/>
    <n v="8234"/>
    <n v="4148"/>
    <n v="26"/>
    <d v="2024-07-27T00:00:00"/>
    <x v="1"/>
    <x v="0"/>
    <x v="0"/>
    <n v="1.9851000000000001"/>
    <n v="148"/>
    <n v="2024"/>
    <s v="July"/>
  </r>
  <r>
    <s v="DINS-CLM-101534"/>
    <s v="DINS-CUS-501534"/>
    <s v="DINS-POL-201534"/>
    <x v="2"/>
    <x v="0"/>
    <x v="2"/>
    <x v="1"/>
    <x v="2"/>
    <d v="2024-04-21T00:00:00"/>
    <s v="Monthly"/>
    <d v="2024-10-21T00:00:00"/>
    <x v="1"/>
    <n v="30991"/>
    <n v="8278"/>
    <n v="8"/>
    <d v="2024-10-29T00:00:00"/>
    <x v="0"/>
    <x v="0"/>
    <x v="2"/>
    <n v="3.7437999999999998"/>
    <n v="183"/>
    <n v="2024"/>
    <s v="October"/>
  </r>
  <r>
    <s v="DINS-CLM-101535"/>
    <s v="DINS-CUS-501535"/>
    <s v="DINS-POL-201535"/>
    <x v="2"/>
    <x v="1"/>
    <x v="3"/>
    <x v="1"/>
    <x v="6"/>
    <d v="2024-02-01T00:00:00"/>
    <s v="Annual"/>
    <d v="2024-10-30T00:00:00"/>
    <x v="2"/>
    <n v="37560"/>
    <n v="6244"/>
    <s v="N/A - Not Settled"/>
    <s v="N/A - Not Settled"/>
    <x v="1"/>
    <x v="0"/>
    <x v="0"/>
    <n v="6.0153999999999996"/>
    <n v="272"/>
    <n v="2024"/>
    <s v="October"/>
  </r>
  <r>
    <s v="DINS-CLM-101536"/>
    <s v="DINS-CUS-501536"/>
    <s v="DINS-POL-201536"/>
    <x v="2"/>
    <x v="1"/>
    <x v="0"/>
    <x v="2"/>
    <x v="7"/>
    <d v="2024-09-29T00:00:00"/>
    <s v="Annual"/>
    <d v="2024-12-16T00:00:00"/>
    <x v="1"/>
    <n v="16753"/>
    <n v="7564"/>
    <n v="27"/>
    <d v="2025-01-12T00:00:00"/>
    <x v="0"/>
    <x v="0"/>
    <x v="2"/>
    <n v="2.2147999999999999"/>
    <n v="78"/>
    <n v="2024"/>
    <s v="December"/>
  </r>
  <r>
    <s v="DINS-CLM-101537"/>
    <s v="DINS-CUS-501537"/>
    <s v="DINS-POL-201537"/>
    <x v="1"/>
    <x v="2"/>
    <x v="0"/>
    <x v="2"/>
    <x v="2"/>
    <d v="2023-10-01T00:00:00"/>
    <s v="Annual"/>
    <d v="2024-09-19T00:00:00"/>
    <x v="1"/>
    <n v="18558"/>
    <n v="7193"/>
    <n v="42"/>
    <d v="2024-10-31T00:00:00"/>
    <x v="0"/>
    <x v="0"/>
    <x v="1"/>
    <n v="2.58"/>
    <n v="354"/>
    <n v="2024"/>
    <s v="September"/>
  </r>
  <r>
    <s v="DINS-CLM-101538"/>
    <s v="DINS-CUS-501538"/>
    <s v="DINS-POL-201538"/>
    <x v="0"/>
    <x v="2"/>
    <x v="2"/>
    <x v="1"/>
    <x v="3"/>
    <d v="2024-06-07T00:00:00"/>
    <s v="Monthly"/>
    <d v="2024-07-12T00:00:00"/>
    <x v="1"/>
    <n v="40103"/>
    <n v="8231"/>
    <n v="43"/>
    <d v="2024-08-24T00:00:00"/>
    <x v="0"/>
    <x v="0"/>
    <x v="1"/>
    <n v="4.8722000000000003"/>
    <n v="35"/>
    <n v="2024"/>
    <s v="July"/>
  </r>
  <r>
    <s v="DINS-CLM-101539"/>
    <s v="DINS-CUS-501539"/>
    <s v="DINS-POL-201539"/>
    <x v="0"/>
    <x v="0"/>
    <x v="3"/>
    <x v="2"/>
    <x v="4"/>
    <d v="2023-10-09T00:00:00"/>
    <s v="Annual"/>
    <d v="2024-07-03T00:00:00"/>
    <x v="1"/>
    <n v="20133"/>
    <n v="2056"/>
    <n v="26"/>
    <d v="2024-07-29T00:00:00"/>
    <x v="0"/>
    <x v="0"/>
    <x v="0"/>
    <n v="9.7922999999999991"/>
    <n v="268"/>
    <n v="2024"/>
    <s v="July"/>
  </r>
  <r>
    <s v="DINS-CLM-101540"/>
    <s v="DINS-CUS-501540"/>
    <s v="DINS-POL-201540"/>
    <x v="3"/>
    <x v="1"/>
    <x v="1"/>
    <x v="1"/>
    <x v="7"/>
    <d v="2024-04-03T00:00:00"/>
    <s v="Monthly"/>
    <d v="2024-10-13T00:00:00"/>
    <x v="1"/>
    <n v="70017"/>
    <n v="6096"/>
    <n v="39"/>
    <d v="2024-11-21T00:00:00"/>
    <x v="0"/>
    <x v="0"/>
    <x v="2"/>
    <n v="11.4857"/>
    <n v="193"/>
    <n v="2024"/>
    <s v="October"/>
  </r>
  <r>
    <s v="DINS-CLM-101541"/>
    <s v="DINS-CUS-501541"/>
    <s v="DINS-POL-201541"/>
    <x v="0"/>
    <x v="1"/>
    <x v="1"/>
    <x v="1"/>
    <x v="2"/>
    <d v="2023-09-30T00:00:00"/>
    <s v="Monthly"/>
    <d v="2024-04-19T00:00:00"/>
    <x v="1"/>
    <n v="16273"/>
    <n v="1185"/>
    <n v="2"/>
    <d v="2024-04-21T00:00:00"/>
    <x v="0"/>
    <x v="0"/>
    <x v="0"/>
    <n v="13.7325"/>
    <n v="202"/>
    <n v="2024"/>
    <s v="April"/>
  </r>
  <r>
    <s v="DINS-CLM-101542"/>
    <s v="DINS-CUS-501542"/>
    <s v="DINS-POL-201542"/>
    <x v="0"/>
    <x v="0"/>
    <x v="1"/>
    <x v="2"/>
    <x v="7"/>
    <d v="2024-10-14T00:00:00"/>
    <s v="Annual"/>
    <d v="2024-12-14T00:00:00"/>
    <x v="1"/>
    <n v="19650"/>
    <n v="1668"/>
    <n v="44"/>
    <d v="2025-01-27T00:00:00"/>
    <x v="0"/>
    <x v="0"/>
    <x v="2"/>
    <n v="11.7806"/>
    <n v="61"/>
    <n v="2024"/>
    <s v="December"/>
  </r>
  <r>
    <s v="DINS-CLM-101543"/>
    <s v="DINS-CUS-501543"/>
    <s v="DINS-POL-201543"/>
    <x v="4"/>
    <x v="2"/>
    <x v="4"/>
    <x v="1"/>
    <x v="4"/>
    <d v="2023-10-20T00:00:00"/>
    <s v="Annual"/>
    <d v="2024-03-05T00:00:00"/>
    <x v="1"/>
    <n v="19797"/>
    <n v="2825"/>
    <n v="43"/>
    <d v="2024-04-17T00:00:00"/>
    <x v="0"/>
    <x v="0"/>
    <x v="2"/>
    <n v="7.0077999999999996"/>
    <n v="137"/>
    <n v="2024"/>
    <s v="March"/>
  </r>
  <r>
    <s v="DINS-CLM-101544"/>
    <s v="DINS-CUS-501544"/>
    <s v="DINS-POL-201544"/>
    <x v="0"/>
    <x v="1"/>
    <x v="2"/>
    <x v="2"/>
    <x v="5"/>
    <d v="2023-08-20T00:00:00"/>
    <s v="Monthly"/>
    <d v="2024-07-15T00:00:00"/>
    <x v="1"/>
    <n v="55893"/>
    <n v="7378"/>
    <n v="16"/>
    <d v="2024-07-31T00:00:00"/>
    <x v="0"/>
    <x v="0"/>
    <x v="2"/>
    <n v="7.5755999999999997"/>
    <n v="330"/>
    <n v="2024"/>
    <s v="July"/>
  </r>
  <r>
    <s v="DINS-CLM-101545"/>
    <s v="DINS-CUS-501545"/>
    <s v="DINS-POL-201545"/>
    <x v="2"/>
    <x v="1"/>
    <x v="4"/>
    <x v="0"/>
    <x v="1"/>
    <d v="2023-12-08T00:00:00"/>
    <s v="Annual"/>
    <d v="2024-01-16T00:00:00"/>
    <x v="1"/>
    <n v="39824"/>
    <n v="3986"/>
    <n v="29"/>
    <d v="2024-02-14T00:00:00"/>
    <x v="0"/>
    <x v="0"/>
    <x v="0"/>
    <n v="9.9909999999999997"/>
    <n v="39"/>
    <n v="2024"/>
    <s v="January"/>
  </r>
  <r>
    <s v="DINS-CLM-101546"/>
    <s v="DINS-CUS-501546"/>
    <s v="DINS-POL-201546"/>
    <x v="4"/>
    <x v="2"/>
    <x v="1"/>
    <x v="0"/>
    <x v="6"/>
    <d v="2024-08-23T00:00:00"/>
    <s v="Annual"/>
    <d v="2024-11-01T00:00:00"/>
    <x v="1"/>
    <n v="8388"/>
    <n v="8357"/>
    <n v="27"/>
    <d v="2024-11-28T00:00:00"/>
    <x v="0"/>
    <x v="0"/>
    <x v="2"/>
    <n v="1.0037"/>
    <n v="70"/>
    <n v="2024"/>
    <s v="November"/>
  </r>
  <r>
    <s v="DINS-CLM-101547"/>
    <s v="DINS-CUS-501547"/>
    <s v="DINS-POL-201547"/>
    <x v="4"/>
    <x v="0"/>
    <x v="4"/>
    <x v="0"/>
    <x v="6"/>
    <d v="2023-10-25T00:00:00"/>
    <s v="Annual"/>
    <d v="2024-05-15T00:00:00"/>
    <x v="2"/>
    <n v="11330"/>
    <n v="7284"/>
    <s v="N/A - Not Settled"/>
    <s v="N/A - Not Settled"/>
    <x v="0"/>
    <x v="0"/>
    <x v="2"/>
    <n v="1.5555000000000001"/>
    <n v="203"/>
    <n v="2024"/>
    <s v="May"/>
  </r>
  <r>
    <s v="DINS-CLM-101548"/>
    <s v="DINS-CUS-501548"/>
    <s v="DINS-POL-201548"/>
    <x v="0"/>
    <x v="2"/>
    <x v="3"/>
    <x v="2"/>
    <x v="6"/>
    <d v="2023-03-11T00:00:00"/>
    <s v="Annual"/>
    <d v="2024-01-14T00:00:00"/>
    <x v="1"/>
    <n v="39410"/>
    <n v="8729"/>
    <n v="28"/>
    <d v="2024-02-11T00:00:00"/>
    <x v="0"/>
    <x v="0"/>
    <x v="2"/>
    <n v="4.5148000000000001"/>
    <n v="309"/>
    <n v="2024"/>
    <s v="January"/>
  </r>
  <r>
    <s v="DINS-CLM-101549"/>
    <s v="DINS-CUS-501549"/>
    <s v="DINS-POL-201549"/>
    <x v="2"/>
    <x v="0"/>
    <x v="4"/>
    <x v="0"/>
    <x v="7"/>
    <d v="2023-05-27T00:00:00"/>
    <s v="Annual"/>
    <d v="2024-03-02T00:00:00"/>
    <x v="1"/>
    <n v="24625"/>
    <n v="3789"/>
    <n v="39"/>
    <d v="2024-04-10T00:00:00"/>
    <x v="0"/>
    <x v="0"/>
    <x v="2"/>
    <n v="6.4991000000000003"/>
    <n v="280"/>
    <n v="2024"/>
    <s v="March"/>
  </r>
  <r>
    <s v="DINS-CLM-101550"/>
    <s v="DINS-CUS-501550"/>
    <s v="DINS-POL-201550"/>
    <x v="0"/>
    <x v="2"/>
    <x v="0"/>
    <x v="1"/>
    <x v="5"/>
    <d v="2024-10-15T00:00:00"/>
    <s v="Monthly"/>
    <d v="2024-12-25T00:00:00"/>
    <x v="2"/>
    <n v="5975"/>
    <n v="2220"/>
    <s v="N/A - Not Settled"/>
    <s v="N/A - Not Settled"/>
    <x v="1"/>
    <x v="0"/>
    <x v="0"/>
    <n v="2.6913999999999998"/>
    <n v="71"/>
    <n v="2024"/>
    <s v="December"/>
  </r>
  <r>
    <s v="DINS-CLM-101551"/>
    <s v="DINS-CUS-501551"/>
    <s v="DINS-POL-201551"/>
    <x v="2"/>
    <x v="0"/>
    <x v="2"/>
    <x v="0"/>
    <x v="6"/>
    <d v="2024-05-01T00:00:00"/>
    <s v="Annual"/>
    <d v="2024-11-06T00:00:00"/>
    <x v="1"/>
    <n v="31158"/>
    <n v="4848"/>
    <n v="16"/>
    <d v="2024-11-22T00:00:00"/>
    <x v="0"/>
    <x v="0"/>
    <x v="2"/>
    <n v="6.4269999999999996"/>
    <n v="189"/>
    <n v="2024"/>
    <s v="November"/>
  </r>
  <r>
    <s v="DINS-CLM-101552"/>
    <s v="DINS-CUS-501552"/>
    <s v="DINS-POL-201552"/>
    <x v="2"/>
    <x v="1"/>
    <x v="4"/>
    <x v="1"/>
    <x v="1"/>
    <d v="2023-07-04T00:00:00"/>
    <s v="Annual"/>
    <d v="2024-04-17T00:00:00"/>
    <x v="2"/>
    <n v="26642"/>
    <n v="3745"/>
    <s v="N/A - Not Settled"/>
    <s v="N/A - Not Settled"/>
    <x v="0"/>
    <x v="0"/>
    <x v="1"/>
    <n v="7.1139999999999999"/>
    <n v="288"/>
    <n v="2024"/>
    <s v="April"/>
  </r>
  <r>
    <s v="DINS-CLM-101553"/>
    <s v="DINS-CUS-501553"/>
    <s v="DINS-POL-201553"/>
    <x v="4"/>
    <x v="0"/>
    <x v="0"/>
    <x v="2"/>
    <x v="7"/>
    <d v="2024-06-15T00:00:00"/>
    <s v="Annual"/>
    <d v="2024-08-09T00:00:00"/>
    <x v="1"/>
    <n v="11972"/>
    <n v="5104"/>
    <n v="28"/>
    <d v="2024-09-06T00:00:00"/>
    <x v="1"/>
    <x v="0"/>
    <x v="0"/>
    <n v="2.3456000000000001"/>
    <n v="55"/>
    <n v="2024"/>
    <s v="August"/>
  </r>
  <r>
    <s v="DINS-CLM-101554"/>
    <s v="DINS-CUS-501554"/>
    <s v="DINS-POL-201554"/>
    <x v="4"/>
    <x v="2"/>
    <x v="2"/>
    <x v="1"/>
    <x v="6"/>
    <d v="2023-10-20T00:00:00"/>
    <s v="Monthly"/>
    <d v="2024-07-18T00:00:00"/>
    <x v="0"/>
    <n v="13954"/>
    <n v="8429"/>
    <s v="N/A - Not Settled"/>
    <s v="N/A - Not Settled"/>
    <x v="0"/>
    <x v="0"/>
    <x v="2"/>
    <n v="1.6555"/>
    <n v="272"/>
    <n v="2024"/>
    <s v="July"/>
  </r>
  <r>
    <s v="DINS-CLM-101555"/>
    <s v="DINS-CUS-501555"/>
    <s v="DINS-POL-201555"/>
    <x v="4"/>
    <x v="0"/>
    <x v="1"/>
    <x v="2"/>
    <x v="4"/>
    <d v="2024-04-15T00:00:00"/>
    <s v="Monthly"/>
    <d v="2024-10-28T00:00:00"/>
    <x v="1"/>
    <n v="17858"/>
    <n v="974"/>
    <n v="7"/>
    <d v="2024-11-04T00:00:00"/>
    <x v="0"/>
    <x v="0"/>
    <x v="1"/>
    <n v="18.334700000000002"/>
    <n v="196"/>
    <n v="2024"/>
    <s v="October"/>
  </r>
  <r>
    <s v="DINS-CLM-101556"/>
    <s v="DINS-CUS-501556"/>
    <s v="DINS-POL-201556"/>
    <x v="0"/>
    <x v="2"/>
    <x v="4"/>
    <x v="0"/>
    <x v="6"/>
    <d v="2024-02-14T00:00:00"/>
    <s v="Annual"/>
    <d v="2024-06-18T00:00:00"/>
    <x v="1"/>
    <n v="5728"/>
    <n v="8398"/>
    <n v="3"/>
    <d v="2024-06-21T00:00:00"/>
    <x v="0"/>
    <x v="0"/>
    <x v="2"/>
    <n v="0.68210000000000004"/>
    <n v="125"/>
    <n v="2024"/>
    <s v="June"/>
  </r>
  <r>
    <s v="DINS-CLM-101557"/>
    <s v="DINS-CUS-501557"/>
    <s v="DINS-POL-201557"/>
    <x v="0"/>
    <x v="0"/>
    <x v="5"/>
    <x v="1"/>
    <x v="7"/>
    <d v="2023-12-10T00:00:00"/>
    <s v="Monthly"/>
    <d v="2024-10-05T00:00:00"/>
    <x v="1"/>
    <n v="56917"/>
    <n v="802"/>
    <n v="4"/>
    <d v="2024-10-09T00:00:00"/>
    <x v="1"/>
    <x v="1"/>
    <x v="2"/>
    <n v="70.968800000000002"/>
    <n v="300"/>
    <n v="2024"/>
    <s v="October"/>
  </r>
  <r>
    <s v="DINS-CLM-101558"/>
    <s v="DINS-CUS-501558"/>
    <s v="DINS-POL-201558"/>
    <x v="3"/>
    <x v="0"/>
    <x v="3"/>
    <x v="2"/>
    <x v="5"/>
    <d v="2024-01-06T00:00:00"/>
    <s v="Annual"/>
    <d v="2024-10-14T00:00:00"/>
    <x v="1"/>
    <n v="50874"/>
    <n v="6760"/>
    <n v="24"/>
    <d v="2024-11-07T00:00:00"/>
    <x v="0"/>
    <x v="0"/>
    <x v="1"/>
    <n v="7.5256999999999996"/>
    <n v="282"/>
    <n v="2024"/>
    <s v="October"/>
  </r>
  <r>
    <s v="DINS-CLM-101559"/>
    <s v="DINS-CUS-501559"/>
    <s v="DINS-POL-201559"/>
    <x v="1"/>
    <x v="1"/>
    <x v="1"/>
    <x v="0"/>
    <x v="5"/>
    <d v="2023-04-25T00:00:00"/>
    <s v="Annual"/>
    <d v="2024-01-21T00:00:00"/>
    <x v="1"/>
    <n v="56204"/>
    <n v="6352"/>
    <n v="5"/>
    <d v="2024-01-26T00:00:00"/>
    <x v="1"/>
    <x v="0"/>
    <x v="0"/>
    <n v="8.8482000000000003"/>
    <n v="271"/>
    <n v="2024"/>
    <s v="January"/>
  </r>
  <r>
    <s v="DINS-CLM-101560"/>
    <s v="DINS-CUS-501560"/>
    <s v="DINS-POL-201560"/>
    <x v="1"/>
    <x v="1"/>
    <x v="1"/>
    <x v="2"/>
    <x v="3"/>
    <d v="2023-06-21T00:00:00"/>
    <s v="Monthly"/>
    <d v="2024-03-27T00:00:00"/>
    <x v="1"/>
    <n v="67644"/>
    <n v="2610"/>
    <n v="11"/>
    <d v="2024-04-07T00:00:00"/>
    <x v="0"/>
    <x v="0"/>
    <x v="1"/>
    <n v="25.917200000000001"/>
    <n v="280"/>
    <n v="2024"/>
    <s v="March"/>
  </r>
  <r>
    <s v="DINS-CLM-101561"/>
    <s v="DINS-CUS-501561"/>
    <s v="DINS-POL-201561"/>
    <x v="0"/>
    <x v="2"/>
    <x v="1"/>
    <x v="0"/>
    <x v="4"/>
    <d v="2023-09-05T00:00:00"/>
    <s v="Monthly"/>
    <d v="2024-01-07T00:00:00"/>
    <x v="1"/>
    <n v="39129"/>
    <n v="2129"/>
    <n v="42"/>
    <d v="2024-02-18T00:00:00"/>
    <x v="0"/>
    <x v="0"/>
    <x v="0"/>
    <n v="18.379100000000001"/>
    <n v="124"/>
    <n v="2024"/>
    <s v="January"/>
  </r>
  <r>
    <s v="DINS-CLM-101562"/>
    <s v="DINS-CUS-501562"/>
    <s v="DINS-POL-201562"/>
    <x v="4"/>
    <x v="2"/>
    <x v="0"/>
    <x v="0"/>
    <x v="1"/>
    <d v="2024-05-05T00:00:00"/>
    <s v="Monthly"/>
    <d v="2024-08-05T00:00:00"/>
    <x v="0"/>
    <n v="10581"/>
    <n v="8231"/>
    <s v="N/A - Not Settled"/>
    <s v="N/A - Not Settled"/>
    <x v="1"/>
    <x v="1"/>
    <x v="1"/>
    <n v="1.2855000000000001"/>
    <n v="92"/>
    <n v="2024"/>
    <s v="August"/>
  </r>
  <r>
    <s v="DINS-CLM-101563"/>
    <s v="DINS-CUS-501563"/>
    <s v="DINS-POL-201563"/>
    <x v="0"/>
    <x v="2"/>
    <x v="1"/>
    <x v="2"/>
    <x v="0"/>
    <d v="2023-12-06T00:00:00"/>
    <s v="Monthly"/>
    <d v="2024-07-14T00:00:00"/>
    <x v="1"/>
    <n v="25718"/>
    <n v="2922"/>
    <n v="8"/>
    <d v="2024-07-22T00:00:00"/>
    <x v="0"/>
    <x v="0"/>
    <x v="2"/>
    <n v="8.8015000000000008"/>
    <n v="221"/>
    <n v="2024"/>
    <s v="July"/>
  </r>
  <r>
    <s v="DINS-CLM-101564"/>
    <s v="DINS-CUS-501564"/>
    <s v="DINS-POL-201564"/>
    <x v="1"/>
    <x v="2"/>
    <x v="5"/>
    <x v="0"/>
    <x v="6"/>
    <d v="2024-03-17T00:00:00"/>
    <s v="Monthly"/>
    <d v="2024-06-27T00:00:00"/>
    <x v="1"/>
    <n v="18611"/>
    <n v="2313"/>
    <n v="40"/>
    <d v="2024-08-06T00:00:00"/>
    <x v="0"/>
    <x v="0"/>
    <x v="1"/>
    <n v="8.0463000000000005"/>
    <n v="102"/>
    <n v="2024"/>
    <s v="June"/>
  </r>
  <r>
    <s v="DINS-CLM-101565"/>
    <s v="DINS-CUS-501565"/>
    <s v="DINS-POL-201565"/>
    <x v="4"/>
    <x v="1"/>
    <x v="2"/>
    <x v="2"/>
    <x v="2"/>
    <d v="2024-01-08T00:00:00"/>
    <s v="Monthly"/>
    <d v="2024-07-14T00:00:00"/>
    <x v="1"/>
    <n v="12593"/>
    <n v="5168"/>
    <n v="7"/>
    <d v="2024-07-21T00:00:00"/>
    <x v="0"/>
    <x v="0"/>
    <x v="0"/>
    <n v="2.4367000000000001"/>
    <n v="188"/>
    <n v="2024"/>
    <s v="July"/>
  </r>
  <r>
    <s v="DINS-CLM-101566"/>
    <s v="DINS-CUS-501566"/>
    <s v="DINS-POL-201566"/>
    <x v="5"/>
    <x v="1"/>
    <x v="5"/>
    <x v="2"/>
    <x v="5"/>
    <d v="2023-06-11T00:00:00"/>
    <s v="Monthly"/>
    <d v="2024-01-13T00:00:00"/>
    <x v="2"/>
    <n v="72353"/>
    <n v="4063"/>
    <s v="N/A - Not Settled"/>
    <s v="N/A - Not Settled"/>
    <x v="0"/>
    <x v="0"/>
    <x v="0"/>
    <n v="17.8078"/>
    <n v="216"/>
    <n v="2024"/>
    <s v="January"/>
  </r>
  <r>
    <s v="DINS-CLM-101567"/>
    <s v="DINS-CUS-501567"/>
    <s v="DINS-POL-201567"/>
    <x v="4"/>
    <x v="2"/>
    <x v="5"/>
    <x v="1"/>
    <x v="0"/>
    <d v="2024-02-03T00:00:00"/>
    <s v="Monthly"/>
    <d v="2024-11-19T00:00:00"/>
    <x v="0"/>
    <n v="11522"/>
    <n v="1441"/>
    <s v="N/A - Not Settled"/>
    <s v="N/A - Not Settled"/>
    <x v="0"/>
    <x v="0"/>
    <x v="2"/>
    <n v="7.9958"/>
    <n v="290"/>
    <n v="2024"/>
    <s v="November"/>
  </r>
  <r>
    <s v="DINS-CLM-101568"/>
    <s v="DINS-CUS-501568"/>
    <s v="DINS-POL-201568"/>
    <x v="1"/>
    <x v="1"/>
    <x v="2"/>
    <x v="0"/>
    <x v="3"/>
    <d v="2024-07-13T00:00:00"/>
    <s v="Monthly"/>
    <d v="2024-12-12T00:00:00"/>
    <x v="1"/>
    <n v="56987"/>
    <n v="1239"/>
    <n v="44"/>
    <d v="2025-01-25T00:00:00"/>
    <x v="0"/>
    <x v="0"/>
    <x v="1"/>
    <n v="45.994399999999999"/>
    <n v="152"/>
    <n v="2024"/>
    <s v="December"/>
  </r>
  <r>
    <s v="DINS-CLM-101569"/>
    <s v="DINS-CUS-501569"/>
    <s v="DINS-POL-201569"/>
    <x v="2"/>
    <x v="1"/>
    <x v="0"/>
    <x v="2"/>
    <x v="0"/>
    <d v="2023-10-15T00:00:00"/>
    <s v="Monthly"/>
    <d v="2024-08-12T00:00:00"/>
    <x v="1"/>
    <n v="33111"/>
    <n v="3335"/>
    <n v="44"/>
    <d v="2024-09-25T00:00:00"/>
    <x v="0"/>
    <x v="0"/>
    <x v="0"/>
    <n v="9.9283000000000001"/>
    <n v="302"/>
    <n v="2024"/>
    <s v="August"/>
  </r>
  <r>
    <s v="DINS-CLM-101570"/>
    <s v="DINS-CUS-501570"/>
    <s v="DINS-POL-201570"/>
    <x v="0"/>
    <x v="0"/>
    <x v="4"/>
    <x v="1"/>
    <x v="4"/>
    <d v="2023-09-21T00:00:00"/>
    <s v="Annual"/>
    <d v="2024-03-26T00:00:00"/>
    <x v="2"/>
    <n v="49070"/>
    <n v="7381"/>
    <s v="N/A - Not Settled"/>
    <s v="N/A - Not Settled"/>
    <x v="0"/>
    <x v="0"/>
    <x v="1"/>
    <n v="6.6482000000000001"/>
    <n v="187"/>
    <n v="2024"/>
    <s v="March"/>
  </r>
  <r>
    <s v="DINS-CLM-101571"/>
    <s v="DINS-CUS-501571"/>
    <s v="DINS-POL-201571"/>
    <x v="2"/>
    <x v="0"/>
    <x v="2"/>
    <x v="1"/>
    <x v="4"/>
    <d v="2023-09-07T00:00:00"/>
    <s v="Annual"/>
    <d v="2024-08-07T00:00:00"/>
    <x v="0"/>
    <n v="11514"/>
    <n v="8118"/>
    <s v="N/A - Not Settled"/>
    <s v="N/A - Not Settled"/>
    <x v="1"/>
    <x v="1"/>
    <x v="2"/>
    <n v="1.4182999999999999"/>
    <n v="335"/>
    <n v="2024"/>
    <s v="August"/>
  </r>
  <r>
    <s v="DINS-CLM-101572"/>
    <s v="DINS-CUS-501572"/>
    <s v="DINS-POL-201572"/>
    <x v="0"/>
    <x v="0"/>
    <x v="0"/>
    <x v="0"/>
    <x v="3"/>
    <d v="2023-11-11T00:00:00"/>
    <s v="Monthly"/>
    <d v="2024-06-15T00:00:00"/>
    <x v="1"/>
    <n v="19709"/>
    <n v="2157"/>
    <n v="23"/>
    <d v="2024-07-08T00:00:00"/>
    <x v="0"/>
    <x v="0"/>
    <x v="0"/>
    <n v="9.1372"/>
    <n v="217"/>
    <n v="2024"/>
    <s v="June"/>
  </r>
  <r>
    <s v="DINS-CLM-101573"/>
    <s v="DINS-CUS-501573"/>
    <s v="DINS-POL-201573"/>
    <x v="1"/>
    <x v="2"/>
    <x v="0"/>
    <x v="1"/>
    <x v="5"/>
    <d v="2023-11-23T00:00:00"/>
    <s v="Monthly"/>
    <d v="2024-03-03T00:00:00"/>
    <x v="1"/>
    <n v="25263"/>
    <n v="7044"/>
    <n v="22"/>
    <d v="2024-03-25T00:00:00"/>
    <x v="0"/>
    <x v="0"/>
    <x v="0"/>
    <n v="3.5865"/>
    <n v="101"/>
    <n v="2024"/>
    <s v="March"/>
  </r>
  <r>
    <s v="DINS-CLM-101574"/>
    <s v="DINS-CUS-501574"/>
    <s v="DINS-POL-201574"/>
    <x v="1"/>
    <x v="0"/>
    <x v="4"/>
    <x v="0"/>
    <x v="3"/>
    <d v="2024-02-06T00:00:00"/>
    <s v="Monthly"/>
    <d v="2024-11-30T00:00:00"/>
    <x v="1"/>
    <n v="12994"/>
    <n v="7744"/>
    <n v="19"/>
    <d v="2024-12-19T00:00:00"/>
    <x v="1"/>
    <x v="0"/>
    <x v="0"/>
    <n v="1.6778999999999999"/>
    <n v="298"/>
    <n v="2024"/>
    <s v="November"/>
  </r>
  <r>
    <s v="DINS-CLM-101575"/>
    <s v="DINS-CUS-501575"/>
    <s v="DINS-POL-201575"/>
    <x v="4"/>
    <x v="0"/>
    <x v="1"/>
    <x v="2"/>
    <x v="5"/>
    <d v="2023-11-10T00:00:00"/>
    <s v="Monthly"/>
    <d v="2024-10-19T00:00:00"/>
    <x v="1"/>
    <n v="8918"/>
    <n v="4830"/>
    <n v="4"/>
    <d v="2024-10-23T00:00:00"/>
    <x v="1"/>
    <x v="0"/>
    <x v="2"/>
    <n v="1.8464"/>
    <n v="344"/>
    <n v="2024"/>
    <s v="October"/>
  </r>
  <r>
    <s v="DINS-CLM-101576"/>
    <s v="DINS-CUS-501576"/>
    <s v="DINS-POL-201576"/>
    <x v="2"/>
    <x v="1"/>
    <x v="4"/>
    <x v="1"/>
    <x v="3"/>
    <d v="2023-09-14T00:00:00"/>
    <s v="Monthly"/>
    <d v="2024-06-11T00:00:00"/>
    <x v="0"/>
    <n v="18557"/>
    <n v="6905"/>
    <s v="N/A - Not Settled"/>
    <s v="N/A - Not Settled"/>
    <x v="1"/>
    <x v="1"/>
    <x v="0"/>
    <n v="2.6875"/>
    <n v="271"/>
    <n v="2024"/>
    <s v="June"/>
  </r>
  <r>
    <s v="DINS-CLM-101577"/>
    <s v="DINS-CUS-501577"/>
    <s v="DINS-POL-201577"/>
    <x v="4"/>
    <x v="2"/>
    <x v="5"/>
    <x v="1"/>
    <x v="3"/>
    <d v="2023-09-14T00:00:00"/>
    <s v="Monthly"/>
    <d v="2024-02-19T00:00:00"/>
    <x v="1"/>
    <n v="16011"/>
    <n v="4870"/>
    <n v="25"/>
    <d v="2024-03-15T00:00:00"/>
    <x v="0"/>
    <x v="0"/>
    <x v="1"/>
    <n v="3.2877000000000001"/>
    <n v="158"/>
    <n v="2024"/>
    <s v="February"/>
  </r>
  <r>
    <s v="DINS-CLM-101578"/>
    <s v="DINS-CUS-501578"/>
    <s v="DINS-POL-201578"/>
    <x v="5"/>
    <x v="2"/>
    <x v="4"/>
    <x v="2"/>
    <x v="0"/>
    <d v="2024-03-28T00:00:00"/>
    <s v="Annual"/>
    <d v="2024-12-02T00:00:00"/>
    <x v="1"/>
    <n v="29776"/>
    <n v="4704"/>
    <n v="4"/>
    <d v="2024-12-06T00:00:00"/>
    <x v="0"/>
    <x v="0"/>
    <x v="0"/>
    <n v="6.3299000000000003"/>
    <n v="249"/>
    <n v="2024"/>
    <s v="December"/>
  </r>
  <r>
    <s v="DINS-CLM-101579"/>
    <s v="DINS-CUS-501579"/>
    <s v="DINS-POL-201579"/>
    <x v="2"/>
    <x v="0"/>
    <x v="1"/>
    <x v="0"/>
    <x v="4"/>
    <d v="2023-10-07T00:00:00"/>
    <s v="Annual"/>
    <d v="2024-09-10T00:00:00"/>
    <x v="1"/>
    <n v="21365"/>
    <n v="8820"/>
    <n v="42"/>
    <d v="2024-10-22T00:00:00"/>
    <x v="0"/>
    <x v="0"/>
    <x v="0"/>
    <n v="2.4222999999999999"/>
    <n v="339"/>
    <n v="2024"/>
    <s v="September"/>
  </r>
  <r>
    <s v="DINS-CLM-101580"/>
    <s v="DINS-CUS-501580"/>
    <s v="DINS-POL-201580"/>
    <x v="0"/>
    <x v="2"/>
    <x v="4"/>
    <x v="1"/>
    <x v="7"/>
    <d v="2023-04-05T00:00:00"/>
    <s v="Annual"/>
    <d v="2024-01-28T00:00:00"/>
    <x v="1"/>
    <n v="38383"/>
    <n v="6557"/>
    <n v="31"/>
    <d v="2024-02-28T00:00:00"/>
    <x v="0"/>
    <x v="0"/>
    <x v="0"/>
    <n v="5.8536999999999999"/>
    <n v="298"/>
    <n v="2024"/>
    <s v="January"/>
  </r>
  <r>
    <s v="DINS-CLM-101581"/>
    <s v="DINS-CUS-501581"/>
    <s v="DINS-POL-201581"/>
    <x v="3"/>
    <x v="0"/>
    <x v="4"/>
    <x v="1"/>
    <x v="7"/>
    <d v="2024-07-07T00:00:00"/>
    <s v="Monthly"/>
    <d v="2024-11-06T00:00:00"/>
    <x v="1"/>
    <n v="76072"/>
    <n v="2340"/>
    <n v="22"/>
    <d v="2024-11-28T00:00:00"/>
    <x v="0"/>
    <x v="0"/>
    <x v="1"/>
    <n v="32.509399999999999"/>
    <n v="122"/>
    <n v="2024"/>
    <s v="November"/>
  </r>
  <r>
    <s v="DINS-CLM-101582"/>
    <s v="DINS-CUS-501582"/>
    <s v="DINS-POL-201582"/>
    <x v="5"/>
    <x v="1"/>
    <x v="0"/>
    <x v="0"/>
    <x v="3"/>
    <d v="2023-06-07T00:00:00"/>
    <s v="Monthly"/>
    <d v="2024-02-14T00:00:00"/>
    <x v="1"/>
    <n v="59361"/>
    <n v="7635"/>
    <n v="17"/>
    <d v="2024-03-02T00:00:00"/>
    <x v="0"/>
    <x v="0"/>
    <x v="0"/>
    <n v="7.7748999999999997"/>
    <n v="252"/>
    <n v="2024"/>
    <s v="February"/>
  </r>
  <r>
    <s v="DINS-CLM-101583"/>
    <s v="DINS-CUS-501583"/>
    <s v="DINS-POL-201583"/>
    <x v="3"/>
    <x v="0"/>
    <x v="0"/>
    <x v="2"/>
    <x v="7"/>
    <d v="2023-08-30T00:00:00"/>
    <s v="Monthly"/>
    <d v="2024-02-20T00:00:00"/>
    <x v="1"/>
    <n v="62746"/>
    <n v="7183"/>
    <n v="41"/>
    <d v="2024-04-01T00:00:00"/>
    <x v="0"/>
    <x v="0"/>
    <x v="2"/>
    <n v="8.7353000000000005"/>
    <n v="174"/>
    <n v="2024"/>
    <s v="February"/>
  </r>
  <r>
    <s v="DINS-CLM-101584"/>
    <s v="DINS-CUS-501584"/>
    <s v="DINS-POL-201584"/>
    <x v="2"/>
    <x v="0"/>
    <x v="3"/>
    <x v="1"/>
    <x v="3"/>
    <d v="2024-02-16T00:00:00"/>
    <s v="Monthly"/>
    <d v="2024-08-06T00:00:00"/>
    <x v="1"/>
    <n v="27557"/>
    <n v="3844"/>
    <n v="23"/>
    <d v="2024-08-29T00:00:00"/>
    <x v="1"/>
    <x v="1"/>
    <x v="0"/>
    <n v="7.1688000000000001"/>
    <n v="172"/>
    <n v="2024"/>
    <s v="August"/>
  </r>
  <r>
    <s v="DINS-CLM-101585"/>
    <s v="DINS-CUS-501585"/>
    <s v="DINS-POL-201585"/>
    <x v="0"/>
    <x v="1"/>
    <x v="0"/>
    <x v="2"/>
    <x v="4"/>
    <d v="2024-10-25T00:00:00"/>
    <s v="Monthly"/>
    <d v="2024-12-05T00:00:00"/>
    <x v="1"/>
    <n v="9662"/>
    <n v="4230"/>
    <n v="44"/>
    <d v="2025-01-18T00:00:00"/>
    <x v="0"/>
    <x v="0"/>
    <x v="0"/>
    <n v="2.2841999999999998"/>
    <n v="41"/>
    <n v="2024"/>
    <s v="December"/>
  </r>
  <r>
    <s v="DINS-CLM-101586"/>
    <s v="DINS-CUS-501586"/>
    <s v="DINS-POL-201586"/>
    <x v="2"/>
    <x v="1"/>
    <x v="3"/>
    <x v="2"/>
    <x v="0"/>
    <d v="2023-05-18T00:00:00"/>
    <s v="Annual"/>
    <d v="2024-01-31T00:00:00"/>
    <x v="0"/>
    <n v="6504"/>
    <n v="8311"/>
    <s v="N/A - Not Settled"/>
    <s v="N/A - Not Settled"/>
    <x v="0"/>
    <x v="0"/>
    <x v="1"/>
    <n v="0.78259999999999996"/>
    <n v="258"/>
    <n v="2024"/>
    <s v="January"/>
  </r>
  <r>
    <s v="DINS-CLM-101587"/>
    <s v="DINS-CUS-501587"/>
    <s v="DINS-POL-201587"/>
    <x v="2"/>
    <x v="0"/>
    <x v="5"/>
    <x v="2"/>
    <x v="5"/>
    <d v="2023-11-22T00:00:00"/>
    <s v="Monthly"/>
    <d v="2024-07-06T00:00:00"/>
    <x v="0"/>
    <n v="5231"/>
    <n v="1180"/>
    <s v="N/A - Not Settled"/>
    <s v="N/A - Not Settled"/>
    <x v="0"/>
    <x v="0"/>
    <x v="0"/>
    <n v="4.4330999999999996"/>
    <n v="227"/>
    <n v="2024"/>
    <s v="July"/>
  </r>
  <r>
    <s v="DINS-CLM-101588"/>
    <s v="DINS-CUS-501588"/>
    <s v="DINS-POL-201588"/>
    <x v="3"/>
    <x v="1"/>
    <x v="3"/>
    <x v="1"/>
    <x v="5"/>
    <d v="2023-09-23T00:00:00"/>
    <s v="Monthly"/>
    <d v="2024-03-12T00:00:00"/>
    <x v="1"/>
    <n v="37122"/>
    <n v="628"/>
    <n v="32"/>
    <d v="2024-04-13T00:00:00"/>
    <x v="0"/>
    <x v="0"/>
    <x v="0"/>
    <n v="59.111499999999999"/>
    <n v="171"/>
    <n v="2024"/>
    <s v="March"/>
  </r>
  <r>
    <s v="DINS-CLM-101589"/>
    <s v="DINS-CUS-501589"/>
    <s v="DINS-POL-201589"/>
    <x v="3"/>
    <x v="2"/>
    <x v="4"/>
    <x v="1"/>
    <x v="3"/>
    <d v="2023-10-07T00:00:00"/>
    <s v="Monthly"/>
    <d v="2024-06-05T00:00:00"/>
    <x v="1"/>
    <n v="97083"/>
    <n v="6005"/>
    <n v="40"/>
    <d v="2024-07-15T00:00:00"/>
    <x v="0"/>
    <x v="0"/>
    <x v="1"/>
    <n v="16.167000000000002"/>
    <n v="242"/>
    <n v="2024"/>
    <s v="June"/>
  </r>
  <r>
    <s v="DINS-CLM-101590"/>
    <s v="DINS-CUS-501590"/>
    <s v="DINS-POL-201590"/>
    <x v="1"/>
    <x v="2"/>
    <x v="3"/>
    <x v="0"/>
    <x v="0"/>
    <d v="2024-04-28T00:00:00"/>
    <s v="Monthly"/>
    <d v="2024-11-30T00:00:00"/>
    <x v="0"/>
    <n v="10412"/>
    <n v="1496"/>
    <s v="N/A - Not Settled"/>
    <s v="N/A - Not Settled"/>
    <x v="0"/>
    <x v="0"/>
    <x v="1"/>
    <n v="6.9599000000000002"/>
    <n v="216"/>
    <n v="2024"/>
    <s v="November"/>
  </r>
  <r>
    <s v="DINS-CLM-101591"/>
    <s v="DINS-CUS-501591"/>
    <s v="DINS-POL-201591"/>
    <x v="2"/>
    <x v="0"/>
    <x v="0"/>
    <x v="1"/>
    <x v="6"/>
    <d v="2024-04-15T00:00:00"/>
    <s v="Monthly"/>
    <d v="2024-08-17T00:00:00"/>
    <x v="0"/>
    <n v="23653"/>
    <n v="3758"/>
    <s v="N/A - Not Settled"/>
    <s v="N/A - Not Settled"/>
    <x v="0"/>
    <x v="0"/>
    <x v="1"/>
    <n v="6.2939999999999996"/>
    <n v="124"/>
    <n v="2024"/>
    <s v="August"/>
  </r>
  <r>
    <s v="DINS-CLM-101592"/>
    <s v="DINS-CUS-501592"/>
    <s v="DINS-POL-201592"/>
    <x v="2"/>
    <x v="1"/>
    <x v="0"/>
    <x v="1"/>
    <x v="3"/>
    <d v="2024-07-20T00:00:00"/>
    <s v="Monthly"/>
    <d v="2024-08-27T00:00:00"/>
    <x v="1"/>
    <n v="26516"/>
    <n v="6840"/>
    <n v="3"/>
    <d v="2024-08-30T00:00:00"/>
    <x v="1"/>
    <x v="1"/>
    <x v="1"/>
    <n v="3.8765999999999998"/>
    <n v="38"/>
    <n v="2024"/>
    <s v="August"/>
  </r>
  <r>
    <s v="DINS-CLM-101593"/>
    <s v="DINS-CUS-501593"/>
    <s v="DINS-POL-201593"/>
    <x v="5"/>
    <x v="0"/>
    <x v="3"/>
    <x v="2"/>
    <x v="0"/>
    <d v="2023-02-24T00:00:00"/>
    <s v="Monthly"/>
    <d v="2024-01-12T00:00:00"/>
    <x v="1"/>
    <n v="13227"/>
    <n v="1665"/>
    <n v="27"/>
    <d v="2024-02-08T00:00:00"/>
    <x v="0"/>
    <x v="0"/>
    <x v="2"/>
    <n v="7.9440999999999997"/>
    <n v="322"/>
    <n v="2024"/>
    <s v="January"/>
  </r>
  <r>
    <s v="DINS-CLM-101594"/>
    <s v="DINS-CUS-501594"/>
    <s v="DINS-POL-201594"/>
    <x v="0"/>
    <x v="0"/>
    <x v="3"/>
    <x v="0"/>
    <x v="5"/>
    <d v="2024-01-02T00:00:00"/>
    <s v="Annual"/>
    <d v="2024-07-09T00:00:00"/>
    <x v="1"/>
    <n v="50810"/>
    <n v="7090"/>
    <n v="8"/>
    <d v="2024-07-17T00:00:00"/>
    <x v="0"/>
    <x v="0"/>
    <x v="0"/>
    <n v="7.1664000000000003"/>
    <n v="189"/>
    <n v="2024"/>
    <s v="July"/>
  </r>
  <r>
    <s v="DINS-CLM-101595"/>
    <s v="DINS-CUS-501595"/>
    <s v="DINS-POL-201595"/>
    <x v="0"/>
    <x v="0"/>
    <x v="2"/>
    <x v="0"/>
    <x v="4"/>
    <d v="2024-03-25T00:00:00"/>
    <s v="Monthly"/>
    <d v="2024-08-16T00:00:00"/>
    <x v="0"/>
    <n v="59125"/>
    <n v="4900"/>
    <s v="N/A - Not Settled"/>
    <s v="N/A - Not Settled"/>
    <x v="0"/>
    <x v="0"/>
    <x v="2"/>
    <n v="12.0663"/>
    <n v="144"/>
    <n v="2024"/>
    <s v="August"/>
  </r>
  <r>
    <s v="DINS-CLM-101596"/>
    <s v="DINS-CUS-501596"/>
    <s v="DINS-POL-201596"/>
    <x v="2"/>
    <x v="2"/>
    <x v="0"/>
    <x v="1"/>
    <x v="6"/>
    <d v="2023-04-21T00:00:00"/>
    <s v="Annual"/>
    <d v="2024-02-13T00:00:00"/>
    <x v="1"/>
    <n v="11596"/>
    <n v="8427"/>
    <n v="12"/>
    <d v="2024-02-25T00:00:00"/>
    <x v="0"/>
    <x v="0"/>
    <x v="0"/>
    <n v="1.3761000000000001"/>
    <n v="298"/>
    <n v="2024"/>
    <s v="February"/>
  </r>
  <r>
    <s v="DINS-CLM-101597"/>
    <s v="DINS-CUS-501597"/>
    <s v="DINS-POL-201597"/>
    <x v="3"/>
    <x v="2"/>
    <x v="5"/>
    <x v="2"/>
    <x v="2"/>
    <d v="2024-01-14T00:00:00"/>
    <s v="Monthly"/>
    <d v="2024-07-18T00:00:00"/>
    <x v="1"/>
    <n v="72524"/>
    <n v="3796"/>
    <n v="11"/>
    <d v="2024-07-29T00:00:00"/>
    <x v="1"/>
    <x v="0"/>
    <x v="2"/>
    <n v="19.105399999999999"/>
    <n v="186"/>
    <n v="2024"/>
    <s v="July"/>
  </r>
  <r>
    <s v="DINS-CLM-101598"/>
    <s v="DINS-CUS-501598"/>
    <s v="DINS-POL-201598"/>
    <x v="2"/>
    <x v="1"/>
    <x v="0"/>
    <x v="0"/>
    <x v="2"/>
    <d v="2023-03-28T00:00:00"/>
    <s v="Annual"/>
    <d v="2024-03-06T00:00:00"/>
    <x v="1"/>
    <n v="28581"/>
    <n v="7037"/>
    <n v="39"/>
    <d v="2024-04-14T00:00:00"/>
    <x v="0"/>
    <x v="0"/>
    <x v="1"/>
    <n v="4.0614999999999997"/>
    <n v="344"/>
    <n v="2024"/>
    <s v="March"/>
  </r>
  <r>
    <s v="DINS-CLM-101599"/>
    <s v="DINS-CUS-501599"/>
    <s v="DINS-POL-201599"/>
    <x v="0"/>
    <x v="0"/>
    <x v="4"/>
    <x v="2"/>
    <x v="6"/>
    <d v="2023-09-01T00:00:00"/>
    <s v="Annual"/>
    <d v="2024-08-21T00:00:00"/>
    <x v="1"/>
    <n v="50950"/>
    <n v="3986"/>
    <n v="24"/>
    <d v="2024-09-14T00:00:00"/>
    <x v="1"/>
    <x v="1"/>
    <x v="0"/>
    <n v="12.7822"/>
    <n v="355"/>
    <n v="2024"/>
    <s v="August"/>
  </r>
  <r>
    <s v="DINS-CLM-101600"/>
    <s v="DINS-CUS-501600"/>
    <s v="DINS-POL-201600"/>
    <x v="5"/>
    <x v="0"/>
    <x v="2"/>
    <x v="2"/>
    <x v="7"/>
    <d v="2023-09-04T00:00:00"/>
    <s v="Monthly"/>
    <d v="2024-06-10T00:00:00"/>
    <x v="2"/>
    <n v="18406"/>
    <n v="2100"/>
    <s v="N/A - Not Settled"/>
    <s v="N/A - Not Settled"/>
    <x v="0"/>
    <x v="0"/>
    <x v="1"/>
    <n v="8.7647999999999993"/>
    <n v="280"/>
    <n v="2024"/>
    <s v="June"/>
  </r>
  <r>
    <s v="DINS-CLM-101601"/>
    <s v="DINS-CUS-501601"/>
    <s v="DINS-POL-201601"/>
    <x v="3"/>
    <x v="1"/>
    <x v="1"/>
    <x v="1"/>
    <x v="4"/>
    <d v="2023-12-30T00:00:00"/>
    <s v="Annual"/>
    <d v="2024-09-13T00:00:00"/>
    <x v="1"/>
    <n v="97664"/>
    <n v="1179"/>
    <n v="6"/>
    <d v="2024-09-19T00:00:00"/>
    <x v="1"/>
    <x v="0"/>
    <x v="0"/>
    <n v="82.836299999999994"/>
    <n v="258"/>
    <n v="2024"/>
    <s v="September"/>
  </r>
  <r>
    <s v="DINS-CLM-101602"/>
    <s v="DINS-CUS-501602"/>
    <s v="DINS-POL-201602"/>
    <x v="1"/>
    <x v="0"/>
    <x v="0"/>
    <x v="2"/>
    <x v="7"/>
    <d v="2023-05-27T00:00:00"/>
    <s v="Monthly"/>
    <d v="2024-01-02T00:00:00"/>
    <x v="1"/>
    <n v="31734"/>
    <n v="7066"/>
    <n v="29"/>
    <d v="2024-01-31T00:00:00"/>
    <x v="0"/>
    <x v="0"/>
    <x v="2"/>
    <n v="4.4911000000000003"/>
    <n v="220"/>
    <n v="2024"/>
    <s v="January"/>
  </r>
  <r>
    <s v="DINS-CLM-101603"/>
    <s v="DINS-CUS-501603"/>
    <s v="DINS-POL-201603"/>
    <x v="3"/>
    <x v="2"/>
    <x v="2"/>
    <x v="2"/>
    <x v="6"/>
    <d v="2023-06-06T00:00:00"/>
    <s v="Annual"/>
    <d v="2024-01-28T00:00:00"/>
    <x v="1"/>
    <n v="80593"/>
    <n v="8390"/>
    <n v="31"/>
    <d v="2024-02-28T00:00:00"/>
    <x v="0"/>
    <x v="0"/>
    <x v="2"/>
    <n v="9.6058000000000003"/>
    <n v="236"/>
    <n v="2024"/>
    <s v="January"/>
  </r>
  <r>
    <s v="DINS-CLM-101604"/>
    <s v="DINS-CUS-501604"/>
    <s v="DINS-POL-201604"/>
    <x v="3"/>
    <x v="2"/>
    <x v="0"/>
    <x v="1"/>
    <x v="7"/>
    <d v="2023-02-27T00:00:00"/>
    <s v="Annual"/>
    <d v="2024-02-16T00:00:00"/>
    <x v="1"/>
    <n v="18802"/>
    <n v="8684"/>
    <n v="35"/>
    <d v="2024-03-22T00:00:00"/>
    <x v="0"/>
    <x v="0"/>
    <x v="2"/>
    <n v="2.1650999999999998"/>
    <n v="354"/>
    <n v="2024"/>
    <s v="February"/>
  </r>
  <r>
    <s v="DINS-CLM-101605"/>
    <s v="DINS-CUS-501605"/>
    <s v="DINS-POL-201605"/>
    <x v="0"/>
    <x v="2"/>
    <x v="5"/>
    <x v="0"/>
    <x v="3"/>
    <d v="2024-02-02T00:00:00"/>
    <s v="Monthly"/>
    <d v="2024-06-25T00:00:00"/>
    <x v="0"/>
    <n v="20788"/>
    <n v="4568"/>
    <s v="N/A - Not Settled"/>
    <s v="N/A - Not Settled"/>
    <x v="0"/>
    <x v="0"/>
    <x v="2"/>
    <n v="4.5507999999999997"/>
    <n v="144"/>
    <n v="2024"/>
    <s v="June"/>
  </r>
  <r>
    <s v="DINS-CLM-101606"/>
    <s v="DINS-CUS-501606"/>
    <s v="DINS-POL-201606"/>
    <x v="0"/>
    <x v="2"/>
    <x v="5"/>
    <x v="0"/>
    <x v="6"/>
    <d v="2023-07-23T00:00:00"/>
    <s v="Monthly"/>
    <d v="2024-01-28T00:00:00"/>
    <x v="2"/>
    <n v="51821"/>
    <n v="6909"/>
    <s v="N/A - Not Settled"/>
    <s v="N/A - Not Settled"/>
    <x v="0"/>
    <x v="0"/>
    <x v="0"/>
    <n v="7.5004999999999997"/>
    <n v="189"/>
    <n v="2024"/>
    <s v="January"/>
  </r>
  <r>
    <s v="DINS-CLM-101607"/>
    <s v="DINS-CUS-501607"/>
    <s v="DINS-POL-201607"/>
    <x v="2"/>
    <x v="2"/>
    <x v="0"/>
    <x v="1"/>
    <x v="5"/>
    <d v="2023-11-15T00:00:00"/>
    <s v="Annual"/>
    <d v="2024-03-10T00:00:00"/>
    <x v="1"/>
    <n v="32433"/>
    <n v="8296"/>
    <n v="45"/>
    <d v="2024-04-24T00:00:00"/>
    <x v="1"/>
    <x v="0"/>
    <x v="1"/>
    <n v="3.9095"/>
    <n v="116"/>
    <n v="2024"/>
    <s v="March"/>
  </r>
  <r>
    <s v="DINS-CLM-101608"/>
    <s v="DINS-CUS-501608"/>
    <s v="DINS-POL-201608"/>
    <x v="0"/>
    <x v="0"/>
    <x v="3"/>
    <x v="2"/>
    <x v="6"/>
    <d v="2024-02-01T00:00:00"/>
    <s v="Monthly"/>
    <d v="2024-05-19T00:00:00"/>
    <x v="1"/>
    <n v="54845"/>
    <n v="6087"/>
    <n v="20"/>
    <d v="2024-06-08T00:00:00"/>
    <x v="1"/>
    <x v="1"/>
    <x v="0"/>
    <n v="9.0101999999999993"/>
    <n v="108"/>
    <n v="2024"/>
    <s v="May"/>
  </r>
  <r>
    <s v="DINS-CLM-101609"/>
    <s v="DINS-CUS-501609"/>
    <s v="DINS-POL-201609"/>
    <x v="4"/>
    <x v="2"/>
    <x v="1"/>
    <x v="0"/>
    <x v="3"/>
    <d v="2024-02-01T00:00:00"/>
    <s v="Annual"/>
    <d v="2024-04-30T00:00:00"/>
    <x v="1"/>
    <n v="3228"/>
    <n v="7633"/>
    <n v="24"/>
    <d v="2024-05-24T00:00:00"/>
    <x v="1"/>
    <x v="0"/>
    <x v="1"/>
    <n v="0.4229"/>
    <n v="89"/>
    <n v="2024"/>
    <s v="April"/>
  </r>
  <r>
    <s v="DINS-CLM-101610"/>
    <s v="DINS-CUS-501610"/>
    <s v="DINS-POL-201610"/>
    <x v="0"/>
    <x v="1"/>
    <x v="2"/>
    <x v="0"/>
    <x v="7"/>
    <d v="2024-08-03T00:00:00"/>
    <s v="Annual"/>
    <d v="2024-10-10T00:00:00"/>
    <x v="1"/>
    <n v="41183"/>
    <n v="1249"/>
    <n v="16"/>
    <d v="2024-10-26T00:00:00"/>
    <x v="0"/>
    <x v="0"/>
    <x v="2"/>
    <n v="32.972799999999999"/>
    <n v="68"/>
    <n v="2024"/>
    <s v="October"/>
  </r>
  <r>
    <s v="DINS-CLM-101611"/>
    <s v="DINS-CUS-501611"/>
    <s v="DINS-POL-201611"/>
    <x v="2"/>
    <x v="2"/>
    <x v="4"/>
    <x v="2"/>
    <x v="6"/>
    <d v="2023-05-13T00:00:00"/>
    <s v="Monthly"/>
    <d v="2024-02-05T00:00:00"/>
    <x v="2"/>
    <n v="38923"/>
    <n v="7386"/>
    <s v="N/A - Not Settled"/>
    <s v="N/A - Not Settled"/>
    <x v="0"/>
    <x v="0"/>
    <x v="1"/>
    <n v="5.2698"/>
    <n v="268"/>
    <n v="2024"/>
    <s v="February"/>
  </r>
  <r>
    <s v="DINS-CLM-101612"/>
    <s v="DINS-CUS-501612"/>
    <s v="DINS-POL-201612"/>
    <x v="3"/>
    <x v="1"/>
    <x v="5"/>
    <x v="2"/>
    <x v="0"/>
    <d v="2024-07-04T00:00:00"/>
    <s v="Monthly"/>
    <d v="2024-08-03T00:00:00"/>
    <x v="1"/>
    <n v="44587"/>
    <n v="8076"/>
    <n v="12"/>
    <d v="2024-08-15T00:00:00"/>
    <x v="0"/>
    <x v="0"/>
    <x v="2"/>
    <n v="5.5209000000000001"/>
    <n v="30"/>
    <n v="2024"/>
    <s v="August"/>
  </r>
  <r>
    <s v="DINS-CLM-101613"/>
    <s v="DINS-CUS-501613"/>
    <s v="DINS-POL-201613"/>
    <x v="4"/>
    <x v="2"/>
    <x v="2"/>
    <x v="0"/>
    <x v="5"/>
    <d v="2023-10-27T00:00:00"/>
    <s v="Monthly"/>
    <d v="2024-02-02T00:00:00"/>
    <x v="1"/>
    <n v="14716"/>
    <n v="2675"/>
    <n v="18"/>
    <d v="2024-02-20T00:00:00"/>
    <x v="0"/>
    <x v="0"/>
    <x v="2"/>
    <n v="5.5012999999999996"/>
    <n v="98"/>
    <n v="2024"/>
    <s v="February"/>
  </r>
  <r>
    <s v="DINS-CLM-101614"/>
    <s v="DINS-CUS-501614"/>
    <s v="DINS-POL-201614"/>
    <x v="5"/>
    <x v="2"/>
    <x v="1"/>
    <x v="1"/>
    <x v="6"/>
    <d v="2024-03-01T00:00:00"/>
    <s v="Monthly"/>
    <d v="2024-09-13T00:00:00"/>
    <x v="1"/>
    <n v="23772"/>
    <n v="8788"/>
    <n v="44"/>
    <d v="2024-10-27T00:00:00"/>
    <x v="0"/>
    <x v="0"/>
    <x v="0"/>
    <n v="2.7050999999999998"/>
    <n v="196"/>
    <n v="2024"/>
    <s v="September"/>
  </r>
  <r>
    <s v="DINS-CLM-101615"/>
    <s v="DINS-CUS-501615"/>
    <s v="DINS-POL-201615"/>
    <x v="4"/>
    <x v="1"/>
    <x v="2"/>
    <x v="1"/>
    <x v="7"/>
    <d v="2024-03-20T00:00:00"/>
    <s v="Annual"/>
    <d v="2024-10-17T00:00:00"/>
    <x v="1"/>
    <n v="16165"/>
    <n v="4617"/>
    <n v="26"/>
    <d v="2024-11-12T00:00:00"/>
    <x v="0"/>
    <x v="0"/>
    <x v="0"/>
    <n v="3.5011999999999999"/>
    <n v="211"/>
    <n v="2024"/>
    <s v="October"/>
  </r>
  <r>
    <s v="DINS-CLM-101616"/>
    <s v="DINS-CUS-501616"/>
    <s v="DINS-POL-201616"/>
    <x v="3"/>
    <x v="0"/>
    <x v="2"/>
    <x v="0"/>
    <x v="2"/>
    <d v="2024-10-13T00:00:00"/>
    <s v="Monthly"/>
    <d v="2024-11-27T00:00:00"/>
    <x v="0"/>
    <n v="63751"/>
    <n v="3379"/>
    <s v="N/A - Not Settled"/>
    <s v="N/A - Not Settled"/>
    <x v="0"/>
    <x v="0"/>
    <x v="1"/>
    <n v="18.866800000000001"/>
    <n v="45"/>
    <n v="2024"/>
    <s v="November"/>
  </r>
  <r>
    <s v="DINS-CLM-101617"/>
    <s v="DINS-CUS-501617"/>
    <s v="DINS-POL-201617"/>
    <x v="4"/>
    <x v="2"/>
    <x v="1"/>
    <x v="2"/>
    <x v="2"/>
    <d v="2023-12-31T00:00:00"/>
    <s v="Annual"/>
    <d v="2024-09-08T00:00:00"/>
    <x v="1"/>
    <n v="11370"/>
    <n v="4188"/>
    <n v="33"/>
    <d v="2024-10-11T00:00:00"/>
    <x v="0"/>
    <x v="0"/>
    <x v="0"/>
    <n v="2.7149000000000001"/>
    <n v="252"/>
    <n v="2024"/>
    <s v="September"/>
  </r>
  <r>
    <s v="DINS-CLM-101618"/>
    <s v="DINS-CUS-501618"/>
    <s v="DINS-POL-201618"/>
    <x v="3"/>
    <x v="1"/>
    <x v="3"/>
    <x v="1"/>
    <x v="4"/>
    <d v="2023-02-06T00:00:00"/>
    <s v="Monthly"/>
    <d v="2024-01-29T00:00:00"/>
    <x v="0"/>
    <n v="79119"/>
    <n v="8668"/>
    <s v="N/A - Not Settled"/>
    <s v="N/A - Not Settled"/>
    <x v="0"/>
    <x v="0"/>
    <x v="0"/>
    <n v="9.1277000000000008"/>
    <n v="357"/>
    <n v="2024"/>
    <s v="January"/>
  </r>
  <r>
    <s v="DINS-CLM-101619"/>
    <s v="DINS-CUS-501619"/>
    <s v="DINS-POL-201619"/>
    <x v="3"/>
    <x v="0"/>
    <x v="1"/>
    <x v="2"/>
    <x v="1"/>
    <d v="2024-01-30T00:00:00"/>
    <s v="Annual"/>
    <d v="2024-03-02T00:00:00"/>
    <x v="2"/>
    <n v="90652"/>
    <n v="5416"/>
    <s v="N/A - Not Settled"/>
    <s v="N/A - Not Settled"/>
    <x v="0"/>
    <x v="0"/>
    <x v="1"/>
    <n v="16.7378"/>
    <n v="32"/>
    <n v="2024"/>
    <s v="March"/>
  </r>
  <r>
    <s v="DINS-CLM-101620"/>
    <s v="DINS-CUS-501620"/>
    <s v="DINS-POL-201620"/>
    <x v="3"/>
    <x v="1"/>
    <x v="5"/>
    <x v="0"/>
    <x v="7"/>
    <d v="2024-03-01T00:00:00"/>
    <s v="Monthly"/>
    <d v="2024-07-25T00:00:00"/>
    <x v="0"/>
    <n v="21433"/>
    <n v="1136"/>
    <s v="N/A - Not Settled"/>
    <s v="N/A - Not Settled"/>
    <x v="0"/>
    <x v="0"/>
    <x v="0"/>
    <n v="18.867100000000001"/>
    <n v="146"/>
    <n v="2024"/>
    <s v="July"/>
  </r>
  <r>
    <s v="DINS-CLM-101621"/>
    <s v="DINS-CUS-501621"/>
    <s v="DINS-POL-201621"/>
    <x v="2"/>
    <x v="1"/>
    <x v="4"/>
    <x v="1"/>
    <x v="2"/>
    <d v="2024-01-29T00:00:00"/>
    <s v="Annual"/>
    <d v="2024-11-25T00:00:00"/>
    <x v="2"/>
    <n v="4555"/>
    <n v="4628"/>
    <s v="N/A - Not Settled"/>
    <s v="N/A - Not Settled"/>
    <x v="0"/>
    <x v="0"/>
    <x v="1"/>
    <n v="0.98419999999999996"/>
    <n v="301"/>
    <n v="2024"/>
    <s v="November"/>
  </r>
  <r>
    <s v="DINS-CLM-101622"/>
    <s v="DINS-CUS-501622"/>
    <s v="DINS-POL-201622"/>
    <x v="4"/>
    <x v="0"/>
    <x v="2"/>
    <x v="2"/>
    <x v="1"/>
    <d v="2024-02-09T00:00:00"/>
    <s v="Annual"/>
    <d v="2024-09-25T00:00:00"/>
    <x v="1"/>
    <n v="19949"/>
    <n v="7999"/>
    <n v="41"/>
    <d v="2024-11-05T00:00:00"/>
    <x v="0"/>
    <x v="0"/>
    <x v="0"/>
    <n v="2.4939"/>
    <n v="229"/>
    <n v="2024"/>
    <s v="September"/>
  </r>
  <r>
    <s v="DINS-CLM-101623"/>
    <s v="DINS-CUS-501623"/>
    <s v="DINS-POL-201623"/>
    <x v="0"/>
    <x v="0"/>
    <x v="1"/>
    <x v="0"/>
    <x v="3"/>
    <d v="2023-07-19T00:00:00"/>
    <s v="Monthly"/>
    <d v="2024-05-23T00:00:00"/>
    <x v="1"/>
    <n v="43940"/>
    <n v="2381"/>
    <n v="8"/>
    <d v="2024-05-31T00:00:00"/>
    <x v="0"/>
    <x v="0"/>
    <x v="0"/>
    <n v="18.4544"/>
    <n v="309"/>
    <n v="2024"/>
    <s v="May"/>
  </r>
  <r>
    <s v="DINS-CLM-101624"/>
    <s v="DINS-CUS-501624"/>
    <s v="DINS-POL-201624"/>
    <x v="1"/>
    <x v="0"/>
    <x v="4"/>
    <x v="1"/>
    <x v="4"/>
    <d v="2024-03-03T00:00:00"/>
    <s v="Monthly"/>
    <d v="2024-10-10T00:00:00"/>
    <x v="1"/>
    <n v="34553"/>
    <n v="4238"/>
    <n v="12"/>
    <d v="2024-10-22T00:00:00"/>
    <x v="0"/>
    <x v="0"/>
    <x v="2"/>
    <n v="8.1531000000000002"/>
    <n v="221"/>
    <n v="2024"/>
    <s v="October"/>
  </r>
  <r>
    <s v="DINS-CLM-101625"/>
    <s v="DINS-CUS-501625"/>
    <s v="DINS-POL-201625"/>
    <x v="5"/>
    <x v="1"/>
    <x v="3"/>
    <x v="0"/>
    <x v="7"/>
    <d v="2023-10-01T00:00:00"/>
    <s v="Monthly"/>
    <d v="2024-09-28T00:00:00"/>
    <x v="0"/>
    <n v="58887"/>
    <n v="4923"/>
    <s v="N/A - Not Settled"/>
    <s v="N/A - Not Settled"/>
    <x v="0"/>
    <x v="0"/>
    <x v="2"/>
    <n v="11.961600000000001"/>
    <n v="363"/>
    <n v="2024"/>
    <s v="September"/>
  </r>
  <r>
    <s v="DINS-CLM-101626"/>
    <s v="DINS-CUS-501626"/>
    <s v="DINS-POL-201626"/>
    <x v="2"/>
    <x v="0"/>
    <x v="4"/>
    <x v="1"/>
    <x v="3"/>
    <d v="2023-07-11T00:00:00"/>
    <s v="Annual"/>
    <d v="2024-02-05T00:00:00"/>
    <x v="1"/>
    <n v="2815"/>
    <n v="7349"/>
    <n v="40"/>
    <d v="2024-03-16T00:00:00"/>
    <x v="0"/>
    <x v="0"/>
    <x v="2"/>
    <n v="0.38300000000000001"/>
    <n v="209"/>
    <n v="2024"/>
    <s v="February"/>
  </r>
  <r>
    <s v="DINS-CLM-101627"/>
    <s v="DINS-CUS-501627"/>
    <s v="DINS-POL-201627"/>
    <x v="3"/>
    <x v="1"/>
    <x v="5"/>
    <x v="2"/>
    <x v="2"/>
    <d v="2024-01-08T00:00:00"/>
    <s v="Annual"/>
    <d v="2024-08-04T00:00:00"/>
    <x v="2"/>
    <n v="19422"/>
    <n v="4141"/>
    <s v="N/A - Not Settled"/>
    <s v="N/A - Not Settled"/>
    <x v="0"/>
    <x v="0"/>
    <x v="1"/>
    <n v="4.6901999999999999"/>
    <n v="209"/>
    <n v="2024"/>
    <s v="August"/>
  </r>
  <r>
    <s v="DINS-CLM-101628"/>
    <s v="DINS-CUS-501628"/>
    <s v="DINS-POL-201628"/>
    <x v="0"/>
    <x v="0"/>
    <x v="0"/>
    <x v="2"/>
    <x v="0"/>
    <d v="2023-04-11T00:00:00"/>
    <s v="Annual"/>
    <d v="2024-01-25T00:00:00"/>
    <x v="1"/>
    <n v="53468"/>
    <n v="8000"/>
    <n v="6"/>
    <d v="2024-01-31T00:00:00"/>
    <x v="1"/>
    <x v="0"/>
    <x v="2"/>
    <n v="6.6835000000000004"/>
    <n v="289"/>
    <n v="2024"/>
    <s v="January"/>
  </r>
  <r>
    <s v="DINS-CLM-101629"/>
    <s v="DINS-CUS-501629"/>
    <s v="DINS-POL-201629"/>
    <x v="0"/>
    <x v="1"/>
    <x v="5"/>
    <x v="2"/>
    <x v="7"/>
    <d v="2023-11-23T00:00:00"/>
    <s v="Monthly"/>
    <d v="2024-07-02T00:00:00"/>
    <x v="1"/>
    <n v="48107"/>
    <n v="5084"/>
    <n v="38"/>
    <d v="2024-08-09T00:00:00"/>
    <x v="0"/>
    <x v="0"/>
    <x v="1"/>
    <n v="9.4624000000000006"/>
    <n v="222"/>
    <n v="2024"/>
    <s v="July"/>
  </r>
  <r>
    <s v="DINS-CLM-101630"/>
    <s v="DINS-CUS-501630"/>
    <s v="DINS-POL-201630"/>
    <x v="3"/>
    <x v="0"/>
    <x v="0"/>
    <x v="1"/>
    <x v="2"/>
    <d v="2024-04-09T00:00:00"/>
    <s v="Monthly"/>
    <d v="2024-10-03T00:00:00"/>
    <x v="1"/>
    <n v="55191"/>
    <n v="1411"/>
    <n v="31"/>
    <d v="2024-11-03T00:00:00"/>
    <x v="1"/>
    <x v="1"/>
    <x v="1"/>
    <n v="39.114800000000002"/>
    <n v="177"/>
    <n v="2024"/>
    <s v="October"/>
  </r>
  <r>
    <s v="DINS-CLM-101631"/>
    <s v="DINS-CUS-501631"/>
    <s v="DINS-POL-201631"/>
    <x v="5"/>
    <x v="1"/>
    <x v="2"/>
    <x v="1"/>
    <x v="7"/>
    <d v="2024-09-09T00:00:00"/>
    <s v="Monthly"/>
    <d v="2024-11-21T00:00:00"/>
    <x v="0"/>
    <n v="61285"/>
    <n v="7587"/>
    <s v="N/A - Not Settled"/>
    <s v="N/A - Not Settled"/>
    <x v="0"/>
    <x v="0"/>
    <x v="2"/>
    <n v="8.0776000000000003"/>
    <n v="73"/>
    <n v="2024"/>
    <s v="November"/>
  </r>
  <r>
    <s v="DINS-CLM-101632"/>
    <s v="DINS-CUS-501632"/>
    <s v="DINS-POL-201632"/>
    <x v="2"/>
    <x v="0"/>
    <x v="3"/>
    <x v="2"/>
    <x v="4"/>
    <d v="2023-06-07T00:00:00"/>
    <s v="Monthly"/>
    <d v="2024-05-09T00:00:00"/>
    <x v="1"/>
    <n v="2036"/>
    <n v="3734"/>
    <n v="36"/>
    <d v="2024-06-14T00:00:00"/>
    <x v="0"/>
    <x v="0"/>
    <x v="2"/>
    <n v="0.54530000000000001"/>
    <n v="337"/>
    <n v="2024"/>
    <s v="May"/>
  </r>
  <r>
    <s v="DINS-CLM-101633"/>
    <s v="DINS-CUS-501633"/>
    <s v="DINS-POL-201633"/>
    <x v="4"/>
    <x v="1"/>
    <x v="3"/>
    <x v="2"/>
    <x v="1"/>
    <d v="2024-07-08T00:00:00"/>
    <s v="Annual"/>
    <d v="2024-12-08T00:00:00"/>
    <x v="1"/>
    <n v="11547"/>
    <n v="2240"/>
    <n v="34"/>
    <d v="2025-01-11T00:00:00"/>
    <x v="1"/>
    <x v="1"/>
    <x v="2"/>
    <n v="5.1548999999999996"/>
    <n v="153"/>
    <n v="2024"/>
    <s v="December"/>
  </r>
  <r>
    <s v="DINS-CLM-101634"/>
    <s v="DINS-CUS-501634"/>
    <s v="DINS-POL-201634"/>
    <x v="0"/>
    <x v="0"/>
    <x v="3"/>
    <x v="2"/>
    <x v="5"/>
    <d v="2023-04-28T00:00:00"/>
    <s v="Monthly"/>
    <d v="2024-04-08T00:00:00"/>
    <x v="0"/>
    <n v="21867"/>
    <n v="2141"/>
    <s v="N/A - Not Settled"/>
    <s v="N/A - Not Settled"/>
    <x v="0"/>
    <x v="0"/>
    <x v="2"/>
    <n v="10.2135"/>
    <n v="346"/>
    <n v="2024"/>
    <s v="April"/>
  </r>
  <r>
    <s v="DINS-CLM-101635"/>
    <s v="DINS-CUS-501635"/>
    <s v="DINS-POL-201635"/>
    <x v="2"/>
    <x v="2"/>
    <x v="4"/>
    <x v="0"/>
    <x v="0"/>
    <d v="2024-07-16T00:00:00"/>
    <s v="Annual"/>
    <d v="2024-09-23T00:00:00"/>
    <x v="1"/>
    <n v="23063"/>
    <n v="4973"/>
    <n v="40"/>
    <d v="2024-11-02T00:00:00"/>
    <x v="0"/>
    <x v="0"/>
    <x v="0"/>
    <n v="4.6375999999999999"/>
    <n v="69"/>
    <n v="2024"/>
    <s v="September"/>
  </r>
  <r>
    <s v="DINS-CLM-101636"/>
    <s v="DINS-CUS-501636"/>
    <s v="DINS-POL-201636"/>
    <x v="0"/>
    <x v="0"/>
    <x v="1"/>
    <x v="1"/>
    <x v="7"/>
    <d v="2024-10-04T00:00:00"/>
    <s v="Monthly"/>
    <d v="2024-11-09T00:00:00"/>
    <x v="1"/>
    <n v="47043"/>
    <n v="4505"/>
    <n v="6"/>
    <d v="2024-11-15T00:00:00"/>
    <x v="1"/>
    <x v="1"/>
    <x v="2"/>
    <n v="10.442399999999999"/>
    <n v="36"/>
    <n v="2024"/>
    <s v="November"/>
  </r>
  <r>
    <s v="DINS-CLM-101637"/>
    <s v="DINS-CUS-501637"/>
    <s v="DINS-POL-201637"/>
    <x v="0"/>
    <x v="1"/>
    <x v="2"/>
    <x v="2"/>
    <x v="7"/>
    <d v="2024-08-03T00:00:00"/>
    <s v="Monthly"/>
    <d v="2024-12-25T00:00:00"/>
    <x v="0"/>
    <n v="41736"/>
    <n v="1894"/>
    <s v="N/A - Not Settled"/>
    <s v="N/A - Not Settled"/>
    <x v="1"/>
    <x v="1"/>
    <x v="0"/>
    <n v="22.035900000000002"/>
    <n v="144"/>
    <n v="2024"/>
    <s v="December"/>
  </r>
  <r>
    <s v="DINS-CLM-101638"/>
    <s v="DINS-CUS-501638"/>
    <s v="DINS-POL-201638"/>
    <x v="0"/>
    <x v="0"/>
    <x v="1"/>
    <x v="0"/>
    <x v="7"/>
    <d v="2024-06-01T00:00:00"/>
    <s v="Monthly"/>
    <d v="2024-10-10T00:00:00"/>
    <x v="1"/>
    <n v="8278"/>
    <n v="1834"/>
    <n v="23"/>
    <d v="2024-11-02T00:00:00"/>
    <x v="0"/>
    <x v="0"/>
    <x v="1"/>
    <n v="4.5136000000000003"/>
    <n v="131"/>
    <n v="2024"/>
    <s v="October"/>
  </r>
  <r>
    <s v="DINS-CLM-101639"/>
    <s v="DINS-CUS-501639"/>
    <s v="DINS-POL-201639"/>
    <x v="3"/>
    <x v="1"/>
    <x v="4"/>
    <x v="1"/>
    <x v="1"/>
    <d v="2023-08-29T00:00:00"/>
    <s v="Annual"/>
    <d v="2024-01-15T00:00:00"/>
    <x v="1"/>
    <n v="74445"/>
    <n v="1712"/>
    <n v="38"/>
    <d v="2024-02-22T00:00:00"/>
    <x v="0"/>
    <x v="0"/>
    <x v="1"/>
    <n v="43.484200000000001"/>
    <n v="139"/>
    <n v="2024"/>
    <s v="January"/>
  </r>
  <r>
    <s v="DINS-CLM-101640"/>
    <s v="DINS-CUS-501640"/>
    <s v="DINS-POL-201640"/>
    <x v="5"/>
    <x v="2"/>
    <x v="2"/>
    <x v="0"/>
    <x v="5"/>
    <d v="2024-03-06T00:00:00"/>
    <s v="Annual"/>
    <d v="2024-05-28T00:00:00"/>
    <x v="1"/>
    <n v="33082"/>
    <n v="8233"/>
    <n v="26"/>
    <d v="2024-06-23T00:00:00"/>
    <x v="0"/>
    <x v="0"/>
    <x v="1"/>
    <n v="4.0182000000000002"/>
    <n v="83"/>
    <n v="2024"/>
    <s v="May"/>
  </r>
  <r>
    <s v="DINS-CLM-101641"/>
    <s v="DINS-CUS-501641"/>
    <s v="DINS-POL-201641"/>
    <x v="0"/>
    <x v="2"/>
    <x v="5"/>
    <x v="2"/>
    <x v="1"/>
    <d v="2024-04-10T00:00:00"/>
    <s v="Annual"/>
    <d v="2024-08-29T00:00:00"/>
    <x v="2"/>
    <n v="4291"/>
    <n v="8037"/>
    <s v="N/A - Not Settled"/>
    <s v="N/A - Not Settled"/>
    <x v="0"/>
    <x v="0"/>
    <x v="2"/>
    <n v="0.53390000000000004"/>
    <n v="141"/>
    <n v="2024"/>
    <s v="August"/>
  </r>
  <r>
    <s v="DINS-CLM-101642"/>
    <s v="DINS-CUS-501642"/>
    <s v="DINS-POL-201642"/>
    <x v="3"/>
    <x v="0"/>
    <x v="5"/>
    <x v="2"/>
    <x v="7"/>
    <d v="2023-11-01T00:00:00"/>
    <s v="Monthly"/>
    <d v="2024-04-20T00:00:00"/>
    <x v="1"/>
    <n v="54399"/>
    <n v="8264"/>
    <n v="16"/>
    <d v="2024-05-06T00:00:00"/>
    <x v="0"/>
    <x v="0"/>
    <x v="2"/>
    <n v="6.5826000000000002"/>
    <n v="171"/>
    <n v="2024"/>
    <s v="April"/>
  </r>
  <r>
    <s v="DINS-CLM-101643"/>
    <s v="DINS-CUS-501643"/>
    <s v="DINS-POL-201643"/>
    <x v="5"/>
    <x v="2"/>
    <x v="0"/>
    <x v="0"/>
    <x v="6"/>
    <d v="2024-05-08T00:00:00"/>
    <s v="Annual"/>
    <d v="2024-09-30T00:00:00"/>
    <x v="1"/>
    <n v="28193"/>
    <n v="4863"/>
    <n v="7"/>
    <d v="2024-10-07T00:00:00"/>
    <x v="0"/>
    <x v="0"/>
    <x v="1"/>
    <n v="5.7975000000000003"/>
    <n v="145"/>
    <n v="2024"/>
    <s v="September"/>
  </r>
  <r>
    <s v="DINS-CLM-101644"/>
    <s v="DINS-CUS-501644"/>
    <s v="DINS-POL-201644"/>
    <x v="2"/>
    <x v="0"/>
    <x v="3"/>
    <x v="0"/>
    <x v="7"/>
    <d v="2024-03-03T00:00:00"/>
    <s v="Monthly"/>
    <d v="2024-04-23T00:00:00"/>
    <x v="1"/>
    <n v="31998"/>
    <n v="3336"/>
    <n v="40"/>
    <d v="2024-06-02T00:00:00"/>
    <x v="1"/>
    <x v="1"/>
    <x v="2"/>
    <n v="9.5916999999999994"/>
    <n v="51"/>
    <n v="2024"/>
    <s v="April"/>
  </r>
  <r>
    <s v="DINS-CLM-101645"/>
    <s v="DINS-CUS-501645"/>
    <s v="DINS-POL-201645"/>
    <x v="0"/>
    <x v="2"/>
    <x v="4"/>
    <x v="0"/>
    <x v="4"/>
    <d v="2023-12-15T00:00:00"/>
    <s v="Monthly"/>
    <d v="2024-12-11T00:00:00"/>
    <x v="1"/>
    <n v="18509"/>
    <n v="629"/>
    <n v="8"/>
    <d v="2024-12-19T00:00:00"/>
    <x v="0"/>
    <x v="0"/>
    <x v="1"/>
    <n v="29.426100000000002"/>
    <n v="362"/>
    <n v="2024"/>
    <s v="December"/>
  </r>
  <r>
    <s v="DINS-CLM-101646"/>
    <s v="DINS-CUS-501646"/>
    <s v="DINS-POL-201646"/>
    <x v="1"/>
    <x v="1"/>
    <x v="4"/>
    <x v="2"/>
    <x v="5"/>
    <d v="2024-05-01T00:00:00"/>
    <s v="Annual"/>
    <d v="2024-07-03T00:00:00"/>
    <x v="1"/>
    <n v="39482"/>
    <n v="6295"/>
    <n v="5"/>
    <d v="2024-07-08T00:00:00"/>
    <x v="0"/>
    <x v="0"/>
    <x v="0"/>
    <n v="6.2720000000000002"/>
    <n v="63"/>
    <n v="2024"/>
    <s v="July"/>
  </r>
  <r>
    <s v="DINS-CLM-101647"/>
    <s v="DINS-CUS-501647"/>
    <s v="DINS-POL-201647"/>
    <x v="5"/>
    <x v="1"/>
    <x v="0"/>
    <x v="0"/>
    <x v="6"/>
    <d v="2023-11-16T00:00:00"/>
    <s v="Annual"/>
    <d v="2024-06-13T00:00:00"/>
    <x v="1"/>
    <n v="45857"/>
    <n v="1502"/>
    <n v="43"/>
    <d v="2024-07-26T00:00:00"/>
    <x v="0"/>
    <x v="0"/>
    <x v="0"/>
    <n v="30.5306"/>
    <n v="210"/>
    <n v="2024"/>
    <s v="June"/>
  </r>
  <r>
    <s v="DINS-CLM-101648"/>
    <s v="DINS-CUS-501648"/>
    <s v="DINS-POL-201648"/>
    <x v="3"/>
    <x v="0"/>
    <x v="3"/>
    <x v="1"/>
    <x v="2"/>
    <d v="2023-10-04T00:00:00"/>
    <s v="Annual"/>
    <d v="2024-05-04T00:00:00"/>
    <x v="0"/>
    <n v="33895"/>
    <n v="4765"/>
    <s v="N/A - Not Settled"/>
    <s v="N/A - Not Settled"/>
    <x v="0"/>
    <x v="0"/>
    <x v="2"/>
    <n v="7.1132999999999997"/>
    <n v="213"/>
    <n v="2024"/>
    <s v="May"/>
  </r>
  <r>
    <s v="DINS-CLM-101649"/>
    <s v="DINS-CUS-501649"/>
    <s v="DINS-POL-201649"/>
    <x v="2"/>
    <x v="1"/>
    <x v="3"/>
    <x v="1"/>
    <x v="1"/>
    <d v="2023-02-11T00:00:00"/>
    <s v="Monthly"/>
    <d v="2024-02-09T00:00:00"/>
    <x v="1"/>
    <n v="7391"/>
    <n v="4532"/>
    <n v="4"/>
    <d v="2024-02-13T00:00:00"/>
    <x v="0"/>
    <x v="0"/>
    <x v="0"/>
    <n v="1.6308"/>
    <n v="363"/>
    <n v="2024"/>
    <s v="February"/>
  </r>
  <r>
    <s v="DINS-CLM-101650"/>
    <s v="DINS-CUS-501650"/>
    <s v="DINS-POL-201650"/>
    <x v="3"/>
    <x v="2"/>
    <x v="0"/>
    <x v="2"/>
    <x v="2"/>
    <d v="2024-01-10T00:00:00"/>
    <s v="Annual"/>
    <d v="2024-10-04T00:00:00"/>
    <x v="0"/>
    <n v="52355"/>
    <n v="8826"/>
    <s v="N/A - Not Settled"/>
    <s v="N/A - Not Settled"/>
    <x v="1"/>
    <x v="1"/>
    <x v="2"/>
    <n v="5.9318999999999997"/>
    <n v="268"/>
    <n v="2024"/>
    <s v="October"/>
  </r>
  <r>
    <s v="DINS-CLM-101651"/>
    <s v="DINS-CUS-501651"/>
    <s v="DINS-POL-201651"/>
    <x v="2"/>
    <x v="1"/>
    <x v="3"/>
    <x v="1"/>
    <x v="6"/>
    <d v="2023-07-25T00:00:00"/>
    <s v="Monthly"/>
    <d v="2024-07-06T00:00:00"/>
    <x v="1"/>
    <n v="8563"/>
    <n v="1007"/>
    <n v="4"/>
    <d v="2024-07-10T00:00:00"/>
    <x v="0"/>
    <x v="0"/>
    <x v="0"/>
    <n v="8.5035000000000007"/>
    <n v="347"/>
    <n v="2024"/>
    <s v="July"/>
  </r>
  <r>
    <s v="DINS-CLM-101652"/>
    <s v="DINS-CUS-501652"/>
    <s v="DINS-POL-201652"/>
    <x v="0"/>
    <x v="1"/>
    <x v="3"/>
    <x v="1"/>
    <x v="3"/>
    <d v="2023-10-01T00:00:00"/>
    <s v="Monthly"/>
    <d v="2024-09-01T00:00:00"/>
    <x v="1"/>
    <n v="33757"/>
    <n v="4501"/>
    <n v="14"/>
    <d v="2024-09-15T00:00:00"/>
    <x v="0"/>
    <x v="0"/>
    <x v="1"/>
    <n v="7.4999000000000002"/>
    <n v="336"/>
    <n v="2024"/>
    <s v="September"/>
  </r>
  <r>
    <s v="DINS-CLM-101653"/>
    <s v="DINS-CUS-501653"/>
    <s v="DINS-POL-201653"/>
    <x v="1"/>
    <x v="2"/>
    <x v="5"/>
    <x v="2"/>
    <x v="4"/>
    <d v="2023-06-13T00:00:00"/>
    <s v="Monthly"/>
    <d v="2024-05-22T00:00:00"/>
    <x v="1"/>
    <n v="22619"/>
    <n v="1107"/>
    <n v="29"/>
    <d v="2024-06-20T00:00:00"/>
    <x v="0"/>
    <x v="0"/>
    <x v="2"/>
    <n v="20.432700000000001"/>
    <n v="344"/>
    <n v="2024"/>
    <s v="May"/>
  </r>
  <r>
    <s v="DINS-CLM-101654"/>
    <s v="DINS-CUS-501654"/>
    <s v="DINS-POL-201654"/>
    <x v="0"/>
    <x v="1"/>
    <x v="4"/>
    <x v="2"/>
    <x v="5"/>
    <d v="2023-05-18T00:00:00"/>
    <s v="Annual"/>
    <d v="2024-03-12T00:00:00"/>
    <x v="0"/>
    <n v="8011"/>
    <n v="1676"/>
    <s v="N/A - Not Settled"/>
    <s v="N/A - Not Settled"/>
    <x v="0"/>
    <x v="0"/>
    <x v="1"/>
    <n v="4.7797999999999998"/>
    <n v="299"/>
    <n v="2024"/>
    <s v="March"/>
  </r>
  <r>
    <s v="DINS-CLM-101655"/>
    <s v="DINS-CUS-501655"/>
    <s v="DINS-POL-201655"/>
    <x v="0"/>
    <x v="2"/>
    <x v="4"/>
    <x v="0"/>
    <x v="1"/>
    <d v="2023-09-16T00:00:00"/>
    <s v="Monthly"/>
    <d v="2024-05-07T00:00:00"/>
    <x v="0"/>
    <n v="49809"/>
    <n v="8416"/>
    <s v="N/A - Not Settled"/>
    <s v="N/A - Not Settled"/>
    <x v="0"/>
    <x v="0"/>
    <x v="2"/>
    <n v="5.9184000000000001"/>
    <n v="234"/>
    <n v="2024"/>
    <s v="May"/>
  </r>
  <r>
    <s v="DINS-CLM-101656"/>
    <s v="DINS-CUS-501656"/>
    <s v="DINS-POL-201656"/>
    <x v="2"/>
    <x v="2"/>
    <x v="1"/>
    <x v="0"/>
    <x v="7"/>
    <d v="2024-02-04T00:00:00"/>
    <s v="Annual"/>
    <d v="2024-10-03T00:00:00"/>
    <x v="0"/>
    <n v="38783"/>
    <n v="7386"/>
    <s v="N/A - Not Settled"/>
    <s v="N/A - Not Settled"/>
    <x v="0"/>
    <x v="0"/>
    <x v="0"/>
    <n v="5.2508999999999997"/>
    <n v="242"/>
    <n v="2024"/>
    <s v="October"/>
  </r>
  <r>
    <s v="DINS-CLM-101657"/>
    <s v="DINS-CUS-501657"/>
    <s v="DINS-POL-201657"/>
    <x v="5"/>
    <x v="1"/>
    <x v="5"/>
    <x v="0"/>
    <x v="2"/>
    <d v="2023-12-30T00:00:00"/>
    <s v="Annual"/>
    <d v="2024-12-12T00:00:00"/>
    <x v="1"/>
    <n v="28570"/>
    <n v="7237"/>
    <n v="41"/>
    <d v="2025-01-22T00:00:00"/>
    <x v="1"/>
    <x v="0"/>
    <x v="0"/>
    <n v="3.9478"/>
    <n v="348"/>
    <n v="2024"/>
    <s v="December"/>
  </r>
  <r>
    <s v="DINS-CLM-101658"/>
    <s v="DINS-CUS-501658"/>
    <s v="DINS-POL-201658"/>
    <x v="2"/>
    <x v="0"/>
    <x v="3"/>
    <x v="0"/>
    <x v="6"/>
    <d v="2024-01-03T00:00:00"/>
    <s v="Annual"/>
    <d v="2024-02-07T00:00:00"/>
    <x v="1"/>
    <n v="36124"/>
    <n v="2768"/>
    <n v="9"/>
    <d v="2024-02-16T00:00:00"/>
    <x v="1"/>
    <x v="0"/>
    <x v="1"/>
    <n v="13.050599999999999"/>
    <n v="35"/>
    <n v="2024"/>
    <s v="February"/>
  </r>
  <r>
    <s v="DINS-CLM-101659"/>
    <s v="DINS-CUS-501659"/>
    <s v="DINS-POL-201659"/>
    <x v="2"/>
    <x v="1"/>
    <x v="4"/>
    <x v="0"/>
    <x v="3"/>
    <d v="2024-03-21T00:00:00"/>
    <s v="Monthly"/>
    <d v="2024-11-04T00:00:00"/>
    <x v="0"/>
    <n v="30870"/>
    <n v="4710"/>
    <s v="N/A - Not Settled"/>
    <s v="N/A - Not Settled"/>
    <x v="0"/>
    <x v="0"/>
    <x v="0"/>
    <n v="6.5541"/>
    <n v="228"/>
    <n v="2024"/>
    <s v="November"/>
  </r>
  <r>
    <s v="DINS-CLM-101660"/>
    <s v="DINS-CUS-501660"/>
    <s v="DINS-POL-201660"/>
    <x v="0"/>
    <x v="1"/>
    <x v="2"/>
    <x v="1"/>
    <x v="5"/>
    <d v="2023-08-02T00:00:00"/>
    <s v="Annual"/>
    <d v="2024-05-30T00:00:00"/>
    <x v="1"/>
    <n v="42578"/>
    <n v="5119"/>
    <n v="45"/>
    <d v="2024-07-14T00:00:00"/>
    <x v="0"/>
    <x v="0"/>
    <x v="1"/>
    <n v="8.3176000000000005"/>
    <n v="302"/>
    <n v="2024"/>
    <s v="May"/>
  </r>
  <r>
    <s v="DINS-CLM-101661"/>
    <s v="DINS-CUS-501661"/>
    <s v="DINS-POL-201661"/>
    <x v="4"/>
    <x v="1"/>
    <x v="1"/>
    <x v="0"/>
    <x v="2"/>
    <d v="2023-09-25T00:00:00"/>
    <s v="Annual"/>
    <d v="2024-07-19T00:00:00"/>
    <x v="1"/>
    <n v="16039"/>
    <n v="2694"/>
    <n v="2"/>
    <d v="2024-07-21T00:00:00"/>
    <x v="1"/>
    <x v="1"/>
    <x v="1"/>
    <n v="5.9535999999999998"/>
    <n v="298"/>
    <n v="2024"/>
    <s v="July"/>
  </r>
  <r>
    <s v="DINS-CLM-101662"/>
    <s v="DINS-CUS-501662"/>
    <s v="DINS-POL-201662"/>
    <x v="5"/>
    <x v="0"/>
    <x v="4"/>
    <x v="1"/>
    <x v="6"/>
    <d v="2024-02-14T00:00:00"/>
    <s v="Monthly"/>
    <d v="2024-06-26T00:00:00"/>
    <x v="1"/>
    <n v="59847"/>
    <n v="7257"/>
    <n v="38"/>
    <d v="2024-08-03T00:00:00"/>
    <x v="0"/>
    <x v="0"/>
    <x v="0"/>
    <n v="8.2468000000000004"/>
    <n v="133"/>
    <n v="2024"/>
    <s v="June"/>
  </r>
  <r>
    <s v="DINS-CLM-101663"/>
    <s v="DINS-CUS-501663"/>
    <s v="DINS-POL-201663"/>
    <x v="0"/>
    <x v="1"/>
    <x v="4"/>
    <x v="0"/>
    <x v="4"/>
    <d v="2024-02-24T00:00:00"/>
    <s v="Annual"/>
    <d v="2024-06-14T00:00:00"/>
    <x v="1"/>
    <n v="7744"/>
    <n v="1270"/>
    <n v="2"/>
    <d v="2024-06-16T00:00:00"/>
    <x v="0"/>
    <x v="0"/>
    <x v="2"/>
    <n v="6.0975999999999999"/>
    <n v="111"/>
    <n v="2024"/>
    <s v="June"/>
  </r>
  <r>
    <s v="DINS-CLM-101664"/>
    <s v="DINS-CUS-501664"/>
    <s v="DINS-POL-201664"/>
    <x v="0"/>
    <x v="0"/>
    <x v="3"/>
    <x v="0"/>
    <x v="1"/>
    <d v="2024-03-08T00:00:00"/>
    <s v="Annual"/>
    <d v="2024-04-21T00:00:00"/>
    <x v="0"/>
    <n v="26394"/>
    <n v="4286"/>
    <s v="N/A - Not Settled"/>
    <s v="N/A - Not Settled"/>
    <x v="0"/>
    <x v="0"/>
    <x v="0"/>
    <n v="6.1581999999999999"/>
    <n v="44"/>
    <n v="2024"/>
    <s v="April"/>
  </r>
  <r>
    <s v="DINS-CLM-101665"/>
    <s v="DINS-CUS-501665"/>
    <s v="DINS-POL-201665"/>
    <x v="4"/>
    <x v="1"/>
    <x v="3"/>
    <x v="2"/>
    <x v="6"/>
    <d v="2024-04-23T00:00:00"/>
    <s v="Annual"/>
    <d v="2024-10-20T00:00:00"/>
    <x v="1"/>
    <n v="12781"/>
    <n v="2550"/>
    <n v="29"/>
    <d v="2024-11-18T00:00:00"/>
    <x v="1"/>
    <x v="1"/>
    <x v="1"/>
    <n v="5.0122"/>
    <n v="180"/>
    <n v="2024"/>
    <s v="October"/>
  </r>
  <r>
    <s v="DINS-CLM-101666"/>
    <s v="DINS-CUS-501666"/>
    <s v="DINS-POL-201666"/>
    <x v="4"/>
    <x v="2"/>
    <x v="2"/>
    <x v="2"/>
    <x v="7"/>
    <d v="2023-10-06T00:00:00"/>
    <s v="Annual"/>
    <d v="2024-01-21T00:00:00"/>
    <x v="1"/>
    <n v="18267"/>
    <n v="2168"/>
    <n v="34"/>
    <d v="2024-02-24T00:00:00"/>
    <x v="0"/>
    <x v="0"/>
    <x v="0"/>
    <n v="8.4257000000000009"/>
    <n v="107"/>
    <n v="2024"/>
    <s v="January"/>
  </r>
  <r>
    <s v="DINS-CLM-101667"/>
    <s v="DINS-CUS-501667"/>
    <s v="DINS-POL-201667"/>
    <x v="5"/>
    <x v="2"/>
    <x v="1"/>
    <x v="0"/>
    <x v="6"/>
    <d v="2024-06-15T00:00:00"/>
    <s v="Monthly"/>
    <d v="2024-10-05T00:00:00"/>
    <x v="1"/>
    <n v="69474"/>
    <n v="7464"/>
    <n v="20"/>
    <d v="2024-10-25T00:00:00"/>
    <x v="0"/>
    <x v="0"/>
    <x v="0"/>
    <n v="9.3079000000000001"/>
    <n v="112"/>
    <n v="2024"/>
    <s v="October"/>
  </r>
  <r>
    <s v="DINS-CLM-101668"/>
    <s v="DINS-CUS-501668"/>
    <s v="DINS-POL-201668"/>
    <x v="0"/>
    <x v="1"/>
    <x v="2"/>
    <x v="0"/>
    <x v="1"/>
    <d v="2023-05-16T00:00:00"/>
    <s v="Annual"/>
    <d v="2024-02-02T00:00:00"/>
    <x v="0"/>
    <n v="55993"/>
    <n v="7482"/>
    <s v="N/A - Not Settled"/>
    <s v="N/A - Not Settled"/>
    <x v="0"/>
    <x v="0"/>
    <x v="1"/>
    <n v="7.4836999999999998"/>
    <n v="262"/>
    <n v="2024"/>
    <s v="February"/>
  </r>
  <r>
    <s v="DINS-CLM-101669"/>
    <s v="DINS-CUS-501669"/>
    <s v="DINS-POL-201669"/>
    <x v="0"/>
    <x v="0"/>
    <x v="5"/>
    <x v="2"/>
    <x v="6"/>
    <d v="2023-06-08T00:00:00"/>
    <s v="Monthly"/>
    <d v="2024-02-29T00:00:00"/>
    <x v="2"/>
    <n v="42691"/>
    <n v="5755"/>
    <s v="N/A - Not Settled"/>
    <s v="N/A - Not Settled"/>
    <x v="0"/>
    <x v="0"/>
    <x v="0"/>
    <n v="7.4180999999999999"/>
    <n v="266"/>
    <n v="2024"/>
    <s v="February"/>
  </r>
  <r>
    <s v="DINS-CLM-101670"/>
    <s v="DINS-CUS-501670"/>
    <s v="DINS-POL-201670"/>
    <x v="4"/>
    <x v="1"/>
    <x v="3"/>
    <x v="1"/>
    <x v="6"/>
    <d v="2023-11-13T00:00:00"/>
    <s v="Annual"/>
    <d v="2024-03-24T00:00:00"/>
    <x v="1"/>
    <n v="16585"/>
    <n v="2202"/>
    <n v="14"/>
    <d v="2024-04-07T00:00:00"/>
    <x v="1"/>
    <x v="0"/>
    <x v="0"/>
    <n v="7.5317999999999996"/>
    <n v="132"/>
    <n v="2024"/>
    <s v="March"/>
  </r>
  <r>
    <s v="DINS-CLM-101671"/>
    <s v="DINS-CUS-501671"/>
    <s v="DINS-POL-201671"/>
    <x v="0"/>
    <x v="1"/>
    <x v="4"/>
    <x v="2"/>
    <x v="0"/>
    <d v="2024-06-07T00:00:00"/>
    <s v="Annual"/>
    <d v="2024-10-07T00:00:00"/>
    <x v="1"/>
    <n v="53510"/>
    <n v="1806"/>
    <n v="26"/>
    <d v="2024-11-02T00:00:00"/>
    <x v="1"/>
    <x v="0"/>
    <x v="0"/>
    <n v="29.629000000000001"/>
    <n v="122"/>
    <n v="2024"/>
    <s v="October"/>
  </r>
  <r>
    <s v="DINS-CLM-101672"/>
    <s v="DINS-CUS-501672"/>
    <s v="DINS-POL-201672"/>
    <x v="2"/>
    <x v="0"/>
    <x v="1"/>
    <x v="0"/>
    <x v="3"/>
    <d v="2024-06-26T00:00:00"/>
    <s v="Monthly"/>
    <d v="2024-08-07T00:00:00"/>
    <x v="0"/>
    <n v="39606"/>
    <n v="1508"/>
    <s v="N/A - Not Settled"/>
    <s v="N/A - Not Settled"/>
    <x v="0"/>
    <x v="0"/>
    <x v="1"/>
    <n v="26.2639"/>
    <n v="42"/>
    <n v="2024"/>
    <s v="August"/>
  </r>
  <r>
    <s v="DINS-CLM-101673"/>
    <s v="DINS-CUS-501673"/>
    <s v="DINS-POL-201673"/>
    <x v="1"/>
    <x v="2"/>
    <x v="4"/>
    <x v="2"/>
    <x v="6"/>
    <d v="2023-03-02T00:00:00"/>
    <s v="Annual"/>
    <d v="2024-01-19T00:00:00"/>
    <x v="1"/>
    <n v="40533"/>
    <n v="1861"/>
    <n v="11"/>
    <d v="2024-01-30T00:00:00"/>
    <x v="1"/>
    <x v="0"/>
    <x v="2"/>
    <n v="21.780200000000001"/>
    <n v="323"/>
    <n v="2024"/>
    <s v="January"/>
  </r>
  <r>
    <s v="DINS-CLM-101674"/>
    <s v="DINS-CUS-501674"/>
    <s v="DINS-POL-201674"/>
    <x v="2"/>
    <x v="0"/>
    <x v="3"/>
    <x v="1"/>
    <x v="5"/>
    <d v="2024-02-08T00:00:00"/>
    <s v="Annual"/>
    <d v="2024-12-29T00:00:00"/>
    <x v="2"/>
    <n v="8060"/>
    <n v="4320"/>
    <s v="N/A - Not Settled"/>
    <s v="N/A - Not Settled"/>
    <x v="0"/>
    <x v="0"/>
    <x v="0"/>
    <n v="1.8656999999999999"/>
    <n v="325"/>
    <n v="2024"/>
    <s v="December"/>
  </r>
  <r>
    <s v="DINS-CLM-101675"/>
    <s v="DINS-CUS-501675"/>
    <s v="DINS-POL-201675"/>
    <x v="0"/>
    <x v="0"/>
    <x v="2"/>
    <x v="0"/>
    <x v="3"/>
    <d v="2024-04-16T00:00:00"/>
    <s v="Monthly"/>
    <d v="2024-07-12T00:00:00"/>
    <x v="2"/>
    <n v="6254"/>
    <n v="2510"/>
    <s v="N/A - Not Settled"/>
    <s v="N/A - Not Settled"/>
    <x v="0"/>
    <x v="0"/>
    <x v="1"/>
    <n v="2.4916"/>
    <n v="87"/>
    <n v="2024"/>
    <s v="July"/>
  </r>
  <r>
    <s v="DINS-CLM-101676"/>
    <s v="DINS-CUS-501676"/>
    <s v="DINS-POL-201676"/>
    <x v="4"/>
    <x v="2"/>
    <x v="3"/>
    <x v="0"/>
    <x v="7"/>
    <d v="2024-04-07T00:00:00"/>
    <s v="Monthly"/>
    <d v="2024-08-22T00:00:00"/>
    <x v="1"/>
    <n v="7685"/>
    <n v="6077"/>
    <n v="15"/>
    <d v="2024-09-06T00:00:00"/>
    <x v="0"/>
    <x v="0"/>
    <x v="0"/>
    <n v="1.2645999999999999"/>
    <n v="137"/>
    <n v="2024"/>
    <s v="August"/>
  </r>
  <r>
    <s v="DINS-CLM-101677"/>
    <s v="DINS-CUS-501677"/>
    <s v="DINS-POL-201677"/>
    <x v="2"/>
    <x v="0"/>
    <x v="5"/>
    <x v="0"/>
    <x v="4"/>
    <d v="2023-09-27T00:00:00"/>
    <s v="Monthly"/>
    <d v="2024-03-20T00:00:00"/>
    <x v="1"/>
    <n v="37768"/>
    <n v="8722"/>
    <n v="22"/>
    <d v="2024-04-11T00:00:00"/>
    <x v="0"/>
    <x v="0"/>
    <x v="0"/>
    <n v="4.3301999999999996"/>
    <n v="175"/>
    <n v="2024"/>
    <s v="March"/>
  </r>
  <r>
    <s v="DINS-CLM-101678"/>
    <s v="DINS-CUS-501678"/>
    <s v="DINS-POL-201678"/>
    <x v="1"/>
    <x v="0"/>
    <x v="0"/>
    <x v="2"/>
    <x v="4"/>
    <d v="2024-02-22T00:00:00"/>
    <s v="Monthly"/>
    <d v="2024-08-03T00:00:00"/>
    <x v="1"/>
    <n v="60671"/>
    <n v="4632"/>
    <n v="2"/>
    <d v="2024-08-05T00:00:00"/>
    <x v="0"/>
    <x v="0"/>
    <x v="2"/>
    <n v="13.0982"/>
    <n v="163"/>
    <n v="2024"/>
    <s v="August"/>
  </r>
  <r>
    <s v="DINS-CLM-101679"/>
    <s v="DINS-CUS-501679"/>
    <s v="DINS-POL-201679"/>
    <x v="3"/>
    <x v="2"/>
    <x v="5"/>
    <x v="1"/>
    <x v="7"/>
    <d v="2024-01-22T00:00:00"/>
    <s v="Annual"/>
    <d v="2024-08-25T00:00:00"/>
    <x v="0"/>
    <n v="69234"/>
    <n v="3535"/>
    <s v="N/A - Not Settled"/>
    <s v="N/A - Not Settled"/>
    <x v="0"/>
    <x v="0"/>
    <x v="0"/>
    <n v="19.5853"/>
    <n v="216"/>
    <n v="2024"/>
    <s v="August"/>
  </r>
  <r>
    <s v="DINS-CLM-101680"/>
    <s v="DINS-CUS-501680"/>
    <s v="DINS-POL-201680"/>
    <x v="4"/>
    <x v="1"/>
    <x v="1"/>
    <x v="0"/>
    <x v="4"/>
    <d v="2024-03-04T00:00:00"/>
    <s v="Annual"/>
    <d v="2024-07-11T00:00:00"/>
    <x v="1"/>
    <n v="11601"/>
    <n v="1919"/>
    <n v="41"/>
    <d v="2024-08-21T00:00:00"/>
    <x v="0"/>
    <x v="0"/>
    <x v="0"/>
    <n v="6.0453000000000001"/>
    <n v="129"/>
    <n v="2024"/>
    <s v="July"/>
  </r>
  <r>
    <s v="DINS-CLM-101681"/>
    <s v="DINS-CUS-501681"/>
    <s v="DINS-POL-201681"/>
    <x v="2"/>
    <x v="0"/>
    <x v="1"/>
    <x v="0"/>
    <x v="6"/>
    <d v="2023-11-01T00:00:00"/>
    <s v="Monthly"/>
    <d v="2024-10-01T00:00:00"/>
    <x v="1"/>
    <n v="5420"/>
    <n v="738"/>
    <n v="44"/>
    <d v="2024-11-14T00:00:00"/>
    <x v="0"/>
    <x v="0"/>
    <x v="1"/>
    <n v="7.3441999999999998"/>
    <n v="335"/>
    <n v="2024"/>
    <s v="October"/>
  </r>
  <r>
    <s v="DINS-CLM-101682"/>
    <s v="DINS-CUS-501682"/>
    <s v="DINS-POL-201682"/>
    <x v="2"/>
    <x v="1"/>
    <x v="1"/>
    <x v="1"/>
    <x v="3"/>
    <d v="2024-02-05T00:00:00"/>
    <s v="Monthly"/>
    <d v="2024-05-29T00:00:00"/>
    <x v="1"/>
    <n v="6416"/>
    <n v="1992"/>
    <n v="22"/>
    <d v="2024-06-20T00:00:00"/>
    <x v="0"/>
    <x v="0"/>
    <x v="1"/>
    <n v="3.2208999999999999"/>
    <n v="114"/>
    <n v="2024"/>
    <s v="May"/>
  </r>
  <r>
    <s v="DINS-CLM-101683"/>
    <s v="DINS-CUS-501683"/>
    <s v="DINS-POL-201683"/>
    <x v="4"/>
    <x v="1"/>
    <x v="0"/>
    <x v="2"/>
    <x v="6"/>
    <d v="2024-07-17T00:00:00"/>
    <s v="Monthly"/>
    <d v="2024-08-21T00:00:00"/>
    <x v="1"/>
    <n v="2768"/>
    <n v="2909"/>
    <n v="27"/>
    <d v="2024-09-17T00:00:00"/>
    <x v="0"/>
    <x v="0"/>
    <x v="1"/>
    <n v="0.95150000000000001"/>
    <n v="35"/>
    <n v="2024"/>
    <s v="August"/>
  </r>
  <r>
    <s v="DINS-CLM-101684"/>
    <s v="DINS-CUS-501684"/>
    <s v="DINS-POL-201684"/>
    <x v="5"/>
    <x v="2"/>
    <x v="4"/>
    <x v="0"/>
    <x v="3"/>
    <d v="2023-12-02T00:00:00"/>
    <s v="Monthly"/>
    <d v="2024-04-13T00:00:00"/>
    <x v="0"/>
    <n v="31031"/>
    <n v="6078"/>
    <s v="N/A - Not Settled"/>
    <s v="N/A - Not Settled"/>
    <x v="0"/>
    <x v="0"/>
    <x v="0"/>
    <n v="5.1055000000000001"/>
    <n v="133"/>
    <n v="2024"/>
    <s v="April"/>
  </r>
  <r>
    <s v="DINS-CLM-101685"/>
    <s v="DINS-CUS-501685"/>
    <s v="DINS-POL-201685"/>
    <x v="0"/>
    <x v="1"/>
    <x v="2"/>
    <x v="2"/>
    <x v="1"/>
    <d v="2023-08-15T00:00:00"/>
    <s v="Annual"/>
    <d v="2024-06-30T00:00:00"/>
    <x v="1"/>
    <n v="36269"/>
    <n v="5729"/>
    <n v="6"/>
    <d v="2024-07-06T00:00:00"/>
    <x v="0"/>
    <x v="0"/>
    <x v="1"/>
    <n v="6.3308"/>
    <n v="320"/>
    <n v="2024"/>
    <s v="June"/>
  </r>
  <r>
    <s v="DINS-CLM-101686"/>
    <s v="DINS-CUS-501686"/>
    <s v="DINS-POL-201686"/>
    <x v="5"/>
    <x v="2"/>
    <x v="5"/>
    <x v="1"/>
    <x v="3"/>
    <d v="2024-03-24T00:00:00"/>
    <s v="Annual"/>
    <d v="2024-12-17T00:00:00"/>
    <x v="1"/>
    <n v="12659"/>
    <n v="4691"/>
    <n v="38"/>
    <d v="2025-01-24T00:00:00"/>
    <x v="0"/>
    <x v="0"/>
    <x v="2"/>
    <n v="2.6985999999999999"/>
    <n v="268"/>
    <n v="2024"/>
    <s v="December"/>
  </r>
  <r>
    <s v="DINS-CLM-101687"/>
    <s v="DINS-CUS-501687"/>
    <s v="DINS-POL-201687"/>
    <x v="2"/>
    <x v="2"/>
    <x v="0"/>
    <x v="0"/>
    <x v="7"/>
    <d v="2024-06-18T00:00:00"/>
    <s v="Monthly"/>
    <d v="2024-12-06T00:00:00"/>
    <x v="1"/>
    <n v="17974"/>
    <n v="7628"/>
    <n v="8"/>
    <d v="2024-12-14T00:00:00"/>
    <x v="1"/>
    <x v="0"/>
    <x v="0"/>
    <n v="2.3563000000000001"/>
    <n v="171"/>
    <n v="2024"/>
    <s v="December"/>
  </r>
  <r>
    <s v="DINS-CLM-101688"/>
    <s v="DINS-CUS-501688"/>
    <s v="DINS-POL-201688"/>
    <x v="0"/>
    <x v="1"/>
    <x v="4"/>
    <x v="0"/>
    <x v="5"/>
    <d v="2024-04-12T00:00:00"/>
    <s v="Monthly"/>
    <d v="2024-09-24T00:00:00"/>
    <x v="0"/>
    <n v="38672"/>
    <n v="5426"/>
    <s v="N/A - Not Settled"/>
    <s v="N/A - Not Settled"/>
    <x v="0"/>
    <x v="0"/>
    <x v="0"/>
    <n v="7.1272000000000002"/>
    <n v="165"/>
    <n v="2024"/>
    <s v="September"/>
  </r>
  <r>
    <s v="DINS-CLM-101689"/>
    <s v="DINS-CUS-501689"/>
    <s v="DINS-POL-201689"/>
    <x v="0"/>
    <x v="0"/>
    <x v="1"/>
    <x v="2"/>
    <x v="6"/>
    <d v="2024-01-27T00:00:00"/>
    <s v="Annual"/>
    <d v="2024-05-12T00:00:00"/>
    <x v="0"/>
    <n v="32482"/>
    <n v="7665"/>
    <s v="N/A - Not Settled"/>
    <s v="N/A - Not Settled"/>
    <x v="0"/>
    <x v="0"/>
    <x v="1"/>
    <n v="4.2377000000000002"/>
    <n v="106"/>
    <n v="2024"/>
    <s v="May"/>
  </r>
  <r>
    <s v="DINS-CLM-101690"/>
    <s v="DINS-CUS-501690"/>
    <s v="DINS-POL-201690"/>
    <x v="0"/>
    <x v="1"/>
    <x v="4"/>
    <x v="2"/>
    <x v="2"/>
    <d v="2024-04-15T00:00:00"/>
    <s v="Monthly"/>
    <d v="2024-06-27T00:00:00"/>
    <x v="1"/>
    <n v="5636"/>
    <n v="6963"/>
    <n v="25"/>
    <d v="2024-07-22T00:00:00"/>
    <x v="1"/>
    <x v="1"/>
    <x v="0"/>
    <n v="0.80940000000000001"/>
    <n v="73"/>
    <n v="2024"/>
    <s v="June"/>
  </r>
  <r>
    <s v="DINS-CLM-101691"/>
    <s v="DINS-CUS-501691"/>
    <s v="DINS-POL-201691"/>
    <x v="0"/>
    <x v="2"/>
    <x v="0"/>
    <x v="2"/>
    <x v="3"/>
    <d v="2023-07-21T00:00:00"/>
    <s v="Monthly"/>
    <d v="2024-06-24T00:00:00"/>
    <x v="1"/>
    <n v="10745"/>
    <n v="5998"/>
    <n v="11"/>
    <d v="2024-07-05T00:00:00"/>
    <x v="1"/>
    <x v="1"/>
    <x v="0"/>
    <n v="1.7914000000000001"/>
    <n v="339"/>
    <n v="2024"/>
    <s v="June"/>
  </r>
  <r>
    <s v="DINS-CLM-101692"/>
    <s v="DINS-CUS-501692"/>
    <s v="DINS-POL-201692"/>
    <x v="3"/>
    <x v="1"/>
    <x v="1"/>
    <x v="1"/>
    <x v="5"/>
    <d v="2024-06-20T00:00:00"/>
    <s v="Monthly"/>
    <d v="2024-08-02T00:00:00"/>
    <x v="1"/>
    <n v="21905"/>
    <n v="501"/>
    <n v="37"/>
    <d v="2024-09-08T00:00:00"/>
    <x v="0"/>
    <x v="0"/>
    <x v="0"/>
    <n v="43.7226"/>
    <n v="43"/>
    <n v="2024"/>
    <s v="August"/>
  </r>
  <r>
    <s v="DINS-CLM-101693"/>
    <s v="DINS-CUS-501693"/>
    <s v="DINS-POL-201693"/>
    <x v="2"/>
    <x v="1"/>
    <x v="4"/>
    <x v="1"/>
    <x v="5"/>
    <d v="2023-09-12T00:00:00"/>
    <s v="Annual"/>
    <d v="2024-02-13T00:00:00"/>
    <x v="2"/>
    <n v="28822"/>
    <n v="8746"/>
    <s v="N/A - Not Settled"/>
    <s v="N/A - Not Settled"/>
    <x v="0"/>
    <x v="0"/>
    <x v="2"/>
    <n v="3.2953999999999999"/>
    <n v="154"/>
    <n v="2024"/>
    <s v="February"/>
  </r>
  <r>
    <s v="DINS-CLM-101694"/>
    <s v="DINS-CUS-501694"/>
    <s v="DINS-POL-201694"/>
    <x v="0"/>
    <x v="1"/>
    <x v="1"/>
    <x v="0"/>
    <x v="0"/>
    <d v="2023-06-23T00:00:00"/>
    <s v="Annual"/>
    <d v="2024-04-09T00:00:00"/>
    <x v="0"/>
    <n v="59910"/>
    <n v="2062"/>
    <s v="N/A - Not Settled"/>
    <s v="N/A - Not Settled"/>
    <x v="0"/>
    <x v="0"/>
    <x v="1"/>
    <n v="29.054300000000001"/>
    <n v="291"/>
    <n v="2024"/>
    <s v="April"/>
  </r>
  <r>
    <s v="DINS-CLM-101695"/>
    <s v="DINS-CUS-501695"/>
    <s v="DINS-POL-201695"/>
    <x v="0"/>
    <x v="2"/>
    <x v="3"/>
    <x v="0"/>
    <x v="0"/>
    <d v="2023-10-11T00:00:00"/>
    <s v="Annual"/>
    <d v="2024-04-02T00:00:00"/>
    <x v="1"/>
    <n v="39707"/>
    <n v="7688"/>
    <n v="26"/>
    <d v="2024-04-28T00:00:00"/>
    <x v="0"/>
    <x v="0"/>
    <x v="0"/>
    <n v="5.1647999999999996"/>
    <n v="174"/>
    <n v="2024"/>
    <s v="April"/>
  </r>
  <r>
    <s v="DINS-CLM-101696"/>
    <s v="DINS-CUS-501696"/>
    <s v="DINS-POL-201696"/>
    <x v="0"/>
    <x v="0"/>
    <x v="0"/>
    <x v="2"/>
    <x v="2"/>
    <d v="2024-02-06T00:00:00"/>
    <s v="Annual"/>
    <d v="2024-12-23T00:00:00"/>
    <x v="0"/>
    <n v="44372"/>
    <n v="8123"/>
    <s v="N/A - Not Settled"/>
    <s v="N/A - Not Settled"/>
    <x v="0"/>
    <x v="0"/>
    <x v="1"/>
    <n v="5.4625000000000004"/>
    <n v="321"/>
    <n v="2024"/>
    <s v="December"/>
  </r>
  <r>
    <s v="DINS-CLM-101697"/>
    <s v="DINS-CUS-501697"/>
    <s v="DINS-POL-201697"/>
    <x v="2"/>
    <x v="0"/>
    <x v="2"/>
    <x v="2"/>
    <x v="2"/>
    <d v="2023-09-28T00:00:00"/>
    <s v="Annual"/>
    <d v="2024-09-11T00:00:00"/>
    <x v="0"/>
    <n v="23106"/>
    <n v="1313"/>
    <s v="N/A - Not Settled"/>
    <s v="N/A - Not Settled"/>
    <x v="0"/>
    <x v="0"/>
    <x v="1"/>
    <n v="17.597899999999999"/>
    <n v="349"/>
    <n v="2024"/>
    <s v="September"/>
  </r>
  <r>
    <s v="DINS-CLM-101698"/>
    <s v="DINS-CUS-501698"/>
    <s v="DINS-POL-201698"/>
    <x v="3"/>
    <x v="2"/>
    <x v="2"/>
    <x v="2"/>
    <x v="4"/>
    <d v="2023-11-02T00:00:00"/>
    <s v="Annual"/>
    <d v="2024-08-13T00:00:00"/>
    <x v="1"/>
    <n v="87982"/>
    <n v="4172"/>
    <n v="3"/>
    <d v="2024-08-16T00:00:00"/>
    <x v="0"/>
    <x v="0"/>
    <x v="0"/>
    <n v="21.088699999999999"/>
    <n v="285"/>
    <n v="2024"/>
    <s v="August"/>
  </r>
  <r>
    <s v="DINS-CLM-101699"/>
    <s v="DINS-CUS-501699"/>
    <s v="DINS-POL-201699"/>
    <x v="2"/>
    <x v="2"/>
    <x v="4"/>
    <x v="2"/>
    <x v="2"/>
    <d v="2023-10-25T00:00:00"/>
    <s v="Annual"/>
    <d v="2024-04-21T00:00:00"/>
    <x v="0"/>
    <n v="26126"/>
    <n v="2145"/>
    <s v="N/A - Not Settled"/>
    <s v="N/A - Not Settled"/>
    <x v="0"/>
    <x v="0"/>
    <x v="1"/>
    <n v="12.18"/>
    <n v="179"/>
    <n v="2024"/>
    <s v="April"/>
  </r>
  <r>
    <s v="DINS-CLM-101700"/>
    <s v="DINS-CUS-501700"/>
    <s v="DINS-POL-201700"/>
    <x v="0"/>
    <x v="1"/>
    <x v="2"/>
    <x v="1"/>
    <x v="3"/>
    <d v="2024-02-27T00:00:00"/>
    <s v="Annual"/>
    <d v="2024-04-29T00:00:00"/>
    <x v="1"/>
    <n v="55418"/>
    <n v="1829"/>
    <n v="4"/>
    <d v="2024-05-03T00:00:00"/>
    <x v="0"/>
    <x v="0"/>
    <x v="2"/>
    <n v="30.299600000000002"/>
    <n v="62"/>
    <n v="2024"/>
    <s v="April"/>
  </r>
  <r>
    <s v="DINS-CLM-101701"/>
    <s v="DINS-CUS-501701"/>
    <s v="DINS-POL-201701"/>
    <x v="0"/>
    <x v="1"/>
    <x v="0"/>
    <x v="0"/>
    <x v="0"/>
    <d v="2023-09-06T00:00:00"/>
    <s v="Monthly"/>
    <d v="2024-05-05T00:00:00"/>
    <x v="2"/>
    <n v="31584"/>
    <n v="5436"/>
    <s v="N/A - Not Settled"/>
    <s v="N/A - Not Settled"/>
    <x v="0"/>
    <x v="0"/>
    <x v="2"/>
    <n v="5.8102"/>
    <n v="242"/>
    <n v="2024"/>
    <s v="May"/>
  </r>
  <r>
    <s v="DINS-CLM-101702"/>
    <s v="DINS-CUS-501702"/>
    <s v="DINS-POL-201702"/>
    <x v="1"/>
    <x v="2"/>
    <x v="4"/>
    <x v="1"/>
    <x v="5"/>
    <d v="2024-02-27T00:00:00"/>
    <s v="Monthly"/>
    <d v="2024-10-02T00:00:00"/>
    <x v="1"/>
    <n v="62635"/>
    <n v="4138"/>
    <n v="44"/>
    <d v="2024-11-15T00:00:00"/>
    <x v="0"/>
    <x v="0"/>
    <x v="1"/>
    <n v="15.1365"/>
    <n v="218"/>
    <n v="2024"/>
    <s v="October"/>
  </r>
  <r>
    <s v="DINS-CLM-101703"/>
    <s v="DINS-CUS-501703"/>
    <s v="DINS-POL-201703"/>
    <x v="3"/>
    <x v="2"/>
    <x v="1"/>
    <x v="2"/>
    <x v="5"/>
    <d v="2023-10-21T00:00:00"/>
    <s v="Annual"/>
    <d v="2024-03-09T00:00:00"/>
    <x v="2"/>
    <n v="63053"/>
    <n v="5142"/>
    <s v="N/A - Not Settled"/>
    <s v="N/A - Not Settled"/>
    <x v="0"/>
    <x v="0"/>
    <x v="1"/>
    <n v="12.2623"/>
    <n v="140"/>
    <n v="2024"/>
    <s v="March"/>
  </r>
  <r>
    <s v="DINS-CLM-101704"/>
    <s v="DINS-CUS-501704"/>
    <s v="DINS-POL-201704"/>
    <x v="2"/>
    <x v="0"/>
    <x v="4"/>
    <x v="0"/>
    <x v="0"/>
    <d v="2023-11-03T00:00:00"/>
    <s v="Monthly"/>
    <d v="2024-01-26T00:00:00"/>
    <x v="1"/>
    <n v="3003"/>
    <n v="5685"/>
    <n v="28"/>
    <d v="2024-02-23T00:00:00"/>
    <x v="0"/>
    <x v="0"/>
    <x v="2"/>
    <n v="0.5282"/>
    <n v="84"/>
    <n v="2024"/>
    <s v="January"/>
  </r>
  <r>
    <s v="DINS-CLM-101705"/>
    <s v="DINS-CUS-501705"/>
    <s v="DINS-POL-201705"/>
    <x v="3"/>
    <x v="2"/>
    <x v="2"/>
    <x v="2"/>
    <x v="0"/>
    <d v="2024-06-14T00:00:00"/>
    <s v="Monthly"/>
    <d v="2024-08-19T00:00:00"/>
    <x v="1"/>
    <n v="34947"/>
    <n v="3233"/>
    <n v="8"/>
    <d v="2024-08-27T00:00:00"/>
    <x v="0"/>
    <x v="0"/>
    <x v="1"/>
    <n v="10.8095"/>
    <n v="66"/>
    <n v="2024"/>
    <s v="August"/>
  </r>
  <r>
    <s v="DINS-CLM-101706"/>
    <s v="DINS-CUS-501706"/>
    <s v="DINS-POL-201706"/>
    <x v="0"/>
    <x v="0"/>
    <x v="5"/>
    <x v="2"/>
    <x v="5"/>
    <d v="2024-02-07T00:00:00"/>
    <s v="Annual"/>
    <d v="2024-12-21T00:00:00"/>
    <x v="0"/>
    <n v="5121"/>
    <n v="6602"/>
    <s v="N/A - Not Settled"/>
    <s v="N/A - Not Settled"/>
    <x v="0"/>
    <x v="0"/>
    <x v="0"/>
    <n v="0.77569999999999995"/>
    <n v="318"/>
    <n v="2024"/>
    <s v="December"/>
  </r>
  <r>
    <s v="DINS-CLM-101707"/>
    <s v="DINS-CUS-501707"/>
    <s v="DINS-POL-201707"/>
    <x v="3"/>
    <x v="1"/>
    <x v="2"/>
    <x v="1"/>
    <x v="6"/>
    <d v="2023-03-24T00:00:00"/>
    <s v="Annual"/>
    <d v="2024-01-26T00:00:00"/>
    <x v="1"/>
    <n v="83635"/>
    <n v="2227"/>
    <n v="2"/>
    <d v="2024-01-28T00:00:00"/>
    <x v="1"/>
    <x v="1"/>
    <x v="2"/>
    <n v="37.555"/>
    <n v="308"/>
    <n v="2024"/>
    <s v="January"/>
  </r>
  <r>
    <s v="DINS-CLM-101708"/>
    <s v="DINS-CUS-501708"/>
    <s v="DINS-POL-201708"/>
    <x v="1"/>
    <x v="1"/>
    <x v="5"/>
    <x v="2"/>
    <x v="2"/>
    <d v="2023-08-30T00:00:00"/>
    <s v="Annual"/>
    <d v="2024-04-29T00:00:00"/>
    <x v="2"/>
    <n v="32096"/>
    <n v="4793"/>
    <s v="N/A - Not Settled"/>
    <s v="N/A - Not Settled"/>
    <x v="0"/>
    <x v="0"/>
    <x v="1"/>
    <n v="6.6963999999999997"/>
    <n v="243"/>
    <n v="2024"/>
    <s v="April"/>
  </r>
  <r>
    <s v="DINS-CLM-101709"/>
    <s v="DINS-CUS-501709"/>
    <s v="DINS-POL-201709"/>
    <x v="2"/>
    <x v="0"/>
    <x v="1"/>
    <x v="1"/>
    <x v="3"/>
    <d v="2023-06-01T00:00:00"/>
    <s v="Monthly"/>
    <d v="2024-05-19T00:00:00"/>
    <x v="1"/>
    <n v="3782"/>
    <n v="2403"/>
    <n v="26"/>
    <d v="2024-06-14T00:00:00"/>
    <x v="0"/>
    <x v="0"/>
    <x v="1"/>
    <n v="1.5739000000000001"/>
    <n v="353"/>
    <n v="2024"/>
    <s v="May"/>
  </r>
  <r>
    <s v="DINS-CLM-101710"/>
    <s v="DINS-CUS-501710"/>
    <s v="DINS-POL-201710"/>
    <x v="0"/>
    <x v="2"/>
    <x v="4"/>
    <x v="0"/>
    <x v="1"/>
    <d v="2023-12-02T00:00:00"/>
    <s v="Annual"/>
    <d v="2024-06-09T00:00:00"/>
    <x v="1"/>
    <n v="3444"/>
    <n v="6919"/>
    <n v="11"/>
    <d v="2024-06-20T00:00:00"/>
    <x v="0"/>
    <x v="0"/>
    <x v="2"/>
    <n v="0.49780000000000002"/>
    <n v="190"/>
    <n v="2024"/>
    <s v="June"/>
  </r>
  <r>
    <s v="DINS-CLM-101711"/>
    <s v="DINS-CUS-501711"/>
    <s v="DINS-POL-201711"/>
    <x v="2"/>
    <x v="0"/>
    <x v="2"/>
    <x v="0"/>
    <x v="4"/>
    <d v="2023-09-20T00:00:00"/>
    <s v="Monthly"/>
    <d v="2024-06-24T00:00:00"/>
    <x v="1"/>
    <n v="19989"/>
    <n v="7746"/>
    <n v="25"/>
    <d v="2024-07-19T00:00:00"/>
    <x v="0"/>
    <x v="0"/>
    <x v="1"/>
    <n v="2.5806"/>
    <n v="278"/>
    <n v="2024"/>
    <s v="June"/>
  </r>
  <r>
    <s v="DINS-CLM-101712"/>
    <s v="DINS-CUS-501712"/>
    <s v="DINS-POL-201712"/>
    <x v="2"/>
    <x v="2"/>
    <x v="4"/>
    <x v="2"/>
    <x v="7"/>
    <d v="2023-11-15T00:00:00"/>
    <s v="Annual"/>
    <d v="2024-04-22T00:00:00"/>
    <x v="1"/>
    <n v="27497"/>
    <n v="1308"/>
    <n v="8"/>
    <d v="2024-04-30T00:00:00"/>
    <x v="0"/>
    <x v="0"/>
    <x v="2"/>
    <n v="21.022200000000002"/>
    <n v="159"/>
    <n v="2024"/>
    <s v="April"/>
  </r>
  <r>
    <s v="DINS-CLM-101713"/>
    <s v="DINS-CUS-501713"/>
    <s v="DINS-POL-201713"/>
    <x v="2"/>
    <x v="1"/>
    <x v="2"/>
    <x v="0"/>
    <x v="2"/>
    <d v="2024-03-09T00:00:00"/>
    <s v="Monthly"/>
    <d v="2024-06-09T00:00:00"/>
    <x v="1"/>
    <n v="26406"/>
    <n v="6179"/>
    <n v="9"/>
    <d v="2024-06-18T00:00:00"/>
    <x v="0"/>
    <x v="0"/>
    <x v="1"/>
    <n v="4.2735000000000003"/>
    <n v="92"/>
    <n v="2024"/>
    <s v="June"/>
  </r>
  <r>
    <s v="DINS-CLM-101714"/>
    <s v="DINS-CUS-501714"/>
    <s v="DINS-POL-201714"/>
    <x v="4"/>
    <x v="0"/>
    <x v="5"/>
    <x v="2"/>
    <x v="3"/>
    <d v="2023-12-23T00:00:00"/>
    <s v="Monthly"/>
    <d v="2024-04-26T00:00:00"/>
    <x v="1"/>
    <n v="15950"/>
    <n v="6461"/>
    <n v="33"/>
    <d v="2024-05-29T00:00:00"/>
    <x v="0"/>
    <x v="0"/>
    <x v="1"/>
    <n v="2.4687000000000001"/>
    <n v="125"/>
    <n v="2024"/>
    <s v="April"/>
  </r>
  <r>
    <s v="DINS-CLM-101715"/>
    <s v="DINS-CUS-501715"/>
    <s v="DINS-POL-201715"/>
    <x v="5"/>
    <x v="2"/>
    <x v="3"/>
    <x v="0"/>
    <x v="1"/>
    <d v="2024-05-14T00:00:00"/>
    <s v="Monthly"/>
    <d v="2024-10-11T00:00:00"/>
    <x v="2"/>
    <n v="47514"/>
    <n v="3000"/>
    <s v="N/A - Not Settled"/>
    <s v="N/A - Not Settled"/>
    <x v="0"/>
    <x v="0"/>
    <x v="0"/>
    <n v="15.837999999999999"/>
    <n v="150"/>
    <n v="2024"/>
    <s v="October"/>
  </r>
  <r>
    <s v="DINS-CLM-101716"/>
    <s v="DINS-CUS-501716"/>
    <s v="DINS-POL-201716"/>
    <x v="2"/>
    <x v="1"/>
    <x v="5"/>
    <x v="1"/>
    <x v="3"/>
    <d v="2024-05-23T00:00:00"/>
    <s v="Monthly"/>
    <d v="2024-09-14T00:00:00"/>
    <x v="1"/>
    <n v="7187"/>
    <n v="5578"/>
    <n v="20"/>
    <d v="2024-10-04T00:00:00"/>
    <x v="0"/>
    <x v="0"/>
    <x v="2"/>
    <n v="1.2885"/>
    <n v="114"/>
    <n v="2024"/>
    <s v="September"/>
  </r>
  <r>
    <s v="DINS-CLM-101717"/>
    <s v="DINS-CUS-501717"/>
    <s v="DINS-POL-201717"/>
    <x v="5"/>
    <x v="1"/>
    <x v="0"/>
    <x v="2"/>
    <x v="2"/>
    <d v="2023-12-11T00:00:00"/>
    <s v="Annual"/>
    <d v="2024-09-01T00:00:00"/>
    <x v="1"/>
    <n v="28459"/>
    <n v="2898"/>
    <n v="18"/>
    <d v="2024-09-19T00:00:00"/>
    <x v="0"/>
    <x v="0"/>
    <x v="1"/>
    <n v="9.8201999999999998"/>
    <n v="265"/>
    <n v="2024"/>
    <s v="September"/>
  </r>
  <r>
    <s v="DINS-CLM-101718"/>
    <s v="DINS-CUS-501718"/>
    <s v="DINS-POL-201718"/>
    <x v="1"/>
    <x v="0"/>
    <x v="1"/>
    <x v="2"/>
    <x v="3"/>
    <d v="2024-05-31T00:00:00"/>
    <s v="Monthly"/>
    <d v="2024-07-28T00:00:00"/>
    <x v="1"/>
    <n v="63642"/>
    <n v="7670"/>
    <n v="7"/>
    <d v="2024-08-04T00:00:00"/>
    <x v="1"/>
    <x v="1"/>
    <x v="2"/>
    <n v="8.2974999999999994"/>
    <n v="58"/>
    <n v="2024"/>
    <s v="July"/>
  </r>
  <r>
    <s v="DINS-CLM-101719"/>
    <s v="DINS-CUS-501719"/>
    <s v="DINS-POL-201719"/>
    <x v="4"/>
    <x v="2"/>
    <x v="5"/>
    <x v="2"/>
    <x v="3"/>
    <d v="2023-09-16T00:00:00"/>
    <s v="Annual"/>
    <d v="2024-08-14T00:00:00"/>
    <x v="1"/>
    <n v="11163"/>
    <n v="7444"/>
    <n v="26"/>
    <d v="2024-09-09T00:00:00"/>
    <x v="0"/>
    <x v="0"/>
    <x v="2"/>
    <n v="1.4996"/>
    <n v="333"/>
    <n v="2024"/>
    <s v="August"/>
  </r>
  <r>
    <s v="DINS-CLM-101720"/>
    <s v="DINS-CUS-501720"/>
    <s v="DINS-POL-201720"/>
    <x v="4"/>
    <x v="1"/>
    <x v="2"/>
    <x v="0"/>
    <x v="7"/>
    <d v="2023-08-30T00:00:00"/>
    <s v="Annual"/>
    <d v="2024-07-10T00:00:00"/>
    <x v="1"/>
    <n v="9110"/>
    <n v="8970"/>
    <n v="25"/>
    <d v="2024-08-04T00:00:00"/>
    <x v="0"/>
    <x v="0"/>
    <x v="2"/>
    <n v="1.0156000000000001"/>
    <n v="315"/>
    <n v="2024"/>
    <s v="July"/>
  </r>
  <r>
    <s v="DINS-CLM-101721"/>
    <s v="DINS-CUS-501721"/>
    <s v="DINS-POL-201721"/>
    <x v="5"/>
    <x v="2"/>
    <x v="0"/>
    <x v="0"/>
    <x v="7"/>
    <d v="2023-09-10T00:00:00"/>
    <s v="Annual"/>
    <d v="2024-05-24T00:00:00"/>
    <x v="0"/>
    <n v="18689"/>
    <n v="1058"/>
    <s v="N/A - Not Settled"/>
    <s v="N/A - Not Settled"/>
    <x v="0"/>
    <x v="0"/>
    <x v="1"/>
    <n v="17.6645"/>
    <n v="257"/>
    <n v="2024"/>
    <s v="May"/>
  </r>
  <r>
    <s v="DINS-CLM-101722"/>
    <s v="DINS-CUS-501722"/>
    <s v="DINS-POL-201722"/>
    <x v="3"/>
    <x v="1"/>
    <x v="4"/>
    <x v="1"/>
    <x v="5"/>
    <d v="2024-03-12T00:00:00"/>
    <s v="Annual"/>
    <d v="2024-11-23T00:00:00"/>
    <x v="1"/>
    <n v="73567"/>
    <n v="6299"/>
    <n v="31"/>
    <d v="2024-12-24T00:00:00"/>
    <x v="0"/>
    <x v="0"/>
    <x v="2"/>
    <n v="11.6792"/>
    <n v="256"/>
    <n v="2024"/>
    <s v="November"/>
  </r>
  <r>
    <s v="DINS-CLM-101723"/>
    <s v="DINS-CUS-501723"/>
    <s v="DINS-POL-201723"/>
    <x v="0"/>
    <x v="2"/>
    <x v="2"/>
    <x v="1"/>
    <x v="5"/>
    <d v="2023-10-04T00:00:00"/>
    <s v="Annual"/>
    <d v="2024-03-02T00:00:00"/>
    <x v="1"/>
    <n v="32911"/>
    <n v="5524"/>
    <n v="36"/>
    <d v="2024-04-07T00:00:00"/>
    <x v="0"/>
    <x v="0"/>
    <x v="1"/>
    <n v="5.9577999999999998"/>
    <n v="150"/>
    <n v="2024"/>
    <s v="March"/>
  </r>
  <r>
    <s v="DINS-CLM-101724"/>
    <s v="DINS-CUS-501724"/>
    <s v="DINS-POL-201724"/>
    <x v="0"/>
    <x v="0"/>
    <x v="2"/>
    <x v="0"/>
    <x v="3"/>
    <d v="2024-06-26T00:00:00"/>
    <s v="Monthly"/>
    <d v="2024-10-26T00:00:00"/>
    <x v="1"/>
    <n v="49201"/>
    <n v="8853"/>
    <n v="33"/>
    <d v="2024-11-28T00:00:00"/>
    <x v="0"/>
    <x v="0"/>
    <x v="1"/>
    <n v="5.5575999999999999"/>
    <n v="122"/>
    <n v="2024"/>
    <s v="October"/>
  </r>
  <r>
    <s v="DINS-CLM-101725"/>
    <s v="DINS-CUS-501725"/>
    <s v="DINS-POL-201725"/>
    <x v="0"/>
    <x v="0"/>
    <x v="0"/>
    <x v="0"/>
    <x v="5"/>
    <d v="2024-04-17T00:00:00"/>
    <s v="Annual"/>
    <d v="2024-07-22T00:00:00"/>
    <x v="1"/>
    <n v="17475"/>
    <n v="7901"/>
    <n v="42"/>
    <d v="2024-09-02T00:00:00"/>
    <x v="0"/>
    <x v="0"/>
    <x v="2"/>
    <n v="2.2117"/>
    <n v="96"/>
    <n v="2024"/>
    <s v="July"/>
  </r>
  <r>
    <s v="DINS-CLM-101726"/>
    <s v="DINS-CUS-501726"/>
    <s v="DINS-POL-201726"/>
    <x v="1"/>
    <x v="2"/>
    <x v="5"/>
    <x v="1"/>
    <x v="5"/>
    <d v="2023-11-01T00:00:00"/>
    <s v="Annual"/>
    <d v="2024-05-13T00:00:00"/>
    <x v="1"/>
    <n v="49208"/>
    <n v="2274"/>
    <n v="43"/>
    <d v="2024-06-25T00:00:00"/>
    <x v="0"/>
    <x v="0"/>
    <x v="1"/>
    <n v="21.639399999999998"/>
    <n v="194"/>
    <n v="2024"/>
    <s v="May"/>
  </r>
  <r>
    <s v="DINS-CLM-101727"/>
    <s v="DINS-CUS-501727"/>
    <s v="DINS-POL-201727"/>
    <x v="4"/>
    <x v="0"/>
    <x v="5"/>
    <x v="0"/>
    <x v="5"/>
    <d v="2023-02-16T00:00:00"/>
    <s v="Annual"/>
    <d v="2024-02-13T00:00:00"/>
    <x v="1"/>
    <n v="14486"/>
    <n v="7912"/>
    <n v="26"/>
    <d v="2024-03-10T00:00:00"/>
    <x v="0"/>
    <x v="0"/>
    <x v="0"/>
    <n v="1.8309"/>
    <n v="362"/>
    <n v="2024"/>
    <s v="February"/>
  </r>
  <r>
    <s v="DINS-CLM-101728"/>
    <s v="DINS-CUS-501728"/>
    <s v="DINS-POL-201728"/>
    <x v="1"/>
    <x v="0"/>
    <x v="1"/>
    <x v="2"/>
    <x v="2"/>
    <d v="2024-02-20T00:00:00"/>
    <s v="Annual"/>
    <d v="2024-06-10T00:00:00"/>
    <x v="2"/>
    <n v="46203"/>
    <n v="710"/>
    <s v="N/A - Not Settled"/>
    <s v="N/A - Not Settled"/>
    <x v="0"/>
    <x v="0"/>
    <x v="0"/>
    <n v="65.074600000000004"/>
    <n v="111"/>
    <n v="2024"/>
    <s v="June"/>
  </r>
  <r>
    <s v="DINS-CLM-101729"/>
    <s v="DINS-CUS-501729"/>
    <s v="DINS-POL-201729"/>
    <x v="2"/>
    <x v="0"/>
    <x v="1"/>
    <x v="2"/>
    <x v="7"/>
    <d v="2023-08-26T00:00:00"/>
    <s v="Monthly"/>
    <d v="2024-02-16T00:00:00"/>
    <x v="1"/>
    <n v="6290"/>
    <n v="8928"/>
    <n v="29"/>
    <d v="2024-03-16T00:00:00"/>
    <x v="1"/>
    <x v="0"/>
    <x v="2"/>
    <n v="0.70450000000000002"/>
    <n v="174"/>
    <n v="2024"/>
    <s v="February"/>
  </r>
  <r>
    <s v="DINS-CLM-101730"/>
    <s v="DINS-CUS-501730"/>
    <s v="DINS-POL-201730"/>
    <x v="4"/>
    <x v="1"/>
    <x v="1"/>
    <x v="1"/>
    <x v="6"/>
    <d v="2024-02-01T00:00:00"/>
    <s v="Monthly"/>
    <d v="2024-04-11T00:00:00"/>
    <x v="0"/>
    <n v="19156"/>
    <n v="2714"/>
    <s v="N/A - Not Settled"/>
    <s v="N/A - Not Settled"/>
    <x v="0"/>
    <x v="0"/>
    <x v="1"/>
    <n v="7.0582000000000003"/>
    <n v="70"/>
    <n v="2024"/>
    <s v="April"/>
  </r>
  <r>
    <s v="DINS-CLM-101731"/>
    <s v="DINS-CUS-501731"/>
    <s v="DINS-POL-201731"/>
    <x v="3"/>
    <x v="2"/>
    <x v="3"/>
    <x v="0"/>
    <x v="2"/>
    <d v="2023-06-07T00:00:00"/>
    <s v="Annual"/>
    <d v="2024-04-17T00:00:00"/>
    <x v="0"/>
    <n v="23710"/>
    <n v="7247"/>
    <s v="N/A - Not Settled"/>
    <s v="N/A - Not Settled"/>
    <x v="1"/>
    <x v="0"/>
    <x v="0"/>
    <n v="3.2717000000000001"/>
    <n v="315"/>
    <n v="2024"/>
    <s v="April"/>
  </r>
  <r>
    <s v="DINS-CLM-101732"/>
    <s v="DINS-CUS-501732"/>
    <s v="DINS-POL-201732"/>
    <x v="4"/>
    <x v="1"/>
    <x v="2"/>
    <x v="2"/>
    <x v="2"/>
    <d v="2023-11-14T00:00:00"/>
    <s v="Monthly"/>
    <d v="2024-07-29T00:00:00"/>
    <x v="1"/>
    <n v="15648"/>
    <n v="7816"/>
    <n v="7"/>
    <d v="2024-08-05T00:00:00"/>
    <x v="0"/>
    <x v="0"/>
    <x v="2"/>
    <n v="2.0019999999999998"/>
    <n v="258"/>
    <n v="2024"/>
    <s v="July"/>
  </r>
  <r>
    <s v="DINS-CLM-101733"/>
    <s v="DINS-CUS-501733"/>
    <s v="DINS-POL-201733"/>
    <x v="2"/>
    <x v="2"/>
    <x v="3"/>
    <x v="0"/>
    <x v="7"/>
    <d v="2023-03-15T00:00:00"/>
    <s v="Monthly"/>
    <d v="2024-01-24T00:00:00"/>
    <x v="1"/>
    <n v="14786"/>
    <n v="5671"/>
    <n v="24"/>
    <d v="2024-02-17T00:00:00"/>
    <x v="1"/>
    <x v="0"/>
    <x v="0"/>
    <n v="2.6073"/>
    <n v="315"/>
    <n v="2024"/>
    <s v="January"/>
  </r>
  <r>
    <s v="DINS-CLM-101734"/>
    <s v="DINS-CUS-501734"/>
    <s v="DINS-POL-201734"/>
    <x v="2"/>
    <x v="1"/>
    <x v="2"/>
    <x v="0"/>
    <x v="6"/>
    <d v="2024-04-14T00:00:00"/>
    <s v="Annual"/>
    <d v="2024-06-13T00:00:00"/>
    <x v="0"/>
    <n v="11573"/>
    <n v="5136"/>
    <s v="N/A - Not Settled"/>
    <s v="N/A - Not Settled"/>
    <x v="1"/>
    <x v="0"/>
    <x v="2"/>
    <n v="2.2532999999999999"/>
    <n v="60"/>
    <n v="2024"/>
    <s v="June"/>
  </r>
  <r>
    <s v="DINS-CLM-101735"/>
    <s v="DINS-CUS-501735"/>
    <s v="DINS-POL-201735"/>
    <x v="2"/>
    <x v="2"/>
    <x v="5"/>
    <x v="2"/>
    <x v="0"/>
    <d v="2023-11-01T00:00:00"/>
    <s v="Monthly"/>
    <d v="2024-09-22T00:00:00"/>
    <x v="0"/>
    <n v="2799"/>
    <n v="4487"/>
    <s v="N/A - Not Settled"/>
    <s v="N/A - Not Settled"/>
    <x v="0"/>
    <x v="0"/>
    <x v="0"/>
    <n v="0.62380000000000002"/>
    <n v="326"/>
    <n v="2024"/>
    <s v="September"/>
  </r>
  <r>
    <s v="DINS-CLM-101736"/>
    <s v="DINS-CUS-501736"/>
    <s v="DINS-POL-201736"/>
    <x v="0"/>
    <x v="2"/>
    <x v="1"/>
    <x v="2"/>
    <x v="5"/>
    <d v="2024-09-26T00:00:00"/>
    <s v="Monthly"/>
    <d v="2024-11-17T00:00:00"/>
    <x v="1"/>
    <n v="38007"/>
    <n v="8056"/>
    <n v="33"/>
    <d v="2024-12-20T00:00:00"/>
    <x v="0"/>
    <x v="0"/>
    <x v="2"/>
    <n v="4.7179000000000002"/>
    <n v="52"/>
    <n v="2024"/>
    <s v="November"/>
  </r>
  <r>
    <s v="DINS-CLM-101737"/>
    <s v="DINS-CUS-501737"/>
    <s v="DINS-POL-201737"/>
    <x v="0"/>
    <x v="1"/>
    <x v="5"/>
    <x v="2"/>
    <x v="7"/>
    <d v="2023-09-09T00:00:00"/>
    <s v="Annual"/>
    <d v="2024-01-06T00:00:00"/>
    <x v="1"/>
    <n v="58839"/>
    <n v="3997"/>
    <n v="21"/>
    <d v="2024-01-27T00:00:00"/>
    <x v="0"/>
    <x v="0"/>
    <x v="1"/>
    <n v="14.720800000000001"/>
    <n v="119"/>
    <n v="2024"/>
    <s v="January"/>
  </r>
  <r>
    <s v="DINS-CLM-101738"/>
    <s v="DINS-CUS-501738"/>
    <s v="DINS-POL-201738"/>
    <x v="2"/>
    <x v="0"/>
    <x v="1"/>
    <x v="0"/>
    <x v="4"/>
    <d v="2023-12-14T00:00:00"/>
    <s v="Monthly"/>
    <d v="2024-08-10T00:00:00"/>
    <x v="1"/>
    <n v="8587"/>
    <n v="5957"/>
    <n v="14"/>
    <d v="2024-08-24T00:00:00"/>
    <x v="1"/>
    <x v="0"/>
    <x v="1"/>
    <n v="1.4415"/>
    <n v="240"/>
    <n v="2024"/>
    <s v="August"/>
  </r>
  <r>
    <s v="DINS-CLM-101739"/>
    <s v="DINS-CUS-501739"/>
    <s v="DINS-POL-201739"/>
    <x v="5"/>
    <x v="2"/>
    <x v="1"/>
    <x v="1"/>
    <x v="7"/>
    <d v="2024-01-06T00:00:00"/>
    <s v="Annual"/>
    <d v="2024-09-04T00:00:00"/>
    <x v="1"/>
    <n v="73090"/>
    <n v="3677"/>
    <n v="38"/>
    <d v="2024-10-12T00:00:00"/>
    <x v="1"/>
    <x v="1"/>
    <x v="2"/>
    <n v="19.877600000000001"/>
    <n v="242"/>
    <n v="2024"/>
    <s v="September"/>
  </r>
  <r>
    <s v="DINS-CLM-101740"/>
    <s v="DINS-CUS-501740"/>
    <s v="DINS-POL-201740"/>
    <x v="3"/>
    <x v="1"/>
    <x v="2"/>
    <x v="1"/>
    <x v="7"/>
    <d v="2023-07-04T00:00:00"/>
    <s v="Annual"/>
    <d v="2024-03-29T00:00:00"/>
    <x v="0"/>
    <n v="45674"/>
    <n v="6705"/>
    <s v="N/A - Not Settled"/>
    <s v="N/A - Not Settled"/>
    <x v="0"/>
    <x v="0"/>
    <x v="0"/>
    <n v="6.8118999999999996"/>
    <n v="269"/>
    <n v="2024"/>
    <s v="March"/>
  </r>
  <r>
    <s v="DINS-CLM-101741"/>
    <s v="DINS-CUS-501741"/>
    <s v="DINS-POL-201741"/>
    <x v="0"/>
    <x v="0"/>
    <x v="4"/>
    <x v="1"/>
    <x v="4"/>
    <d v="2023-05-25T00:00:00"/>
    <s v="Monthly"/>
    <d v="2024-04-04T00:00:00"/>
    <x v="1"/>
    <n v="43239"/>
    <n v="6997"/>
    <n v="29"/>
    <d v="2024-05-03T00:00:00"/>
    <x v="0"/>
    <x v="0"/>
    <x v="1"/>
    <n v="6.1795999999999998"/>
    <n v="315"/>
    <n v="2024"/>
    <s v="April"/>
  </r>
  <r>
    <s v="DINS-CLM-101742"/>
    <s v="DINS-CUS-501742"/>
    <s v="DINS-POL-201742"/>
    <x v="0"/>
    <x v="0"/>
    <x v="0"/>
    <x v="1"/>
    <x v="2"/>
    <d v="2024-02-05T00:00:00"/>
    <s v="Annual"/>
    <d v="2024-09-27T00:00:00"/>
    <x v="1"/>
    <n v="44411"/>
    <n v="6724"/>
    <n v="17"/>
    <d v="2024-10-14T00:00:00"/>
    <x v="0"/>
    <x v="0"/>
    <x v="0"/>
    <n v="6.6048"/>
    <n v="235"/>
    <n v="2024"/>
    <s v="September"/>
  </r>
  <r>
    <s v="DINS-CLM-101743"/>
    <s v="DINS-CUS-501743"/>
    <s v="DINS-POL-201743"/>
    <x v="0"/>
    <x v="0"/>
    <x v="2"/>
    <x v="0"/>
    <x v="2"/>
    <d v="2023-11-14T00:00:00"/>
    <s v="Monthly"/>
    <d v="2024-08-02T00:00:00"/>
    <x v="2"/>
    <n v="35429"/>
    <n v="7732"/>
    <s v="N/A - Not Settled"/>
    <s v="N/A - Not Settled"/>
    <x v="1"/>
    <x v="1"/>
    <x v="0"/>
    <n v="4.5820999999999996"/>
    <n v="262"/>
    <n v="2024"/>
    <s v="August"/>
  </r>
  <r>
    <s v="DINS-CLM-101744"/>
    <s v="DINS-CUS-501744"/>
    <s v="DINS-POL-201744"/>
    <x v="5"/>
    <x v="2"/>
    <x v="3"/>
    <x v="1"/>
    <x v="7"/>
    <d v="2024-04-15T00:00:00"/>
    <s v="Monthly"/>
    <d v="2024-10-16T00:00:00"/>
    <x v="2"/>
    <n v="59618"/>
    <n v="5818"/>
    <s v="N/A - Not Settled"/>
    <s v="N/A - Not Settled"/>
    <x v="0"/>
    <x v="0"/>
    <x v="2"/>
    <n v="10.247199999999999"/>
    <n v="184"/>
    <n v="2024"/>
    <s v="October"/>
  </r>
  <r>
    <s v="DINS-CLM-101745"/>
    <s v="DINS-CUS-501745"/>
    <s v="DINS-POL-201745"/>
    <x v="2"/>
    <x v="1"/>
    <x v="4"/>
    <x v="0"/>
    <x v="5"/>
    <d v="2024-03-22T00:00:00"/>
    <s v="Monthly"/>
    <d v="2024-10-17T00:00:00"/>
    <x v="1"/>
    <n v="11401"/>
    <n v="3174"/>
    <n v="16"/>
    <d v="2024-11-02T00:00:00"/>
    <x v="0"/>
    <x v="0"/>
    <x v="2"/>
    <n v="3.5920000000000001"/>
    <n v="209"/>
    <n v="2024"/>
    <s v="October"/>
  </r>
  <r>
    <s v="DINS-CLM-101746"/>
    <s v="DINS-CUS-501746"/>
    <s v="DINS-POL-201746"/>
    <x v="2"/>
    <x v="0"/>
    <x v="3"/>
    <x v="2"/>
    <x v="5"/>
    <d v="2024-02-13T00:00:00"/>
    <s v="Monthly"/>
    <d v="2024-03-30T00:00:00"/>
    <x v="1"/>
    <n v="19941"/>
    <n v="537"/>
    <n v="9"/>
    <d v="2024-04-08T00:00:00"/>
    <x v="1"/>
    <x v="0"/>
    <x v="2"/>
    <n v="37.134099999999997"/>
    <n v="46"/>
    <n v="2024"/>
    <s v="March"/>
  </r>
  <r>
    <s v="DINS-CLM-101747"/>
    <s v="DINS-CUS-501747"/>
    <s v="DINS-POL-201747"/>
    <x v="5"/>
    <x v="1"/>
    <x v="2"/>
    <x v="2"/>
    <x v="7"/>
    <d v="2023-12-14T00:00:00"/>
    <s v="Monthly"/>
    <d v="2024-09-10T00:00:00"/>
    <x v="1"/>
    <n v="52068"/>
    <n v="1008"/>
    <n v="20"/>
    <d v="2024-09-30T00:00:00"/>
    <x v="1"/>
    <x v="0"/>
    <x v="1"/>
    <n v="51.654800000000002"/>
    <n v="271"/>
    <n v="2024"/>
    <s v="September"/>
  </r>
  <r>
    <s v="DINS-CLM-101748"/>
    <s v="DINS-CUS-501748"/>
    <s v="DINS-POL-201748"/>
    <x v="2"/>
    <x v="2"/>
    <x v="4"/>
    <x v="1"/>
    <x v="2"/>
    <d v="2024-07-14T00:00:00"/>
    <s v="Monthly"/>
    <d v="2024-10-31T00:00:00"/>
    <x v="0"/>
    <n v="27184"/>
    <n v="5814"/>
    <s v="N/A - Not Settled"/>
    <s v="N/A - Not Settled"/>
    <x v="0"/>
    <x v="0"/>
    <x v="2"/>
    <n v="4.6756000000000002"/>
    <n v="109"/>
    <n v="2024"/>
    <s v="October"/>
  </r>
  <r>
    <s v="DINS-CLM-101749"/>
    <s v="DINS-CUS-501749"/>
    <s v="DINS-POL-201749"/>
    <x v="4"/>
    <x v="1"/>
    <x v="3"/>
    <x v="1"/>
    <x v="7"/>
    <d v="2023-11-19T00:00:00"/>
    <s v="Monthly"/>
    <d v="2024-06-12T00:00:00"/>
    <x v="1"/>
    <n v="10784"/>
    <n v="2562"/>
    <n v="39"/>
    <d v="2024-07-21T00:00:00"/>
    <x v="0"/>
    <x v="0"/>
    <x v="0"/>
    <n v="4.2092000000000001"/>
    <n v="206"/>
    <n v="2024"/>
    <s v="June"/>
  </r>
  <r>
    <s v="DINS-CLM-101750"/>
    <s v="DINS-CUS-501750"/>
    <s v="DINS-POL-201750"/>
    <x v="4"/>
    <x v="0"/>
    <x v="5"/>
    <x v="2"/>
    <x v="3"/>
    <d v="2023-12-31T00:00:00"/>
    <s v="Annual"/>
    <d v="2024-08-05T00:00:00"/>
    <x v="0"/>
    <n v="10635"/>
    <n v="1049"/>
    <s v="N/A - Not Settled"/>
    <s v="N/A - Not Settled"/>
    <x v="0"/>
    <x v="0"/>
    <x v="2"/>
    <n v="10.138199999999999"/>
    <n v="218"/>
    <n v="2024"/>
    <s v="August"/>
  </r>
  <r>
    <s v="DINS-CLM-101751"/>
    <s v="DINS-CUS-501751"/>
    <s v="DINS-POL-201751"/>
    <x v="3"/>
    <x v="2"/>
    <x v="2"/>
    <x v="0"/>
    <x v="3"/>
    <d v="2024-04-26T00:00:00"/>
    <s v="Annual"/>
    <d v="2024-10-31T00:00:00"/>
    <x v="1"/>
    <n v="98760"/>
    <n v="1628"/>
    <n v="16"/>
    <d v="2024-11-16T00:00:00"/>
    <x v="0"/>
    <x v="0"/>
    <x v="1"/>
    <n v="60.663400000000003"/>
    <n v="188"/>
    <n v="2024"/>
    <s v="October"/>
  </r>
  <r>
    <s v="DINS-CLM-101752"/>
    <s v="DINS-CUS-501752"/>
    <s v="DINS-POL-201752"/>
    <x v="0"/>
    <x v="2"/>
    <x v="4"/>
    <x v="0"/>
    <x v="5"/>
    <d v="2023-11-04T00:00:00"/>
    <s v="Monthly"/>
    <d v="2024-02-17T00:00:00"/>
    <x v="1"/>
    <n v="46057"/>
    <n v="3635"/>
    <n v="19"/>
    <d v="2024-03-07T00:00:00"/>
    <x v="0"/>
    <x v="0"/>
    <x v="2"/>
    <n v="12.670400000000001"/>
    <n v="105"/>
    <n v="2024"/>
    <s v="February"/>
  </r>
  <r>
    <s v="DINS-CLM-101753"/>
    <s v="DINS-CUS-501753"/>
    <s v="DINS-POL-201753"/>
    <x v="5"/>
    <x v="1"/>
    <x v="5"/>
    <x v="1"/>
    <x v="3"/>
    <d v="2024-02-19T00:00:00"/>
    <s v="Monthly"/>
    <d v="2024-05-09T00:00:00"/>
    <x v="0"/>
    <n v="19664"/>
    <n v="5824"/>
    <s v="N/A - Not Settled"/>
    <s v="N/A - Not Settled"/>
    <x v="0"/>
    <x v="0"/>
    <x v="0"/>
    <n v="3.3763999999999998"/>
    <n v="80"/>
    <n v="2024"/>
    <s v="May"/>
  </r>
  <r>
    <s v="DINS-CLM-101754"/>
    <s v="DINS-CUS-501754"/>
    <s v="DINS-POL-201754"/>
    <x v="2"/>
    <x v="0"/>
    <x v="1"/>
    <x v="1"/>
    <x v="6"/>
    <d v="2024-03-10T00:00:00"/>
    <s v="Annual"/>
    <d v="2024-05-18T00:00:00"/>
    <x v="1"/>
    <n v="9512"/>
    <n v="7362"/>
    <n v="4"/>
    <d v="2024-05-22T00:00:00"/>
    <x v="0"/>
    <x v="0"/>
    <x v="2"/>
    <n v="1.292"/>
    <n v="69"/>
    <n v="2024"/>
    <s v="May"/>
  </r>
  <r>
    <s v="DINS-CLM-101755"/>
    <s v="DINS-CUS-501755"/>
    <s v="DINS-POL-201755"/>
    <x v="0"/>
    <x v="2"/>
    <x v="3"/>
    <x v="0"/>
    <x v="7"/>
    <d v="2023-04-08T00:00:00"/>
    <s v="Annual"/>
    <d v="2024-02-06T00:00:00"/>
    <x v="0"/>
    <n v="29975"/>
    <n v="3353"/>
    <s v="N/A - Not Settled"/>
    <s v="N/A - Not Settled"/>
    <x v="0"/>
    <x v="0"/>
    <x v="0"/>
    <n v="8.9398"/>
    <n v="304"/>
    <n v="2024"/>
    <s v="February"/>
  </r>
  <r>
    <s v="DINS-CLM-101756"/>
    <s v="DINS-CUS-501756"/>
    <s v="DINS-POL-201756"/>
    <x v="4"/>
    <x v="1"/>
    <x v="5"/>
    <x v="1"/>
    <x v="0"/>
    <d v="2023-10-09T00:00:00"/>
    <s v="Annual"/>
    <d v="2024-08-31T00:00:00"/>
    <x v="1"/>
    <n v="7315"/>
    <n v="3974"/>
    <n v="42"/>
    <d v="2024-10-12T00:00:00"/>
    <x v="0"/>
    <x v="0"/>
    <x v="1"/>
    <n v="1.8407"/>
    <n v="327"/>
    <n v="2024"/>
    <s v="August"/>
  </r>
  <r>
    <s v="DINS-CLM-101757"/>
    <s v="DINS-CUS-501757"/>
    <s v="DINS-POL-201757"/>
    <x v="0"/>
    <x v="0"/>
    <x v="3"/>
    <x v="1"/>
    <x v="4"/>
    <d v="2024-05-12T00:00:00"/>
    <s v="Annual"/>
    <d v="2024-12-14T00:00:00"/>
    <x v="1"/>
    <n v="22043"/>
    <n v="7370"/>
    <n v="20"/>
    <d v="2025-01-03T00:00:00"/>
    <x v="1"/>
    <x v="1"/>
    <x v="0"/>
    <n v="2.9908999999999999"/>
    <n v="216"/>
    <n v="2024"/>
    <s v="December"/>
  </r>
  <r>
    <s v="DINS-CLM-101758"/>
    <s v="DINS-CUS-501758"/>
    <s v="DINS-POL-201758"/>
    <x v="0"/>
    <x v="0"/>
    <x v="3"/>
    <x v="1"/>
    <x v="4"/>
    <d v="2023-11-15T00:00:00"/>
    <s v="Monthly"/>
    <d v="2024-09-10T00:00:00"/>
    <x v="0"/>
    <n v="23196"/>
    <n v="4404"/>
    <s v="N/A - Not Settled"/>
    <s v="N/A - Not Settled"/>
    <x v="0"/>
    <x v="0"/>
    <x v="2"/>
    <n v="5.2670000000000003"/>
    <n v="300"/>
    <n v="2024"/>
    <s v="September"/>
  </r>
  <r>
    <s v="DINS-CLM-101759"/>
    <s v="DINS-CUS-501759"/>
    <s v="DINS-POL-201759"/>
    <x v="2"/>
    <x v="2"/>
    <x v="1"/>
    <x v="0"/>
    <x v="2"/>
    <d v="2023-12-06T00:00:00"/>
    <s v="Annual"/>
    <d v="2024-11-03T00:00:00"/>
    <x v="0"/>
    <n v="17486"/>
    <n v="2074"/>
    <s v="N/A - Not Settled"/>
    <s v="N/A - Not Settled"/>
    <x v="0"/>
    <x v="0"/>
    <x v="1"/>
    <n v="8.4311000000000007"/>
    <n v="333"/>
    <n v="2024"/>
    <s v="November"/>
  </r>
  <r>
    <s v="DINS-CLM-101760"/>
    <s v="DINS-CUS-501760"/>
    <s v="DINS-POL-201760"/>
    <x v="2"/>
    <x v="1"/>
    <x v="4"/>
    <x v="2"/>
    <x v="7"/>
    <d v="2023-05-17T00:00:00"/>
    <s v="Monthly"/>
    <d v="2024-03-10T00:00:00"/>
    <x v="1"/>
    <n v="9070"/>
    <n v="4437"/>
    <n v="18"/>
    <d v="2024-03-28T00:00:00"/>
    <x v="0"/>
    <x v="0"/>
    <x v="1"/>
    <n v="2.0442"/>
    <n v="298"/>
    <n v="2024"/>
    <s v="March"/>
  </r>
  <r>
    <s v="DINS-CLM-101761"/>
    <s v="DINS-CUS-501761"/>
    <s v="DINS-POL-201761"/>
    <x v="3"/>
    <x v="1"/>
    <x v="3"/>
    <x v="0"/>
    <x v="6"/>
    <d v="2024-10-03T00:00:00"/>
    <s v="Annual"/>
    <d v="2024-11-23T00:00:00"/>
    <x v="1"/>
    <n v="79308"/>
    <n v="8509"/>
    <n v="37"/>
    <d v="2024-12-30T00:00:00"/>
    <x v="0"/>
    <x v="0"/>
    <x v="2"/>
    <n v="9.3204999999999991"/>
    <n v="51"/>
    <n v="2024"/>
    <s v="November"/>
  </r>
  <r>
    <s v="DINS-CLM-101762"/>
    <s v="DINS-CUS-501762"/>
    <s v="DINS-POL-201762"/>
    <x v="0"/>
    <x v="0"/>
    <x v="1"/>
    <x v="1"/>
    <x v="7"/>
    <d v="2024-05-11T00:00:00"/>
    <s v="Annual"/>
    <d v="2024-09-29T00:00:00"/>
    <x v="0"/>
    <n v="32746"/>
    <n v="6232"/>
    <s v="N/A - Not Settled"/>
    <s v="N/A - Not Settled"/>
    <x v="0"/>
    <x v="0"/>
    <x v="0"/>
    <n v="5.2545000000000002"/>
    <n v="141"/>
    <n v="2024"/>
    <s v="September"/>
  </r>
  <r>
    <s v="DINS-CLM-101763"/>
    <s v="DINS-CUS-501763"/>
    <s v="DINS-POL-201763"/>
    <x v="3"/>
    <x v="2"/>
    <x v="2"/>
    <x v="1"/>
    <x v="3"/>
    <d v="2024-09-24T00:00:00"/>
    <s v="Monthly"/>
    <d v="2024-11-01T00:00:00"/>
    <x v="1"/>
    <n v="96456"/>
    <n v="4139"/>
    <n v="14"/>
    <d v="2024-11-15T00:00:00"/>
    <x v="0"/>
    <x v="0"/>
    <x v="1"/>
    <n v="23.304200000000002"/>
    <n v="38"/>
    <n v="2024"/>
    <s v="November"/>
  </r>
  <r>
    <s v="DINS-CLM-101764"/>
    <s v="DINS-CUS-501764"/>
    <s v="DINS-POL-201764"/>
    <x v="4"/>
    <x v="2"/>
    <x v="2"/>
    <x v="1"/>
    <x v="3"/>
    <d v="2023-05-06T00:00:00"/>
    <s v="Annual"/>
    <d v="2024-01-20T00:00:00"/>
    <x v="0"/>
    <n v="2016"/>
    <n v="2585"/>
    <s v="N/A - Not Settled"/>
    <s v="N/A - Not Settled"/>
    <x v="0"/>
    <x v="0"/>
    <x v="1"/>
    <n v="0.77990000000000004"/>
    <n v="259"/>
    <n v="2024"/>
    <s v="January"/>
  </r>
  <r>
    <s v="DINS-CLM-101765"/>
    <s v="DINS-CUS-501765"/>
    <s v="DINS-POL-201765"/>
    <x v="2"/>
    <x v="1"/>
    <x v="5"/>
    <x v="1"/>
    <x v="7"/>
    <d v="2023-11-17T00:00:00"/>
    <s v="Annual"/>
    <d v="2024-06-13T00:00:00"/>
    <x v="1"/>
    <n v="9861"/>
    <n v="3262"/>
    <n v="36"/>
    <d v="2024-07-19T00:00:00"/>
    <x v="0"/>
    <x v="0"/>
    <x v="0"/>
    <n v="3.0230000000000001"/>
    <n v="209"/>
    <n v="2024"/>
    <s v="June"/>
  </r>
  <r>
    <s v="DINS-CLM-101766"/>
    <s v="DINS-CUS-501766"/>
    <s v="DINS-POL-201766"/>
    <x v="2"/>
    <x v="0"/>
    <x v="5"/>
    <x v="2"/>
    <x v="6"/>
    <d v="2023-07-29T00:00:00"/>
    <s v="Monthly"/>
    <d v="2024-01-30T00:00:00"/>
    <x v="1"/>
    <n v="3244"/>
    <n v="4409"/>
    <n v="5"/>
    <d v="2024-02-04T00:00:00"/>
    <x v="1"/>
    <x v="0"/>
    <x v="1"/>
    <n v="0.73580000000000001"/>
    <n v="185"/>
    <n v="2024"/>
    <s v="January"/>
  </r>
  <r>
    <s v="DINS-CLM-101767"/>
    <s v="DINS-CUS-501767"/>
    <s v="DINS-POL-201767"/>
    <x v="0"/>
    <x v="1"/>
    <x v="5"/>
    <x v="0"/>
    <x v="1"/>
    <d v="2024-03-26T00:00:00"/>
    <s v="Annual"/>
    <d v="2024-11-27T00:00:00"/>
    <x v="1"/>
    <n v="35020"/>
    <n v="4707"/>
    <n v="31"/>
    <d v="2024-12-28T00:00:00"/>
    <x v="0"/>
    <x v="0"/>
    <x v="0"/>
    <n v="7.44"/>
    <n v="246"/>
    <n v="2024"/>
    <s v="November"/>
  </r>
  <r>
    <s v="DINS-CLM-101768"/>
    <s v="DINS-CUS-501768"/>
    <s v="DINS-POL-201768"/>
    <x v="4"/>
    <x v="1"/>
    <x v="4"/>
    <x v="1"/>
    <x v="0"/>
    <d v="2023-10-17T00:00:00"/>
    <s v="Monthly"/>
    <d v="2024-07-28T00:00:00"/>
    <x v="1"/>
    <n v="8051"/>
    <n v="6823"/>
    <n v="45"/>
    <d v="2024-09-11T00:00:00"/>
    <x v="0"/>
    <x v="0"/>
    <x v="2"/>
    <n v="1.18"/>
    <n v="285"/>
    <n v="2024"/>
    <s v="July"/>
  </r>
  <r>
    <s v="DINS-CLM-101769"/>
    <s v="DINS-CUS-501769"/>
    <s v="DINS-POL-201769"/>
    <x v="0"/>
    <x v="0"/>
    <x v="1"/>
    <x v="0"/>
    <x v="7"/>
    <d v="2023-02-24T00:00:00"/>
    <s v="Annual"/>
    <d v="2024-01-20T00:00:00"/>
    <x v="1"/>
    <n v="42894"/>
    <n v="6690"/>
    <n v="43"/>
    <d v="2024-03-03T00:00:00"/>
    <x v="0"/>
    <x v="0"/>
    <x v="0"/>
    <n v="6.4116999999999997"/>
    <n v="330"/>
    <n v="2024"/>
    <s v="January"/>
  </r>
  <r>
    <s v="DINS-CLM-101770"/>
    <s v="DINS-CUS-501770"/>
    <s v="DINS-POL-201770"/>
    <x v="0"/>
    <x v="1"/>
    <x v="2"/>
    <x v="2"/>
    <x v="7"/>
    <d v="2024-03-05T00:00:00"/>
    <s v="Monthly"/>
    <d v="2024-06-16T00:00:00"/>
    <x v="1"/>
    <n v="9596"/>
    <n v="2985"/>
    <n v="9"/>
    <d v="2024-06-25T00:00:00"/>
    <x v="0"/>
    <x v="0"/>
    <x v="2"/>
    <n v="3.2147000000000001"/>
    <n v="103"/>
    <n v="2024"/>
    <s v="June"/>
  </r>
  <r>
    <s v="DINS-CLM-101771"/>
    <s v="DINS-CUS-501771"/>
    <s v="DINS-POL-201771"/>
    <x v="4"/>
    <x v="2"/>
    <x v="1"/>
    <x v="2"/>
    <x v="0"/>
    <d v="2023-09-28T00:00:00"/>
    <s v="Annual"/>
    <d v="2024-08-22T00:00:00"/>
    <x v="1"/>
    <n v="6709"/>
    <n v="6693"/>
    <n v="6"/>
    <d v="2024-08-28T00:00:00"/>
    <x v="0"/>
    <x v="0"/>
    <x v="1"/>
    <n v="1.0024"/>
    <n v="329"/>
    <n v="2024"/>
    <s v="August"/>
  </r>
  <r>
    <s v="DINS-CLM-101772"/>
    <s v="DINS-CUS-501772"/>
    <s v="DINS-POL-201772"/>
    <x v="0"/>
    <x v="2"/>
    <x v="4"/>
    <x v="1"/>
    <x v="6"/>
    <d v="2023-09-01T00:00:00"/>
    <s v="Monthly"/>
    <d v="2024-07-06T00:00:00"/>
    <x v="0"/>
    <n v="31484"/>
    <n v="5780"/>
    <s v="N/A - Not Settled"/>
    <s v="N/A - Not Settled"/>
    <x v="0"/>
    <x v="0"/>
    <x v="2"/>
    <n v="5.4470999999999998"/>
    <n v="309"/>
    <n v="2024"/>
    <s v="July"/>
  </r>
  <r>
    <s v="DINS-CLM-101773"/>
    <s v="DINS-CUS-501773"/>
    <s v="DINS-POL-201773"/>
    <x v="0"/>
    <x v="0"/>
    <x v="5"/>
    <x v="2"/>
    <x v="6"/>
    <d v="2023-02-28T00:00:00"/>
    <s v="Annual"/>
    <d v="2024-01-13T00:00:00"/>
    <x v="0"/>
    <n v="50147"/>
    <n v="2151"/>
    <s v="N/A - Not Settled"/>
    <s v="N/A - Not Settled"/>
    <x v="0"/>
    <x v="0"/>
    <x v="1"/>
    <n v="23.313300000000002"/>
    <n v="319"/>
    <n v="2024"/>
    <s v="January"/>
  </r>
  <r>
    <s v="DINS-CLM-101774"/>
    <s v="DINS-CUS-501774"/>
    <s v="DINS-POL-201774"/>
    <x v="5"/>
    <x v="1"/>
    <x v="1"/>
    <x v="0"/>
    <x v="0"/>
    <d v="2023-07-03T00:00:00"/>
    <s v="Annual"/>
    <d v="2024-04-14T00:00:00"/>
    <x v="0"/>
    <n v="39762"/>
    <n v="3933"/>
    <s v="N/A - Not Settled"/>
    <s v="N/A - Not Settled"/>
    <x v="0"/>
    <x v="0"/>
    <x v="1"/>
    <n v="10.1098"/>
    <n v="286"/>
    <n v="2024"/>
    <s v="April"/>
  </r>
  <r>
    <s v="DINS-CLM-101775"/>
    <s v="DINS-CUS-501775"/>
    <s v="DINS-POL-201775"/>
    <x v="2"/>
    <x v="1"/>
    <x v="5"/>
    <x v="2"/>
    <x v="1"/>
    <d v="2023-07-16T00:00:00"/>
    <s v="Monthly"/>
    <d v="2024-06-21T00:00:00"/>
    <x v="1"/>
    <n v="31012"/>
    <n v="1551"/>
    <n v="16"/>
    <d v="2024-07-07T00:00:00"/>
    <x v="0"/>
    <x v="0"/>
    <x v="1"/>
    <n v="19.994800000000001"/>
    <n v="341"/>
    <n v="2024"/>
    <s v="June"/>
  </r>
  <r>
    <s v="DINS-CLM-101776"/>
    <s v="DINS-CUS-501776"/>
    <s v="DINS-POL-201776"/>
    <x v="2"/>
    <x v="0"/>
    <x v="2"/>
    <x v="1"/>
    <x v="6"/>
    <d v="2023-04-30T00:00:00"/>
    <s v="Annual"/>
    <d v="2024-02-26T00:00:00"/>
    <x v="1"/>
    <n v="36250"/>
    <n v="6186"/>
    <n v="20"/>
    <d v="2024-03-17T00:00:00"/>
    <x v="0"/>
    <x v="0"/>
    <x v="0"/>
    <n v="5.86"/>
    <n v="302"/>
    <n v="2024"/>
    <s v="February"/>
  </r>
  <r>
    <s v="DINS-CLM-101777"/>
    <s v="DINS-CUS-501777"/>
    <s v="DINS-POL-201777"/>
    <x v="3"/>
    <x v="2"/>
    <x v="3"/>
    <x v="2"/>
    <x v="2"/>
    <d v="2024-02-27T00:00:00"/>
    <s v="Monthly"/>
    <d v="2024-06-02T00:00:00"/>
    <x v="1"/>
    <n v="76953"/>
    <n v="1608"/>
    <n v="8"/>
    <d v="2024-06-10T00:00:00"/>
    <x v="0"/>
    <x v="0"/>
    <x v="0"/>
    <n v="47.856299999999997"/>
    <n v="96"/>
    <n v="2024"/>
    <s v="June"/>
  </r>
  <r>
    <s v="DINS-CLM-101778"/>
    <s v="DINS-CUS-501778"/>
    <s v="DINS-POL-201778"/>
    <x v="5"/>
    <x v="1"/>
    <x v="0"/>
    <x v="0"/>
    <x v="5"/>
    <d v="2023-09-17T00:00:00"/>
    <s v="Monthly"/>
    <d v="2024-04-14T00:00:00"/>
    <x v="1"/>
    <n v="50661"/>
    <n v="2508"/>
    <n v="24"/>
    <d v="2024-05-08T00:00:00"/>
    <x v="0"/>
    <x v="0"/>
    <x v="2"/>
    <n v="20.1998"/>
    <n v="210"/>
    <n v="2024"/>
    <s v="April"/>
  </r>
  <r>
    <s v="DINS-CLM-101779"/>
    <s v="DINS-CUS-501779"/>
    <s v="DINS-POL-201779"/>
    <x v="1"/>
    <x v="0"/>
    <x v="0"/>
    <x v="1"/>
    <x v="7"/>
    <d v="2024-09-27T00:00:00"/>
    <s v="Annual"/>
    <d v="2024-12-19T00:00:00"/>
    <x v="1"/>
    <n v="44040"/>
    <n v="7444"/>
    <n v="11"/>
    <d v="2024-12-30T00:00:00"/>
    <x v="0"/>
    <x v="0"/>
    <x v="1"/>
    <n v="5.9161999999999999"/>
    <n v="83"/>
    <n v="2024"/>
    <s v="December"/>
  </r>
  <r>
    <s v="DINS-CLM-101780"/>
    <s v="DINS-CUS-501780"/>
    <s v="DINS-POL-201780"/>
    <x v="5"/>
    <x v="2"/>
    <x v="5"/>
    <x v="2"/>
    <x v="3"/>
    <d v="2023-07-10T00:00:00"/>
    <s v="Annual"/>
    <d v="2024-06-24T00:00:00"/>
    <x v="0"/>
    <n v="57721"/>
    <n v="3456"/>
    <s v="N/A - Not Settled"/>
    <s v="N/A - Not Settled"/>
    <x v="0"/>
    <x v="0"/>
    <x v="1"/>
    <n v="16.701699999999999"/>
    <n v="350"/>
    <n v="2024"/>
    <s v="June"/>
  </r>
  <r>
    <s v="DINS-CLM-101781"/>
    <s v="DINS-CUS-501781"/>
    <s v="DINS-POL-201781"/>
    <x v="3"/>
    <x v="2"/>
    <x v="4"/>
    <x v="2"/>
    <x v="4"/>
    <d v="2023-10-01T00:00:00"/>
    <s v="Monthly"/>
    <d v="2024-08-01T00:00:00"/>
    <x v="0"/>
    <n v="33065"/>
    <n v="5889"/>
    <s v="N/A - Not Settled"/>
    <s v="N/A - Not Settled"/>
    <x v="0"/>
    <x v="0"/>
    <x v="0"/>
    <n v="5.6147"/>
    <n v="305"/>
    <n v="2024"/>
    <s v="August"/>
  </r>
  <r>
    <s v="DINS-CLM-101782"/>
    <s v="DINS-CUS-501782"/>
    <s v="DINS-POL-201782"/>
    <x v="1"/>
    <x v="1"/>
    <x v="3"/>
    <x v="2"/>
    <x v="1"/>
    <d v="2024-01-23T00:00:00"/>
    <s v="Monthly"/>
    <d v="2024-05-01T00:00:00"/>
    <x v="1"/>
    <n v="35607"/>
    <n v="6084"/>
    <n v="41"/>
    <d v="2024-06-11T00:00:00"/>
    <x v="0"/>
    <x v="0"/>
    <x v="1"/>
    <n v="5.8525999999999998"/>
    <n v="99"/>
    <n v="2024"/>
    <s v="May"/>
  </r>
  <r>
    <s v="DINS-CLM-101783"/>
    <s v="DINS-CUS-501783"/>
    <s v="DINS-POL-201783"/>
    <x v="5"/>
    <x v="2"/>
    <x v="3"/>
    <x v="1"/>
    <x v="3"/>
    <d v="2024-02-15T00:00:00"/>
    <s v="Monthly"/>
    <d v="2024-08-08T00:00:00"/>
    <x v="2"/>
    <n v="26559"/>
    <n v="5916"/>
    <s v="N/A - Not Settled"/>
    <s v="N/A - Not Settled"/>
    <x v="0"/>
    <x v="0"/>
    <x v="2"/>
    <n v="4.4893999999999998"/>
    <n v="175"/>
    <n v="2024"/>
    <s v="August"/>
  </r>
  <r>
    <s v="DINS-CLM-101784"/>
    <s v="DINS-CUS-501784"/>
    <s v="DINS-POL-201784"/>
    <x v="2"/>
    <x v="1"/>
    <x v="3"/>
    <x v="0"/>
    <x v="6"/>
    <d v="2023-11-24T00:00:00"/>
    <s v="Monthly"/>
    <d v="2024-05-21T00:00:00"/>
    <x v="1"/>
    <n v="5843"/>
    <n v="6770"/>
    <n v="13"/>
    <d v="2024-06-03T00:00:00"/>
    <x v="0"/>
    <x v="0"/>
    <x v="0"/>
    <n v="0.86309999999999998"/>
    <n v="179"/>
    <n v="2024"/>
    <s v="May"/>
  </r>
  <r>
    <s v="DINS-CLM-101785"/>
    <s v="DINS-CUS-501785"/>
    <s v="DINS-POL-201785"/>
    <x v="1"/>
    <x v="0"/>
    <x v="4"/>
    <x v="1"/>
    <x v="6"/>
    <d v="2023-05-14T00:00:00"/>
    <s v="Annual"/>
    <d v="2024-04-23T00:00:00"/>
    <x v="2"/>
    <n v="62002"/>
    <n v="5950"/>
    <s v="N/A - Not Settled"/>
    <s v="N/A - Not Settled"/>
    <x v="0"/>
    <x v="0"/>
    <x v="1"/>
    <n v="10.420500000000001"/>
    <n v="345"/>
    <n v="2024"/>
    <s v="April"/>
  </r>
  <r>
    <s v="DINS-CLM-101786"/>
    <s v="DINS-CUS-501786"/>
    <s v="DINS-POL-201786"/>
    <x v="4"/>
    <x v="2"/>
    <x v="0"/>
    <x v="2"/>
    <x v="2"/>
    <d v="2023-08-27T00:00:00"/>
    <s v="Monthly"/>
    <d v="2024-05-18T00:00:00"/>
    <x v="2"/>
    <n v="5191"/>
    <n v="8160"/>
    <s v="N/A - Not Settled"/>
    <s v="N/A - Not Settled"/>
    <x v="0"/>
    <x v="0"/>
    <x v="0"/>
    <n v="0.63619999999999999"/>
    <n v="265"/>
    <n v="2024"/>
    <s v="May"/>
  </r>
  <r>
    <s v="DINS-CLM-101787"/>
    <s v="DINS-CUS-501787"/>
    <s v="DINS-POL-201787"/>
    <x v="4"/>
    <x v="1"/>
    <x v="1"/>
    <x v="2"/>
    <x v="0"/>
    <d v="2023-07-09T00:00:00"/>
    <s v="Annual"/>
    <d v="2024-01-31T00:00:00"/>
    <x v="1"/>
    <n v="4595"/>
    <n v="7356"/>
    <n v="18"/>
    <d v="2024-02-18T00:00:00"/>
    <x v="0"/>
    <x v="0"/>
    <x v="2"/>
    <n v="0.62470000000000003"/>
    <n v="206"/>
    <n v="2024"/>
    <s v="January"/>
  </r>
  <r>
    <s v="DINS-CLM-101788"/>
    <s v="DINS-CUS-501788"/>
    <s v="DINS-POL-201788"/>
    <x v="0"/>
    <x v="0"/>
    <x v="5"/>
    <x v="1"/>
    <x v="2"/>
    <d v="2024-01-04T00:00:00"/>
    <s v="Annual"/>
    <d v="2024-02-22T00:00:00"/>
    <x v="0"/>
    <n v="28860"/>
    <n v="2704"/>
    <s v="N/A - Not Settled"/>
    <s v="N/A - Not Settled"/>
    <x v="0"/>
    <x v="0"/>
    <x v="0"/>
    <n v="10.6731"/>
    <n v="49"/>
    <n v="2024"/>
    <s v="February"/>
  </r>
  <r>
    <s v="DINS-CLM-101789"/>
    <s v="DINS-CUS-501789"/>
    <s v="DINS-POL-201789"/>
    <x v="3"/>
    <x v="0"/>
    <x v="0"/>
    <x v="2"/>
    <x v="4"/>
    <d v="2023-09-29T00:00:00"/>
    <s v="Annual"/>
    <d v="2024-06-04T00:00:00"/>
    <x v="1"/>
    <n v="23045"/>
    <n v="7126"/>
    <n v="25"/>
    <d v="2024-06-29T00:00:00"/>
    <x v="0"/>
    <x v="0"/>
    <x v="0"/>
    <n v="3.2339000000000002"/>
    <n v="249"/>
    <n v="2024"/>
    <s v="June"/>
  </r>
  <r>
    <s v="DINS-CLM-101790"/>
    <s v="DINS-CUS-501790"/>
    <s v="DINS-POL-201790"/>
    <x v="0"/>
    <x v="1"/>
    <x v="0"/>
    <x v="0"/>
    <x v="1"/>
    <d v="2023-12-21T00:00:00"/>
    <s v="Monthly"/>
    <d v="2024-03-25T00:00:00"/>
    <x v="1"/>
    <n v="27172"/>
    <n v="6036"/>
    <n v="3"/>
    <d v="2024-03-28T00:00:00"/>
    <x v="0"/>
    <x v="0"/>
    <x v="1"/>
    <n v="4.5016999999999996"/>
    <n v="95"/>
    <n v="2024"/>
    <s v="March"/>
  </r>
  <r>
    <s v="DINS-CLM-101791"/>
    <s v="DINS-CUS-501791"/>
    <s v="DINS-POL-201791"/>
    <x v="3"/>
    <x v="0"/>
    <x v="2"/>
    <x v="1"/>
    <x v="3"/>
    <d v="2024-01-15T00:00:00"/>
    <s v="Annual"/>
    <d v="2024-03-02T00:00:00"/>
    <x v="1"/>
    <n v="75856"/>
    <n v="3174"/>
    <n v="14"/>
    <d v="2024-03-16T00:00:00"/>
    <x v="0"/>
    <x v="0"/>
    <x v="2"/>
    <n v="23.8992"/>
    <n v="47"/>
    <n v="2024"/>
    <s v="March"/>
  </r>
  <r>
    <s v="DINS-CLM-101792"/>
    <s v="DINS-CUS-501792"/>
    <s v="DINS-POL-201792"/>
    <x v="5"/>
    <x v="0"/>
    <x v="2"/>
    <x v="2"/>
    <x v="5"/>
    <d v="2023-08-24T00:00:00"/>
    <s v="Monthly"/>
    <d v="2024-02-02T00:00:00"/>
    <x v="2"/>
    <n v="62720"/>
    <n v="3641"/>
    <s v="N/A - Not Settled"/>
    <s v="N/A - Not Settled"/>
    <x v="0"/>
    <x v="0"/>
    <x v="0"/>
    <n v="17.225999999999999"/>
    <n v="162"/>
    <n v="2024"/>
    <s v="February"/>
  </r>
  <r>
    <s v="DINS-CLM-101793"/>
    <s v="DINS-CUS-501793"/>
    <s v="DINS-POL-201793"/>
    <x v="3"/>
    <x v="0"/>
    <x v="0"/>
    <x v="2"/>
    <x v="7"/>
    <d v="2024-10-02T00:00:00"/>
    <s v="Annual"/>
    <d v="2024-11-14T00:00:00"/>
    <x v="1"/>
    <n v="85424"/>
    <n v="7819"/>
    <n v="26"/>
    <d v="2024-12-10T00:00:00"/>
    <x v="0"/>
    <x v="0"/>
    <x v="2"/>
    <n v="10.9252"/>
    <n v="43"/>
    <n v="2024"/>
    <s v="November"/>
  </r>
  <r>
    <s v="DINS-CLM-101794"/>
    <s v="DINS-CUS-501794"/>
    <s v="DINS-POL-201794"/>
    <x v="2"/>
    <x v="0"/>
    <x v="4"/>
    <x v="2"/>
    <x v="4"/>
    <d v="2023-11-24T00:00:00"/>
    <s v="Annual"/>
    <d v="2024-06-23T00:00:00"/>
    <x v="1"/>
    <n v="14653"/>
    <n v="5352"/>
    <n v="35"/>
    <d v="2024-07-28T00:00:00"/>
    <x v="0"/>
    <x v="0"/>
    <x v="0"/>
    <n v="2.7378999999999998"/>
    <n v="212"/>
    <n v="2024"/>
    <s v="June"/>
  </r>
  <r>
    <s v="DINS-CLM-101795"/>
    <s v="DINS-CUS-501795"/>
    <s v="DINS-POL-201795"/>
    <x v="2"/>
    <x v="1"/>
    <x v="0"/>
    <x v="1"/>
    <x v="5"/>
    <d v="2023-09-28T00:00:00"/>
    <s v="Annual"/>
    <d v="2024-07-14T00:00:00"/>
    <x v="1"/>
    <n v="2240"/>
    <n v="1293"/>
    <n v="23"/>
    <d v="2024-08-06T00:00:00"/>
    <x v="0"/>
    <x v="0"/>
    <x v="0"/>
    <n v="1.7323999999999999"/>
    <n v="290"/>
    <n v="2024"/>
    <s v="July"/>
  </r>
  <r>
    <s v="DINS-CLM-101796"/>
    <s v="DINS-CUS-501796"/>
    <s v="DINS-POL-201796"/>
    <x v="3"/>
    <x v="2"/>
    <x v="3"/>
    <x v="2"/>
    <x v="3"/>
    <d v="2023-06-25T00:00:00"/>
    <s v="Annual"/>
    <d v="2024-02-03T00:00:00"/>
    <x v="1"/>
    <n v="43656"/>
    <n v="7312"/>
    <n v="25"/>
    <d v="2024-02-28T00:00:00"/>
    <x v="0"/>
    <x v="0"/>
    <x v="2"/>
    <n v="5.9705000000000004"/>
    <n v="223"/>
    <n v="2024"/>
    <s v="February"/>
  </r>
  <r>
    <s v="DINS-CLM-101797"/>
    <s v="DINS-CUS-501797"/>
    <s v="DINS-POL-201797"/>
    <x v="2"/>
    <x v="2"/>
    <x v="2"/>
    <x v="0"/>
    <x v="7"/>
    <d v="2023-06-02T00:00:00"/>
    <s v="Annual"/>
    <d v="2024-05-18T00:00:00"/>
    <x v="1"/>
    <n v="5163"/>
    <n v="1029"/>
    <n v="36"/>
    <d v="2024-06-23T00:00:00"/>
    <x v="0"/>
    <x v="0"/>
    <x v="1"/>
    <n v="5.0175000000000001"/>
    <n v="351"/>
    <n v="2024"/>
    <s v="May"/>
  </r>
  <r>
    <s v="DINS-CLM-101798"/>
    <s v="DINS-CUS-501798"/>
    <s v="DINS-POL-201798"/>
    <x v="3"/>
    <x v="0"/>
    <x v="0"/>
    <x v="1"/>
    <x v="7"/>
    <d v="2024-09-23T00:00:00"/>
    <s v="Annual"/>
    <d v="2024-11-18T00:00:00"/>
    <x v="2"/>
    <n v="18627"/>
    <n v="8739"/>
    <s v="N/A - Not Settled"/>
    <s v="N/A - Not Settled"/>
    <x v="0"/>
    <x v="0"/>
    <x v="2"/>
    <n v="2.1315"/>
    <n v="56"/>
    <n v="2024"/>
    <s v="November"/>
  </r>
  <r>
    <s v="DINS-CLM-101799"/>
    <s v="DINS-CUS-501799"/>
    <s v="DINS-POL-201799"/>
    <x v="3"/>
    <x v="0"/>
    <x v="4"/>
    <x v="0"/>
    <x v="0"/>
    <d v="2024-07-28T00:00:00"/>
    <s v="Monthly"/>
    <d v="2024-10-08T00:00:00"/>
    <x v="1"/>
    <n v="64537"/>
    <n v="536"/>
    <n v="11"/>
    <d v="2024-10-19T00:00:00"/>
    <x v="0"/>
    <x v="0"/>
    <x v="0"/>
    <n v="120.4049"/>
    <n v="72"/>
    <n v="2024"/>
    <s v="October"/>
  </r>
  <r>
    <s v="DINS-CLM-101800"/>
    <s v="DINS-CUS-501800"/>
    <s v="DINS-POL-201800"/>
    <x v="5"/>
    <x v="2"/>
    <x v="1"/>
    <x v="0"/>
    <x v="7"/>
    <d v="2023-08-30T00:00:00"/>
    <s v="Annual"/>
    <d v="2024-08-28T00:00:00"/>
    <x v="1"/>
    <n v="72615"/>
    <n v="4519"/>
    <n v="38"/>
    <d v="2024-10-05T00:00:00"/>
    <x v="1"/>
    <x v="0"/>
    <x v="0"/>
    <n v="16.0688"/>
    <n v="364"/>
    <n v="2024"/>
    <s v="August"/>
  </r>
  <r>
    <s v="DINS-CLM-101801"/>
    <s v="DINS-CUS-501801"/>
    <s v="DINS-POL-201801"/>
    <x v="2"/>
    <x v="2"/>
    <x v="4"/>
    <x v="2"/>
    <x v="7"/>
    <d v="2024-01-09T00:00:00"/>
    <s v="Annual"/>
    <d v="2024-04-16T00:00:00"/>
    <x v="1"/>
    <n v="6907"/>
    <n v="6531"/>
    <n v="5"/>
    <d v="2024-04-21T00:00:00"/>
    <x v="0"/>
    <x v="0"/>
    <x v="0"/>
    <n v="1.0576000000000001"/>
    <n v="98"/>
    <n v="2024"/>
    <s v="April"/>
  </r>
  <r>
    <s v="DINS-CLM-101802"/>
    <s v="DINS-CUS-501802"/>
    <s v="DINS-POL-201802"/>
    <x v="1"/>
    <x v="1"/>
    <x v="3"/>
    <x v="1"/>
    <x v="5"/>
    <d v="2024-03-29T00:00:00"/>
    <s v="Monthly"/>
    <d v="2024-11-03T00:00:00"/>
    <x v="0"/>
    <n v="69792"/>
    <n v="2768"/>
    <s v="N/A - Not Settled"/>
    <s v="N/A - Not Settled"/>
    <x v="0"/>
    <x v="0"/>
    <x v="0"/>
    <n v="25.213899999999999"/>
    <n v="219"/>
    <n v="2024"/>
    <s v="November"/>
  </r>
  <r>
    <s v="DINS-CLM-101803"/>
    <s v="DINS-CUS-501803"/>
    <s v="DINS-POL-201803"/>
    <x v="2"/>
    <x v="1"/>
    <x v="5"/>
    <x v="2"/>
    <x v="5"/>
    <d v="2024-01-25T00:00:00"/>
    <s v="Monthly"/>
    <d v="2024-06-29T00:00:00"/>
    <x v="2"/>
    <n v="25195"/>
    <n v="2061"/>
    <s v="N/A - Not Settled"/>
    <s v="N/A - Not Settled"/>
    <x v="0"/>
    <x v="0"/>
    <x v="0"/>
    <n v="12.224600000000001"/>
    <n v="156"/>
    <n v="2024"/>
    <s v="June"/>
  </r>
  <r>
    <s v="DINS-CLM-101804"/>
    <s v="DINS-CUS-501804"/>
    <s v="DINS-POL-201804"/>
    <x v="3"/>
    <x v="0"/>
    <x v="1"/>
    <x v="0"/>
    <x v="1"/>
    <d v="2023-07-30T00:00:00"/>
    <s v="Annual"/>
    <d v="2024-01-01T00:00:00"/>
    <x v="1"/>
    <n v="34474"/>
    <n v="5067"/>
    <n v="28"/>
    <d v="2024-01-29T00:00:00"/>
    <x v="1"/>
    <x v="1"/>
    <x v="0"/>
    <n v="6.8036000000000003"/>
    <n v="155"/>
    <n v="2024"/>
    <s v="January"/>
  </r>
  <r>
    <s v="DINS-CLM-101805"/>
    <s v="DINS-CUS-501805"/>
    <s v="DINS-POL-201805"/>
    <x v="0"/>
    <x v="1"/>
    <x v="5"/>
    <x v="1"/>
    <x v="3"/>
    <d v="2024-06-12T00:00:00"/>
    <s v="Monthly"/>
    <d v="2024-12-23T00:00:00"/>
    <x v="0"/>
    <n v="42620"/>
    <n v="6625"/>
    <s v="N/A - Not Settled"/>
    <s v="N/A - Not Settled"/>
    <x v="0"/>
    <x v="0"/>
    <x v="1"/>
    <n v="6.4332000000000003"/>
    <n v="194"/>
    <n v="2024"/>
    <s v="December"/>
  </r>
  <r>
    <s v="DINS-CLM-101806"/>
    <s v="DINS-CUS-501806"/>
    <s v="DINS-POL-201806"/>
    <x v="3"/>
    <x v="2"/>
    <x v="0"/>
    <x v="1"/>
    <x v="1"/>
    <d v="2024-01-02T00:00:00"/>
    <s v="Annual"/>
    <d v="2024-10-03T00:00:00"/>
    <x v="1"/>
    <n v="74992"/>
    <n v="7125"/>
    <n v="9"/>
    <d v="2024-10-12T00:00:00"/>
    <x v="0"/>
    <x v="0"/>
    <x v="1"/>
    <n v="10.5252"/>
    <n v="275"/>
    <n v="2024"/>
    <s v="October"/>
  </r>
  <r>
    <s v="DINS-CLM-101807"/>
    <s v="DINS-CUS-501807"/>
    <s v="DINS-POL-201807"/>
    <x v="5"/>
    <x v="0"/>
    <x v="2"/>
    <x v="2"/>
    <x v="0"/>
    <d v="2024-01-19T00:00:00"/>
    <s v="Annual"/>
    <d v="2024-07-22T00:00:00"/>
    <x v="1"/>
    <n v="51886"/>
    <n v="5986"/>
    <n v="31"/>
    <d v="2024-08-22T00:00:00"/>
    <x v="1"/>
    <x v="0"/>
    <x v="0"/>
    <n v="8.6678999999999995"/>
    <n v="185"/>
    <n v="2024"/>
    <s v="July"/>
  </r>
  <r>
    <s v="DINS-CLM-101808"/>
    <s v="DINS-CUS-501808"/>
    <s v="DINS-POL-201808"/>
    <x v="3"/>
    <x v="2"/>
    <x v="2"/>
    <x v="1"/>
    <x v="4"/>
    <d v="2024-01-15T00:00:00"/>
    <s v="Annual"/>
    <d v="2024-02-23T00:00:00"/>
    <x v="0"/>
    <n v="51642"/>
    <n v="3343"/>
    <s v="N/A - Not Settled"/>
    <s v="N/A - Not Settled"/>
    <x v="0"/>
    <x v="0"/>
    <x v="0"/>
    <n v="15.447800000000001"/>
    <n v="39"/>
    <n v="2024"/>
    <s v="February"/>
  </r>
  <r>
    <s v="DINS-CLM-101809"/>
    <s v="DINS-CUS-501809"/>
    <s v="DINS-POL-201809"/>
    <x v="0"/>
    <x v="1"/>
    <x v="3"/>
    <x v="0"/>
    <x v="7"/>
    <d v="2023-05-02T00:00:00"/>
    <s v="Monthly"/>
    <d v="2024-04-14T00:00:00"/>
    <x v="0"/>
    <n v="26977"/>
    <n v="3465"/>
    <s v="N/A - Not Settled"/>
    <s v="N/A - Not Settled"/>
    <x v="0"/>
    <x v="0"/>
    <x v="0"/>
    <n v="7.7855999999999996"/>
    <n v="348"/>
    <n v="2024"/>
    <s v="April"/>
  </r>
  <r>
    <s v="DINS-CLM-101810"/>
    <s v="DINS-CUS-501810"/>
    <s v="DINS-POL-201810"/>
    <x v="1"/>
    <x v="0"/>
    <x v="5"/>
    <x v="2"/>
    <x v="6"/>
    <d v="2024-04-11T00:00:00"/>
    <s v="Annual"/>
    <d v="2024-11-25T00:00:00"/>
    <x v="0"/>
    <n v="56869"/>
    <n v="5209"/>
    <s v="N/A - Not Settled"/>
    <s v="N/A - Not Settled"/>
    <x v="0"/>
    <x v="0"/>
    <x v="1"/>
    <n v="10.9175"/>
    <n v="228"/>
    <n v="2024"/>
    <s v="November"/>
  </r>
  <r>
    <s v="DINS-CLM-101811"/>
    <s v="DINS-CUS-501811"/>
    <s v="DINS-POL-201811"/>
    <x v="5"/>
    <x v="1"/>
    <x v="2"/>
    <x v="1"/>
    <x v="3"/>
    <d v="2023-11-07T00:00:00"/>
    <s v="Monthly"/>
    <d v="2024-06-05T00:00:00"/>
    <x v="1"/>
    <n v="23957"/>
    <n v="8162"/>
    <n v="18"/>
    <d v="2024-06-23T00:00:00"/>
    <x v="0"/>
    <x v="0"/>
    <x v="1"/>
    <n v="2.9352"/>
    <n v="211"/>
    <n v="2024"/>
    <s v="June"/>
  </r>
  <r>
    <s v="DINS-CLM-101812"/>
    <s v="DINS-CUS-501812"/>
    <s v="DINS-POL-201812"/>
    <x v="2"/>
    <x v="0"/>
    <x v="4"/>
    <x v="1"/>
    <x v="2"/>
    <d v="2024-03-26T00:00:00"/>
    <s v="Monthly"/>
    <d v="2024-08-29T00:00:00"/>
    <x v="2"/>
    <n v="3078"/>
    <n v="7972"/>
    <s v="N/A - Not Settled"/>
    <s v="N/A - Not Settled"/>
    <x v="0"/>
    <x v="0"/>
    <x v="0"/>
    <n v="0.3861"/>
    <n v="156"/>
    <n v="2024"/>
    <s v="August"/>
  </r>
  <r>
    <s v="DINS-CLM-101813"/>
    <s v="DINS-CUS-501813"/>
    <s v="DINS-POL-201813"/>
    <x v="2"/>
    <x v="1"/>
    <x v="4"/>
    <x v="2"/>
    <x v="7"/>
    <d v="2024-01-01T00:00:00"/>
    <s v="Annual"/>
    <d v="2024-04-12T00:00:00"/>
    <x v="1"/>
    <n v="24169"/>
    <n v="5648"/>
    <n v="37"/>
    <d v="2024-05-19T00:00:00"/>
    <x v="0"/>
    <x v="0"/>
    <x v="0"/>
    <n v="4.2792000000000003"/>
    <n v="102"/>
    <n v="2024"/>
    <s v="April"/>
  </r>
  <r>
    <s v="DINS-CLM-101814"/>
    <s v="DINS-CUS-501814"/>
    <s v="DINS-POL-201814"/>
    <x v="4"/>
    <x v="1"/>
    <x v="0"/>
    <x v="2"/>
    <x v="7"/>
    <d v="2024-07-17T00:00:00"/>
    <s v="Annual"/>
    <d v="2024-12-14T00:00:00"/>
    <x v="1"/>
    <n v="18923"/>
    <n v="6099"/>
    <n v="42"/>
    <d v="2025-01-25T00:00:00"/>
    <x v="1"/>
    <x v="1"/>
    <x v="2"/>
    <n v="3.1025999999999998"/>
    <n v="150"/>
    <n v="2024"/>
    <s v="December"/>
  </r>
  <r>
    <s v="DINS-CLM-101815"/>
    <s v="DINS-CUS-501815"/>
    <s v="DINS-POL-201815"/>
    <x v="3"/>
    <x v="2"/>
    <x v="2"/>
    <x v="1"/>
    <x v="6"/>
    <d v="2024-02-01T00:00:00"/>
    <s v="Annual"/>
    <d v="2024-03-14T00:00:00"/>
    <x v="1"/>
    <n v="16223"/>
    <n v="6061"/>
    <n v="10"/>
    <d v="2024-03-24T00:00:00"/>
    <x v="1"/>
    <x v="1"/>
    <x v="1"/>
    <n v="2.6766000000000001"/>
    <n v="42"/>
    <n v="2024"/>
    <s v="March"/>
  </r>
  <r>
    <s v="DINS-CLM-101816"/>
    <s v="DINS-CUS-501816"/>
    <s v="DINS-POL-201816"/>
    <x v="5"/>
    <x v="1"/>
    <x v="3"/>
    <x v="2"/>
    <x v="0"/>
    <d v="2023-12-28T00:00:00"/>
    <s v="Annual"/>
    <d v="2024-10-10T00:00:00"/>
    <x v="1"/>
    <n v="47885"/>
    <n v="5490"/>
    <n v="45"/>
    <d v="2024-11-24T00:00:00"/>
    <x v="0"/>
    <x v="0"/>
    <x v="0"/>
    <n v="8.7222000000000008"/>
    <n v="287"/>
    <n v="2024"/>
    <s v="October"/>
  </r>
  <r>
    <s v="DINS-CLM-101817"/>
    <s v="DINS-CUS-501817"/>
    <s v="DINS-POL-201817"/>
    <x v="0"/>
    <x v="1"/>
    <x v="1"/>
    <x v="1"/>
    <x v="1"/>
    <d v="2024-05-11T00:00:00"/>
    <s v="Annual"/>
    <d v="2024-11-27T00:00:00"/>
    <x v="1"/>
    <n v="14968"/>
    <n v="8775"/>
    <n v="14"/>
    <d v="2024-12-11T00:00:00"/>
    <x v="0"/>
    <x v="0"/>
    <x v="1"/>
    <n v="1.7058"/>
    <n v="200"/>
    <n v="2024"/>
    <s v="November"/>
  </r>
  <r>
    <s v="DINS-CLM-101818"/>
    <s v="DINS-CUS-501818"/>
    <s v="DINS-POL-201818"/>
    <x v="5"/>
    <x v="0"/>
    <x v="0"/>
    <x v="2"/>
    <x v="6"/>
    <d v="2023-10-20T00:00:00"/>
    <s v="Annual"/>
    <d v="2024-07-09T00:00:00"/>
    <x v="1"/>
    <n v="22801"/>
    <n v="5070"/>
    <n v="44"/>
    <d v="2024-08-22T00:00:00"/>
    <x v="0"/>
    <x v="0"/>
    <x v="2"/>
    <n v="4.4972000000000003"/>
    <n v="263"/>
    <n v="2024"/>
    <s v="July"/>
  </r>
  <r>
    <s v="DINS-CLM-101819"/>
    <s v="DINS-CUS-501819"/>
    <s v="DINS-POL-201819"/>
    <x v="2"/>
    <x v="1"/>
    <x v="0"/>
    <x v="2"/>
    <x v="7"/>
    <d v="2024-07-16T00:00:00"/>
    <s v="Monthly"/>
    <d v="2024-10-26T00:00:00"/>
    <x v="1"/>
    <n v="12327"/>
    <n v="4063"/>
    <n v="30"/>
    <d v="2024-11-25T00:00:00"/>
    <x v="0"/>
    <x v="0"/>
    <x v="0"/>
    <n v="3.0339999999999998"/>
    <n v="102"/>
    <n v="2024"/>
    <s v="October"/>
  </r>
  <r>
    <s v="DINS-CLM-101820"/>
    <s v="DINS-CUS-501820"/>
    <s v="DINS-POL-201820"/>
    <x v="4"/>
    <x v="1"/>
    <x v="5"/>
    <x v="1"/>
    <x v="4"/>
    <d v="2023-07-31T00:00:00"/>
    <s v="Annual"/>
    <d v="2024-02-20T00:00:00"/>
    <x v="1"/>
    <n v="8172"/>
    <n v="2866"/>
    <n v="39"/>
    <d v="2024-03-30T00:00:00"/>
    <x v="0"/>
    <x v="0"/>
    <x v="1"/>
    <n v="2.8513999999999999"/>
    <n v="204"/>
    <n v="2024"/>
    <s v="February"/>
  </r>
  <r>
    <s v="DINS-CLM-101821"/>
    <s v="DINS-CUS-501821"/>
    <s v="DINS-POL-201821"/>
    <x v="0"/>
    <x v="2"/>
    <x v="1"/>
    <x v="1"/>
    <x v="7"/>
    <d v="2024-08-12T00:00:00"/>
    <s v="Annual"/>
    <d v="2024-11-13T00:00:00"/>
    <x v="1"/>
    <n v="38460"/>
    <n v="3156"/>
    <n v="39"/>
    <d v="2024-12-22T00:00:00"/>
    <x v="0"/>
    <x v="0"/>
    <x v="0"/>
    <n v="12.186299999999999"/>
    <n v="93"/>
    <n v="2024"/>
    <s v="November"/>
  </r>
  <r>
    <s v="DINS-CLM-101822"/>
    <s v="DINS-CUS-501822"/>
    <s v="DINS-POL-201822"/>
    <x v="2"/>
    <x v="1"/>
    <x v="3"/>
    <x v="0"/>
    <x v="0"/>
    <d v="2023-07-31T00:00:00"/>
    <s v="Annual"/>
    <d v="2024-02-18T00:00:00"/>
    <x v="2"/>
    <n v="4628"/>
    <n v="7375"/>
    <s v="N/A - Not Settled"/>
    <s v="N/A - Not Settled"/>
    <x v="1"/>
    <x v="0"/>
    <x v="0"/>
    <n v="0.62749999999999995"/>
    <n v="202"/>
    <n v="2024"/>
    <s v="February"/>
  </r>
  <r>
    <s v="DINS-CLM-101823"/>
    <s v="DINS-CUS-501823"/>
    <s v="DINS-POL-201823"/>
    <x v="0"/>
    <x v="2"/>
    <x v="0"/>
    <x v="1"/>
    <x v="6"/>
    <d v="2023-03-14T00:00:00"/>
    <s v="Monthly"/>
    <d v="2024-02-26T00:00:00"/>
    <x v="1"/>
    <n v="42169"/>
    <n v="3082"/>
    <n v="43"/>
    <d v="2024-04-09T00:00:00"/>
    <x v="0"/>
    <x v="0"/>
    <x v="2"/>
    <n v="13.6823"/>
    <n v="349"/>
    <n v="2024"/>
    <s v="February"/>
  </r>
  <r>
    <s v="DINS-CLM-101824"/>
    <s v="DINS-CUS-501824"/>
    <s v="DINS-POL-201824"/>
    <x v="0"/>
    <x v="0"/>
    <x v="5"/>
    <x v="0"/>
    <x v="3"/>
    <d v="2023-10-13T00:00:00"/>
    <s v="Monthly"/>
    <d v="2024-01-31T00:00:00"/>
    <x v="2"/>
    <n v="57641"/>
    <n v="6392"/>
    <s v="N/A - Not Settled"/>
    <s v="N/A - Not Settled"/>
    <x v="0"/>
    <x v="0"/>
    <x v="1"/>
    <n v="9.0176999999999996"/>
    <n v="110"/>
    <n v="2024"/>
    <s v="January"/>
  </r>
  <r>
    <s v="DINS-CLM-101825"/>
    <s v="DINS-CUS-501825"/>
    <s v="DINS-POL-201825"/>
    <x v="2"/>
    <x v="2"/>
    <x v="3"/>
    <x v="1"/>
    <x v="0"/>
    <d v="2023-05-24T00:00:00"/>
    <s v="Annual"/>
    <d v="2024-03-19T00:00:00"/>
    <x v="1"/>
    <n v="36490"/>
    <n v="6635"/>
    <n v="14"/>
    <d v="2024-04-02T00:00:00"/>
    <x v="1"/>
    <x v="1"/>
    <x v="2"/>
    <n v="5.4996"/>
    <n v="300"/>
    <n v="2024"/>
    <s v="March"/>
  </r>
  <r>
    <s v="DINS-CLM-101826"/>
    <s v="DINS-CUS-501826"/>
    <s v="DINS-POL-201826"/>
    <x v="0"/>
    <x v="0"/>
    <x v="4"/>
    <x v="0"/>
    <x v="1"/>
    <d v="2023-12-02T00:00:00"/>
    <s v="Annual"/>
    <d v="2024-06-17T00:00:00"/>
    <x v="1"/>
    <n v="12123"/>
    <n v="2568"/>
    <n v="40"/>
    <d v="2024-07-27T00:00:00"/>
    <x v="0"/>
    <x v="0"/>
    <x v="2"/>
    <n v="4.7207999999999997"/>
    <n v="198"/>
    <n v="2024"/>
    <s v="June"/>
  </r>
  <r>
    <s v="DINS-CLM-101827"/>
    <s v="DINS-CUS-501827"/>
    <s v="DINS-POL-201827"/>
    <x v="4"/>
    <x v="1"/>
    <x v="5"/>
    <x v="1"/>
    <x v="7"/>
    <d v="2023-12-12T00:00:00"/>
    <s v="Annual"/>
    <d v="2024-05-26T00:00:00"/>
    <x v="1"/>
    <n v="2417"/>
    <n v="3474"/>
    <n v="22"/>
    <d v="2024-06-17T00:00:00"/>
    <x v="0"/>
    <x v="0"/>
    <x v="0"/>
    <n v="0.69569999999999999"/>
    <n v="166"/>
    <n v="2024"/>
    <s v="May"/>
  </r>
  <r>
    <s v="DINS-CLM-101828"/>
    <s v="DINS-CUS-501828"/>
    <s v="DINS-POL-201828"/>
    <x v="4"/>
    <x v="2"/>
    <x v="3"/>
    <x v="0"/>
    <x v="6"/>
    <d v="2024-05-03T00:00:00"/>
    <s v="Monthly"/>
    <d v="2024-09-19T00:00:00"/>
    <x v="1"/>
    <n v="16052"/>
    <n v="6478"/>
    <n v="43"/>
    <d v="2024-11-01T00:00:00"/>
    <x v="0"/>
    <x v="0"/>
    <x v="2"/>
    <n v="2.4779"/>
    <n v="139"/>
    <n v="2024"/>
    <s v="September"/>
  </r>
  <r>
    <s v="DINS-CLM-101829"/>
    <s v="DINS-CUS-501829"/>
    <s v="DINS-POL-201829"/>
    <x v="0"/>
    <x v="2"/>
    <x v="5"/>
    <x v="2"/>
    <x v="4"/>
    <d v="2024-07-21T00:00:00"/>
    <s v="Annual"/>
    <d v="2024-09-10T00:00:00"/>
    <x v="1"/>
    <n v="18959"/>
    <n v="3523"/>
    <n v="2"/>
    <d v="2024-09-12T00:00:00"/>
    <x v="0"/>
    <x v="0"/>
    <x v="1"/>
    <n v="5.3815"/>
    <n v="51"/>
    <n v="2024"/>
    <s v="September"/>
  </r>
  <r>
    <s v="DINS-CLM-101830"/>
    <s v="DINS-CUS-501830"/>
    <s v="DINS-POL-201830"/>
    <x v="3"/>
    <x v="2"/>
    <x v="2"/>
    <x v="2"/>
    <x v="4"/>
    <d v="2023-09-16T00:00:00"/>
    <s v="Annual"/>
    <d v="2024-01-24T00:00:00"/>
    <x v="1"/>
    <n v="47372"/>
    <n v="1300"/>
    <n v="27"/>
    <d v="2024-02-20T00:00:00"/>
    <x v="0"/>
    <x v="0"/>
    <x v="2"/>
    <n v="36.44"/>
    <n v="130"/>
    <n v="2024"/>
    <s v="January"/>
  </r>
  <r>
    <s v="DINS-CLM-101831"/>
    <s v="DINS-CUS-501831"/>
    <s v="DINS-POL-201831"/>
    <x v="5"/>
    <x v="0"/>
    <x v="3"/>
    <x v="1"/>
    <x v="7"/>
    <d v="2023-08-25T00:00:00"/>
    <s v="Annual"/>
    <d v="2024-06-29T00:00:00"/>
    <x v="2"/>
    <n v="24674"/>
    <n v="8187"/>
    <s v="N/A - Not Settled"/>
    <s v="N/A - Not Settled"/>
    <x v="0"/>
    <x v="0"/>
    <x v="1"/>
    <n v="3.0137999999999998"/>
    <n v="309"/>
    <n v="2024"/>
    <s v="June"/>
  </r>
  <r>
    <s v="DINS-CLM-101832"/>
    <s v="DINS-CUS-501832"/>
    <s v="DINS-POL-201832"/>
    <x v="0"/>
    <x v="2"/>
    <x v="4"/>
    <x v="2"/>
    <x v="3"/>
    <d v="2023-07-15T00:00:00"/>
    <s v="Monthly"/>
    <d v="2024-01-13T00:00:00"/>
    <x v="1"/>
    <n v="56268"/>
    <n v="2123"/>
    <n v="35"/>
    <d v="2024-02-17T00:00:00"/>
    <x v="0"/>
    <x v="0"/>
    <x v="2"/>
    <n v="26.504000000000001"/>
    <n v="182"/>
    <n v="2024"/>
    <s v="January"/>
  </r>
  <r>
    <s v="DINS-CLM-101833"/>
    <s v="DINS-CUS-501833"/>
    <s v="DINS-POL-201833"/>
    <x v="0"/>
    <x v="0"/>
    <x v="1"/>
    <x v="2"/>
    <x v="4"/>
    <d v="2024-02-20T00:00:00"/>
    <s v="Monthly"/>
    <d v="2024-04-12T00:00:00"/>
    <x v="1"/>
    <n v="53435"/>
    <n v="4396"/>
    <n v="22"/>
    <d v="2024-05-04T00:00:00"/>
    <x v="1"/>
    <x v="0"/>
    <x v="2"/>
    <n v="12.1554"/>
    <n v="52"/>
    <n v="2024"/>
    <s v="April"/>
  </r>
  <r>
    <s v="DINS-CLM-101834"/>
    <s v="DINS-CUS-501834"/>
    <s v="DINS-POL-201834"/>
    <x v="2"/>
    <x v="2"/>
    <x v="4"/>
    <x v="1"/>
    <x v="6"/>
    <d v="2024-07-19T00:00:00"/>
    <s v="Annual"/>
    <d v="2024-10-23T00:00:00"/>
    <x v="1"/>
    <n v="5220"/>
    <n v="3957"/>
    <n v="5"/>
    <d v="2024-10-28T00:00:00"/>
    <x v="1"/>
    <x v="0"/>
    <x v="0"/>
    <n v="1.3191999999999999"/>
    <n v="96"/>
    <n v="2024"/>
    <s v="October"/>
  </r>
  <r>
    <s v="DINS-CLM-101835"/>
    <s v="DINS-CUS-501835"/>
    <s v="DINS-POL-201835"/>
    <x v="4"/>
    <x v="1"/>
    <x v="4"/>
    <x v="1"/>
    <x v="0"/>
    <d v="2024-03-13T00:00:00"/>
    <s v="Monthly"/>
    <d v="2024-11-25T00:00:00"/>
    <x v="1"/>
    <n v="10241"/>
    <n v="7750"/>
    <n v="34"/>
    <d v="2024-12-29T00:00:00"/>
    <x v="1"/>
    <x v="1"/>
    <x v="1"/>
    <n v="1.3213999999999999"/>
    <n v="257"/>
    <n v="2024"/>
    <s v="November"/>
  </r>
  <r>
    <s v="DINS-CLM-101836"/>
    <s v="DINS-CUS-501836"/>
    <s v="DINS-POL-201836"/>
    <x v="1"/>
    <x v="2"/>
    <x v="5"/>
    <x v="1"/>
    <x v="2"/>
    <d v="2024-07-18T00:00:00"/>
    <s v="Annual"/>
    <d v="2024-09-19T00:00:00"/>
    <x v="0"/>
    <n v="66549"/>
    <n v="8396"/>
    <s v="N/A - Not Settled"/>
    <s v="N/A - Not Settled"/>
    <x v="0"/>
    <x v="0"/>
    <x v="2"/>
    <n v="7.9263000000000003"/>
    <n v="63"/>
    <n v="2024"/>
    <s v="September"/>
  </r>
  <r>
    <s v="DINS-CLM-101837"/>
    <s v="DINS-CUS-501837"/>
    <s v="DINS-POL-201837"/>
    <x v="3"/>
    <x v="2"/>
    <x v="1"/>
    <x v="1"/>
    <x v="0"/>
    <d v="2024-01-31T00:00:00"/>
    <s v="Monthly"/>
    <d v="2024-12-25T00:00:00"/>
    <x v="0"/>
    <n v="75609"/>
    <n v="1679"/>
    <s v="N/A - Not Settled"/>
    <s v="N/A - Not Settled"/>
    <x v="1"/>
    <x v="0"/>
    <x v="0"/>
    <n v="45.032200000000003"/>
    <n v="329"/>
    <n v="2024"/>
    <s v="December"/>
  </r>
  <r>
    <s v="DINS-CLM-101838"/>
    <s v="DINS-CUS-501838"/>
    <s v="DINS-POL-201838"/>
    <x v="0"/>
    <x v="1"/>
    <x v="5"/>
    <x v="2"/>
    <x v="1"/>
    <d v="2024-03-01T00:00:00"/>
    <s v="Annual"/>
    <d v="2024-11-22T00:00:00"/>
    <x v="0"/>
    <n v="3515"/>
    <n v="507"/>
    <s v="N/A - Not Settled"/>
    <s v="N/A - Not Settled"/>
    <x v="0"/>
    <x v="0"/>
    <x v="0"/>
    <n v="6.9329000000000001"/>
    <n v="266"/>
    <n v="2024"/>
    <s v="November"/>
  </r>
  <r>
    <s v="DINS-CLM-101839"/>
    <s v="DINS-CUS-501839"/>
    <s v="DINS-POL-201839"/>
    <x v="2"/>
    <x v="0"/>
    <x v="4"/>
    <x v="0"/>
    <x v="0"/>
    <d v="2024-10-07T00:00:00"/>
    <s v="Monthly"/>
    <d v="2024-12-08T00:00:00"/>
    <x v="1"/>
    <n v="3569"/>
    <n v="6401"/>
    <n v="43"/>
    <d v="2025-01-20T00:00:00"/>
    <x v="0"/>
    <x v="0"/>
    <x v="1"/>
    <n v="0.55759999999999998"/>
    <n v="62"/>
    <n v="2024"/>
    <s v="December"/>
  </r>
  <r>
    <s v="DINS-CLM-101840"/>
    <s v="DINS-CUS-501840"/>
    <s v="DINS-POL-201840"/>
    <x v="2"/>
    <x v="0"/>
    <x v="0"/>
    <x v="1"/>
    <x v="5"/>
    <d v="2024-05-17T00:00:00"/>
    <s v="Monthly"/>
    <d v="2024-10-24T00:00:00"/>
    <x v="1"/>
    <n v="20276"/>
    <n v="7411"/>
    <n v="8"/>
    <d v="2024-11-01T00:00:00"/>
    <x v="1"/>
    <x v="1"/>
    <x v="2"/>
    <n v="2.7359"/>
    <n v="160"/>
    <n v="2024"/>
    <s v="October"/>
  </r>
  <r>
    <s v="DINS-CLM-101841"/>
    <s v="DINS-CUS-501841"/>
    <s v="DINS-POL-201841"/>
    <x v="5"/>
    <x v="2"/>
    <x v="2"/>
    <x v="2"/>
    <x v="4"/>
    <d v="2024-01-12T00:00:00"/>
    <s v="Monthly"/>
    <d v="2024-06-22T00:00:00"/>
    <x v="1"/>
    <n v="71437"/>
    <n v="948"/>
    <n v="41"/>
    <d v="2024-08-02T00:00:00"/>
    <x v="1"/>
    <x v="0"/>
    <x v="1"/>
    <n v="75.355500000000006"/>
    <n v="162"/>
    <n v="2024"/>
    <s v="June"/>
  </r>
  <r>
    <s v="DINS-CLM-101842"/>
    <s v="DINS-CUS-501842"/>
    <s v="DINS-POL-201842"/>
    <x v="0"/>
    <x v="0"/>
    <x v="1"/>
    <x v="0"/>
    <x v="4"/>
    <d v="2023-08-04T00:00:00"/>
    <s v="Monthly"/>
    <d v="2024-06-14T00:00:00"/>
    <x v="2"/>
    <n v="57585"/>
    <n v="4592"/>
    <s v="N/A - Not Settled"/>
    <s v="N/A - Not Settled"/>
    <x v="0"/>
    <x v="0"/>
    <x v="0"/>
    <n v="12.5403"/>
    <n v="315"/>
    <n v="2024"/>
    <s v="June"/>
  </r>
  <r>
    <s v="DINS-CLM-101843"/>
    <s v="DINS-CUS-501843"/>
    <s v="DINS-POL-201843"/>
    <x v="2"/>
    <x v="1"/>
    <x v="3"/>
    <x v="1"/>
    <x v="2"/>
    <d v="2024-05-18T00:00:00"/>
    <s v="Monthly"/>
    <d v="2024-06-23T00:00:00"/>
    <x v="2"/>
    <n v="20116"/>
    <n v="8536"/>
    <s v="N/A - Not Settled"/>
    <s v="N/A - Not Settled"/>
    <x v="0"/>
    <x v="0"/>
    <x v="2"/>
    <n v="2.3565999999999998"/>
    <n v="36"/>
    <n v="2024"/>
    <s v="June"/>
  </r>
  <r>
    <s v="DINS-CLM-101844"/>
    <s v="DINS-CUS-501844"/>
    <s v="DINS-POL-201844"/>
    <x v="0"/>
    <x v="1"/>
    <x v="5"/>
    <x v="2"/>
    <x v="5"/>
    <d v="2024-06-28T00:00:00"/>
    <s v="Monthly"/>
    <d v="2024-08-18T00:00:00"/>
    <x v="0"/>
    <n v="56219"/>
    <n v="2234"/>
    <s v="N/A - Not Settled"/>
    <s v="N/A - Not Settled"/>
    <x v="0"/>
    <x v="0"/>
    <x v="0"/>
    <n v="25.165199999999999"/>
    <n v="51"/>
    <n v="2024"/>
    <s v="August"/>
  </r>
  <r>
    <s v="DINS-CLM-101845"/>
    <s v="DINS-CUS-501845"/>
    <s v="DINS-POL-201845"/>
    <x v="2"/>
    <x v="1"/>
    <x v="4"/>
    <x v="2"/>
    <x v="0"/>
    <d v="2024-09-20T00:00:00"/>
    <s v="Monthly"/>
    <d v="2024-11-05T00:00:00"/>
    <x v="0"/>
    <n v="24305"/>
    <n v="7141"/>
    <s v="N/A - Not Settled"/>
    <s v="N/A - Not Settled"/>
    <x v="0"/>
    <x v="0"/>
    <x v="1"/>
    <n v="3.4036"/>
    <n v="46"/>
    <n v="2024"/>
    <s v="November"/>
  </r>
  <r>
    <s v="DINS-CLM-101846"/>
    <s v="DINS-CUS-501846"/>
    <s v="DINS-POL-201846"/>
    <x v="0"/>
    <x v="0"/>
    <x v="2"/>
    <x v="2"/>
    <x v="6"/>
    <d v="2024-03-27T00:00:00"/>
    <s v="Annual"/>
    <d v="2024-12-30T00:00:00"/>
    <x v="2"/>
    <n v="3868"/>
    <n v="4562"/>
    <s v="N/A - Not Settled"/>
    <s v="N/A - Not Settled"/>
    <x v="1"/>
    <x v="0"/>
    <x v="1"/>
    <n v="0.84789999999999999"/>
    <n v="278"/>
    <n v="2024"/>
    <s v="December"/>
  </r>
  <r>
    <s v="DINS-CLM-101847"/>
    <s v="DINS-CUS-501847"/>
    <s v="DINS-POL-201847"/>
    <x v="0"/>
    <x v="1"/>
    <x v="0"/>
    <x v="0"/>
    <x v="1"/>
    <d v="2023-10-03T00:00:00"/>
    <s v="Monthly"/>
    <d v="2024-09-24T00:00:00"/>
    <x v="1"/>
    <n v="13252"/>
    <n v="1792"/>
    <n v="7"/>
    <d v="2024-10-01T00:00:00"/>
    <x v="0"/>
    <x v="0"/>
    <x v="1"/>
    <n v="7.3951000000000002"/>
    <n v="357"/>
    <n v="2024"/>
    <s v="September"/>
  </r>
  <r>
    <s v="DINS-CLM-101848"/>
    <s v="DINS-CUS-501848"/>
    <s v="DINS-POL-201848"/>
    <x v="2"/>
    <x v="0"/>
    <x v="1"/>
    <x v="0"/>
    <x v="7"/>
    <d v="2024-07-16T00:00:00"/>
    <s v="Annual"/>
    <d v="2024-09-14T00:00:00"/>
    <x v="1"/>
    <n v="34325"/>
    <n v="8802"/>
    <n v="9"/>
    <d v="2024-09-23T00:00:00"/>
    <x v="0"/>
    <x v="0"/>
    <x v="1"/>
    <n v="3.8997000000000002"/>
    <n v="60"/>
    <n v="2024"/>
    <s v="September"/>
  </r>
  <r>
    <s v="DINS-CLM-101849"/>
    <s v="DINS-CUS-501849"/>
    <s v="DINS-POL-201849"/>
    <x v="2"/>
    <x v="0"/>
    <x v="3"/>
    <x v="1"/>
    <x v="5"/>
    <d v="2024-10-19T00:00:00"/>
    <s v="Annual"/>
    <d v="2024-11-23T00:00:00"/>
    <x v="1"/>
    <n v="22510"/>
    <n v="1094"/>
    <n v="7"/>
    <d v="2024-11-30T00:00:00"/>
    <x v="0"/>
    <x v="0"/>
    <x v="1"/>
    <n v="20.575900000000001"/>
    <n v="35"/>
    <n v="2024"/>
    <s v="November"/>
  </r>
  <r>
    <s v="DINS-CLM-101850"/>
    <s v="DINS-CUS-501850"/>
    <s v="DINS-POL-201850"/>
    <x v="3"/>
    <x v="0"/>
    <x v="5"/>
    <x v="0"/>
    <x v="7"/>
    <d v="2023-09-26T00:00:00"/>
    <s v="Annual"/>
    <d v="2024-03-24T00:00:00"/>
    <x v="1"/>
    <n v="76867"/>
    <n v="5322"/>
    <n v="34"/>
    <d v="2024-04-27T00:00:00"/>
    <x v="0"/>
    <x v="0"/>
    <x v="2"/>
    <n v="14.443300000000001"/>
    <n v="180"/>
    <n v="2024"/>
    <s v="March"/>
  </r>
  <r>
    <s v="DINS-CLM-101851"/>
    <s v="DINS-CUS-501851"/>
    <s v="DINS-POL-201851"/>
    <x v="4"/>
    <x v="2"/>
    <x v="5"/>
    <x v="0"/>
    <x v="4"/>
    <d v="2023-05-17T00:00:00"/>
    <s v="Monthly"/>
    <d v="2024-03-09T00:00:00"/>
    <x v="1"/>
    <n v="18719"/>
    <n v="8305"/>
    <n v="45"/>
    <d v="2024-04-23T00:00:00"/>
    <x v="0"/>
    <x v="0"/>
    <x v="0"/>
    <n v="2.2538999999999998"/>
    <n v="297"/>
    <n v="2024"/>
    <s v="March"/>
  </r>
  <r>
    <s v="DINS-CLM-101852"/>
    <s v="DINS-CUS-501852"/>
    <s v="DINS-POL-201852"/>
    <x v="5"/>
    <x v="0"/>
    <x v="4"/>
    <x v="1"/>
    <x v="1"/>
    <d v="2023-12-10T00:00:00"/>
    <s v="Annual"/>
    <d v="2024-02-20T00:00:00"/>
    <x v="2"/>
    <n v="45874"/>
    <n v="4392"/>
    <s v="N/A - Not Settled"/>
    <s v="N/A - Not Settled"/>
    <x v="0"/>
    <x v="0"/>
    <x v="0"/>
    <n v="10.444900000000001"/>
    <n v="72"/>
    <n v="2024"/>
    <s v="February"/>
  </r>
  <r>
    <s v="DINS-CLM-101853"/>
    <s v="DINS-CUS-501853"/>
    <s v="DINS-POL-201853"/>
    <x v="3"/>
    <x v="0"/>
    <x v="2"/>
    <x v="2"/>
    <x v="6"/>
    <d v="2024-02-14T00:00:00"/>
    <s v="Annual"/>
    <d v="2024-08-18T00:00:00"/>
    <x v="0"/>
    <n v="69481"/>
    <n v="6371"/>
    <s v="N/A - Not Settled"/>
    <s v="N/A - Not Settled"/>
    <x v="1"/>
    <x v="0"/>
    <x v="0"/>
    <n v="10.905799999999999"/>
    <n v="186"/>
    <n v="2024"/>
    <s v="August"/>
  </r>
  <r>
    <s v="DINS-CLM-101854"/>
    <s v="DINS-CUS-501854"/>
    <s v="DINS-POL-201854"/>
    <x v="1"/>
    <x v="1"/>
    <x v="2"/>
    <x v="2"/>
    <x v="1"/>
    <d v="2024-06-11T00:00:00"/>
    <s v="Monthly"/>
    <d v="2024-12-05T00:00:00"/>
    <x v="1"/>
    <n v="34722"/>
    <n v="3792"/>
    <n v="25"/>
    <d v="2024-12-30T00:00:00"/>
    <x v="0"/>
    <x v="0"/>
    <x v="2"/>
    <n v="9.1565999999999992"/>
    <n v="177"/>
    <n v="2024"/>
    <s v="December"/>
  </r>
  <r>
    <s v="DINS-CLM-101855"/>
    <s v="DINS-CUS-501855"/>
    <s v="DINS-POL-201855"/>
    <x v="1"/>
    <x v="1"/>
    <x v="0"/>
    <x v="2"/>
    <x v="7"/>
    <d v="2024-05-31T00:00:00"/>
    <s v="Monthly"/>
    <d v="2024-12-04T00:00:00"/>
    <x v="1"/>
    <n v="15076"/>
    <n v="5307"/>
    <n v="9"/>
    <d v="2024-12-13T00:00:00"/>
    <x v="0"/>
    <x v="0"/>
    <x v="1"/>
    <n v="2.8408000000000002"/>
    <n v="187"/>
    <n v="2024"/>
    <s v="December"/>
  </r>
  <r>
    <s v="DINS-CLM-101856"/>
    <s v="DINS-CUS-501856"/>
    <s v="DINS-POL-201856"/>
    <x v="0"/>
    <x v="1"/>
    <x v="0"/>
    <x v="1"/>
    <x v="7"/>
    <d v="2024-09-11T00:00:00"/>
    <s v="Monthly"/>
    <d v="2024-11-23T00:00:00"/>
    <x v="2"/>
    <n v="10172"/>
    <n v="8744"/>
    <s v="N/A - Not Settled"/>
    <s v="N/A - Not Settled"/>
    <x v="0"/>
    <x v="0"/>
    <x v="0"/>
    <n v="1.1633"/>
    <n v="73"/>
    <n v="2024"/>
    <s v="November"/>
  </r>
  <r>
    <s v="DINS-CLM-101857"/>
    <s v="DINS-CUS-501857"/>
    <s v="DINS-POL-201857"/>
    <x v="3"/>
    <x v="0"/>
    <x v="1"/>
    <x v="1"/>
    <x v="6"/>
    <d v="2023-05-13T00:00:00"/>
    <s v="Annual"/>
    <d v="2024-03-15T00:00:00"/>
    <x v="1"/>
    <n v="83783"/>
    <n v="7761"/>
    <n v="16"/>
    <d v="2024-03-31T00:00:00"/>
    <x v="0"/>
    <x v="0"/>
    <x v="0"/>
    <n v="10.795400000000001"/>
    <n v="307"/>
    <n v="2024"/>
    <s v="March"/>
  </r>
  <r>
    <s v="DINS-CLM-101858"/>
    <s v="DINS-CUS-501858"/>
    <s v="DINS-POL-201858"/>
    <x v="2"/>
    <x v="1"/>
    <x v="5"/>
    <x v="2"/>
    <x v="3"/>
    <d v="2024-03-19T00:00:00"/>
    <s v="Monthly"/>
    <d v="2024-07-07T00:00:00"/>
    <x v="1"/>
    <n v="33191"/>
    <n v="7427"/>
    <n v="18"/>
    <d v="2024-07-25T00:00:00"/>
    <x v="0"/>
    <x v="0"/>
    <x v="1"/>
    <n v="4.4690000000000003"/>
    <n v="110"/>
    <n v="2024"/>
    <s v="July"/>
  </r>
  <r>
    <s v="DINS-CLM-101859"/>
    <s v="DINS-CUS-501859"/>
    <s v="DINS-POL-201859"/>
    <x v="0"/>
    <x v="1"/>
    <x v="1"/>
    <x v="1"/>
    <x v="1"/>
    <d v="2023-07-26T00:00:00"/>
    <s v="Monthly"/>
    <d v="2024-02-23T00:00:00"/>
    <x v="1"/>
    <n v="28855"/>
    <n v="4010"/>
    <n v="11"/>
    <d v="2024-03-05T00:00:00"/>
    <x v="0"/>
    <x v="0"/>
    <x v="0"/>
    <n v="7.1958000000000002"/>
    <n v="212"/>
    <n v="2024"/>
    <s v="February"/>
  </r>
  <r>
    <s v="DINS-CLM-101860"/>
    <s v="DINS-CUS-501860"/>
    <s v="DINS-POL-201860"/>
    <x v="0"/>
    <x v="1"/>
    <x v="5"/>
    <x v="2"/>
    <x v="6"/>
    <d v="2023-11-08T00:00:00"/>
    <s v="Annual"/>
    <d v="2024-06-29T00:00:00"/>
    <x v="1"/>
    <n v="12695"/>
    <n v="3222"/>
    <n v="15"/>
    <d v="2024-07-14T00:00:00"/>
    <x v="0"/>
    <x v="0"/>
    <x v="1"/>
    <n v="3.9401000000000002"/>
    <n v="234"/>
    <n v="2024"/>
    <s v="June"/>
  </r>
  <r>
    <s v="DINS-CLM-101861"/>
    <s v="DINS-CUS-501861"/>
    <s v="DINS-POL-201861"/>
    <x v="4"/>
    <x v="1"/>
    <x v="4"/>
    <x v="1"/>
    <x v="7"/>
    <d v="2023-05-21T00:00:00"/>
    <s v="Annual"/>
    <d v="2024-04-23T00:00:00"/>
    <x v="2"/>
    <n v="14034"/>
    <n v="6553"/>
    <s v="N/A - Not Settled"/>
    <s v="N/A - Not Settled"/>
    <x v="0"/>
    <x v="0"/>
    <x v="2"/>
    <n v="2.1415999999999999"/>
    <n v="338"/>
    <n v="2024"/>
    <s v="April"/>
  </r>
  <r>
    <s v="DINS-CLM-101862"/>
    <s v="DINS-CUS-501862"/>
    <s v="DINS-POL-201862"/>
    <x v="4"/>
    <x v="1"/>
    <x v="1"/>
    <x v="1"/>
    <x v="0"/>
    <d v="2023-11-15T00:00:00"/>
    <s v="Annual"/>
    <d v="2024-06-28T00:00:00"/>
    <x v="1"/>
    <n v="2626"/>
    <n v="7660"/>
    <n v="44"/>
    <d v="2024-08-11T00:00:00"/>
    <x v="0"/>
    <x v="0"/>
    <x v="0"/>
    <n v="0.34279999999999999"/>
    <n v="226"/>
    <n v="2024"/>
    <s v="June"/>
  </r>
  <r>
    <s v="DINS-CLM-101863"/>
    <s v="DINS-CUS-501863"/>
    <s v="DINS-POL-201863"/>
    <x v="1"/>
    <x v="2"/>
    <x v="3"/>
    <x v="1"/>
    <x v="4"/>
    <d v="2023-04-13T00:00:00"/>
    <s v="Monthly"/>
    <d v="2024-03-21T00:00:00"/>
    <x v="1"/>
    <n v="30392"/>
    <n v="1264"/>
    <n v="36"/>
    <d v="2024-04-26T00:00:00"/>
    <x v="0"/>
    <x v="0"/>
    <x v="2"/>
    <n v="24.0443"/>
    <n v="343"/>
    <n v="2024"/>
    <s v="March"/>
  </r>
  <r>
    <s v="DINS-CLM-101864"/>
    <s v="DINS-CUS-501864"/>
    <s v="DINS-POL-201864"/>
    <x v="3"/>
    <x v="2"/>
    <x v="3"/>
    <x v="0"/>
    <x v="5"/>
    <d v="2024-06-17T00:00:00"/>
    <s v="Annual"/>
    <d v="2024-12-02T00:00:00"/>
    <x v="0"/>
    <n v="39441"/>
    <n v="8146"/>
    <s v="N/A - Not Settled"/>
    <s v="N/A - Not Settled"/>
    <x v="1"/>
    <x v="0"/>
    <x v="1"/>
    <n v="4.8418000000000001"/>
    <n v="168"/>
    <n v="2024"/>
    <s v="December"/>
  </r>
  <r>
    <s v="DINS-CLM-101865"/>
    <s v="DINS-CUS-501865"/>
    <s v="DINS-POL-201865"/>
    <x v="2"/>
    <x v="2"/>
    <x v="3"/>
    <x v="1"/>
    <x v="2"/>
    <d v="2024-07-22T00:00:00"/>
    <s v="Monthly"/>
    <d v="2024-08-24T00:00:00"/>
    <x v="2"/>
    <n v="22037"/>
    <n v="4851"/>
    <s v="N/A - Not Settled"/>
    <s v="N/A - Not Settled"/>
    <x v="0"/>
    <x v="0"/>
    <x v="0"/>
    <n v="4.5427999999999997"/>
    <n v="33"/>
    <n v="2024"/>
    <s v="August"/>
  </r>
  <r>
    <s v="DINS-CLM-101866"/>
    <s v="DINS-CUS-501866"/>
    <s v="DINS-POL-201866"/>
    <x v="0"/>
    <x v="2"/>
    <x v="0"/>
    <x v="1"/>
    <x v="4"/>
    <d v="2024-01-07T00:00:00"/>
    <s v="Monthly"/>
    <d v="2024-06-07T00:00:00"/>
    <x v="0"/>
    <n v="56257"/>
    <n v="1465"/>
    <s v="N/A - Not Settled"/>
    <s v="N/A - Not Settled"/>
    <x v="0"/>
    <x v="0"/>
    <x v="1"/>
    <n v="38.400700000000001"/>
    <n v="152"/>
    <n v="2024"/>
    <s v="June"/>
  </r>
  <r>
    <s v="DINS-CLM-101867"/>
    <s v="DINS-CUS-501867"/>
    <s v="DINS-POL-201867"/>
    <x v="2"/>
    <x v="2"/>
    <x v="2"/>
    <x v="0"/>
    <x v="1"/>
    <d v="2023-08-03T00:00:00"/>
    <s v="Monthly"/>
    <d v="2024-04-12T00:00:00"/>
    <x v="1"/>
    <n v="34835"/>
    <n v="7775"/>
    <n v="5"/>
    <d v="2024-04-17T00:00:00"/>
    <x v="1"/>
    <x v="1"/>
    <x v="0"/>
    <n v="4.4804000000000004"/>
    <n v="253"/>
    <n v="2024"/>
    <s v="April"/>
  </r>
  <r>
    <s v="DINS-CLM-101868"/>
    <s v="DINS-CUS-501868"/>
    <s v="DINS-POL-201868"/>
    <x v="3"/>
    <x v="0"/>
    <x v="4"/>
    <x v="2"/>
    <x v="4"/>
    <d v="2023-10-07T00:00:00"/>
    <s v="Annual"/>
    <d v="2024-02-03T00:00:00"/>
    <x v="1"/>
    <n v="33666"/>
    <n v="8407"/>
    <n v="34"/>
    <d v="2024-03-08T00:00:00"/>
    <x v="0"/>
    <x v="0"/>
    <x v="2"/>
    <n v="4.0045000000000002"/>
    <n v="119"/>
    <n v="2024"/>
    <s v="February"/>
  </r>
  <r>
    <s v="DINS-CLM-101869"/>
    <s v="DINS-CUS-501869"/>
    <s v="DINS-POL-201869"/>
    <x v="2"/>
    <x v="2"/>
    <x v="3"/>
    <x v="1"/>
    <x v="6"/>
    <d v="2024-01-18T00:00:00"/>
    <s v="Annual"/>
    <d v="2024-07-11T00:00:00"/>
    <x v="1"/>
    <n v="9722"/>
    <n v="1689"/>
    <n v="4"/>
    <d v="2024-07-15T00:00:00"/>
    <x v="0"/>
    <x v="0"/>
    <x v="2"/>
    <n v="5.7561"/>
    <n v="175"/>
    <n v="2024"/>
    <s v="July"/>
  </r>
  <r>
    <s v="DINS-CLM-101870"/>
    <s v="DINS-CUS-501870"/>
    <s v="DINS-POL-201870"/>
    <x v="2"/>
    <x v="2"/>
    <x v="4"/>
    <x v="1"/>
    <x v="7"/>
    <d v="2023-08-11T00:00:00"/>
    <s v="Monthly"/>
    <d v="2024-03-12T00:00:00"/>
    <x v="1"/>
    <n v="11091"/>
    <n v="8634"/>
    <n v="21"/>
    <d v="2024-04-02T00:00:00"/>
    <x v="0"/>
    <x v="0"/>
    <x v="1"/>
    <n v="1.2846"/>
    <n v="214"/>
    <n v="2024"/>
    <s v="March"/>
  </r>
  <r>
    <s v="DINS-CLM-101871"/>
    <s v="DINS-CUS-501871"/>
    <s v="DINS-POL-201871"/>
    <x v="0"/>
    <x v="1"/>
    <x v="4"/>
    <x v="2"/>
    <x v="1"/>
    <d v="2023-08-12T00:00:00"/>
    <s v="Monthly"/>
    <d v="2024-03-02T00:00:00"/>
    <x v="2"/>
    <n v="27361"/>
    <n v="2803"/>
    <s v="N/A - Not Settled"/>
    <s v="N/A - Not Settled"/>
    <x v="1"/>
    <x v="0"/>
    <x v="0"/>
    <n v="9.7613000000000003"/>
    <n v="203"/>
    <n v="2024"/>
    <s v="March"/>
  </r>
  <r>
    <s v="DINS-CLM-101872"/>
    <s v="DINS-CUS-501872"/>
    <s v="DINS-POL-201872"/>
    <x v="0"/>
    <x v="0"/>
    <x v="1"/>
    <x v="0"/>
    <x v="1"/>
    <d v="2024-06-16T00:00:00"/>
    <s v="Monthly"/>
    <d v="2024-11-26T00:00:00"/>
    <x v="1"/>
    <n v="14286"/>
    <n v="4554"/>
    <n v="42"/>
    <d v="2025-01-07T00:00:00"/>
    <x v="1"/>
    <x v="1"/>
    <x v="1"/>
    <n v="3.137"/>
    <n v="163"/>
    <n v="2024"/>
    <s v="November"/>
  </r>
  <r>
    <s v="DINS-CLM-101873"/>
    <s v="DINS-CUS-501873"/>
    <s v="DINS-POL-201873"/>
    <x v="2"/>
    <x v="2"/>
    <x v="1"/>
    <x v="2"/>
    <x v="6"/>
    <d v="2023-10-16T00:00:00"/>
    <s v="Monthly"/>
    <d v="2024-07-25T00:00:00"/>
    <x v="1"/>
    <n v="13067"/>
    <n v="858"/>
    <n v="36"/>
    <d v="2024-08-30T00:00:00"/>
    <x v="0"/>
    <x v="0"/>
    <x v="2"/>
    <n v="15.2296"/>
    <n v="283"/>
    <n v="2024"/>
    <s v="July"/>
  </r>
  <r>
    <s v="DINS-CLM-101874"/>
    <s v="DINS-CUS-501874"/>
    <s v="DINS-POL-201874"/>
    <x v="2"/>
    <x v="0"/>
    <x v="2"/>
    <x v="0"/>
    <x v="1"/>
    <d v="2024-01-17T00:00:00"/>
    <s v="Monthly"/>
    <d v="2024-09-08T00:00:00"/>
    <x v="1"/>
    <n v="23783"/>
    <n v="8383"/>
    <n v="28"/>
    <d v="2024-10-06T00:00:00"/>
    <x v="0"/>
    <x v="0"/>
    <x v="0"/>
    <n v="2.8371"/>
    <n v="235"/>
    <n v="2024"/>
    <s v="September"/>
  </r>
  <r>
    <s v="DINS-CLM-101875"/>
    <s v="DINS-CUS-501875"/>
    <s v="DINS-POL-201875"/>
    <x v="0"/>
    <x v="0"/>
    <x v="3"/>
    <x v="1"/>
    <x v="5"/>
    <d v="2024-01-23T00:00:00"/>
    <s v="Monthly"/>
    <d v="2024-02-29T00:00:00"/>
    <x v="1"/>
    <n v="5478"/>
    <n v="1878"/>
    <n v="19"/>
    <d v="2024-03-19T00:00:00"/>
    <x v="0"/>
    <x v="0"/>
    <x v="0"/>
    <n v="2.9169"/>
    <n v="37"/>
    <n v="2024"/>
    <s v="February"/>
  </r>
  <r>
    <s v="DINS-CLM-101876"/>
    <s v="DINS-CUS-501876"/>
    <s v="DINS-POL-201876"/>
    <x v="2"/>
    <x v="2"/>
    <x v="3"/>
    <x v="0"/>
    <x v="5"/>
    <d v="2023-09-27T00:00:00"/>
    <s v="Monthly"/>
    <d v="2024-05-20T00:00:00"/>
    <x v="0"/>
    <n v="28495"/>
    <n v="3998"/>
    <s v="N/A - Not Settled"/>
    <s v="N/A - Not Settled"/>
    <x v="0"/>
    <x v="0"/>
    <x v="1"/>
    <n v="7.1273"/>
    <n v="236"/>
    <n v="2024"/>
    <s v="May"/>
  </r>
  <r>
    <s v="DINS-CLM-101877"/>
    <s v="DINS-CUS-501877"/>
    <s v="DINS-POL-201877"/>
    <x v="1"/>
    <x v="1"/>
    <x v="4"/>
    <x v="0"/>
    <x v="1"/>
    <d v="2023-10-27T00:00:00"/>
    <s v="Monthly"/>
    <d v="2024-05-15T00:00:00"/>
    <x v="1"/>
    <n v="25192"/>
    <n v="2594"/>
    <n v="41"/>
    <d v="2024-06-25T00:00:00"/>
    <x v="0"/>
    <x v="0"/>
    <x v="0"/>
    <n v="9.7116000000000007"/>
    <n v="201"/>
    <n v="2024"/>
    <s v="May"/>
  </r>
  <r>
    <s v="DINS-CLM-101878"/>
    <s v="DINS-CUS-501878"/>
    <s v="DINS-POL-201878"/>
    <x v="0"/>
    <x v="2"/>
    <x v="5"/>
    <x v="2"/>
    <x v="3"/>
    <d v="2024-11-21T00:00:00"/>
    <s v="Annual"/>
    <d v="2024-12-22T00:00:00"/>
    <x v="1"/>
    <n v="36051"/>
    <n v="3413"/>
    <n v="4"/>
    <d v="2024-12-26T00:00:00"/>
    <x v="0"/>
    <x v="0"/>
    <x v="1"/>
    <n v="10.562799999999999"/>
    <n v="31"/>
    <n v="2024"/>
    <s v="December"/>
  </r>
  <r>
    <s v="DINS-CLM-101879"/>
    <s v="DINS-CUS-501879"/>
    <s v="DINS-POL-201879"/>
    <x v="1"/>
    <x v="2"/>
    <x v="0"/>
    <x v="1"/>
    <x v="1"/>
    <d v="2024-04-17T00:00:00"/>
    <s v="Annual"/>
    <d v="2024-06-05T00:00:00"/>
    <x v="1"/>
    <n v="47503"/>
    <n v="8053"/>
    <n v="24"/>
    <d v="2024-06-29T00:00:00"/>
    <x v="0"/>
    <x v="0"/>
    <x v="0"/>
    <n v="5.8987999999999996"/>
    <n v="49"/>
    <n v="2024"/>
    <s v="June"/>
  </r>
  <r>
    <s v="DINS-CLM-101880"/>
    <s v="DINS-CUS-501880"/>
    <s v="DINS-POL-201880"/>
    <x v="0"/>
    <x v="0"/>
    <x v="3"/>
    <x v="1"/>
    <x v="1"/>
    <d v="2024-03-08T00:00:00"/>
    <s v="Monthly"/>
    <d v="2024-11-16T00:00:00"/>
    <x v="2"/>
    <n v="27352"/>
    <n v="8455"/>
    <s v="N/A - Not Settled"/>
    <s v="N/A - Not Settled"/>
    <x v="1"/>
    <x v="1"/>
    <x v="1"/>
    <n v="3.2349999999999999"/>
    <n v="253"/>
    <n v="2024"/>
    <s v="November"/>
  </r>
  <r>
    <s v="DINS-CLM-101881"/>
    <s v="DINS-CUS-501881"/>
    <s v="DINS-POL-201881"/>
    <x v="1"/>
    <x v="2"/>
    <x v="5"/>
    <x v="1"/>
    <x v="7"/>
    <d v="2024-06-01T00:00:00"/>
    <s v="Annual"/>
    <d v="2024-10-30T00:00:00"/>
    <x v="1"/>
    <n v="60367"/>
    <n v="2718"/>
    <n v="25"/>
    <d v="2024-11-24T00:00:00"/>
    <x v="1"/>
    <x v="0"/>
    <x v="0"/>
    <n v="22.210100000000001"/>
    <n v="151"/>
    <n v="2024"/>
    <s v="October"/>
  </r>
  <r>
    <s v="DINS-CLM-101882"/>
    <s v="DINS-CUS-501882"/>
    <s v="DINS-POL-201882"/>
    <x v="1"/>
    <x v="0"/>
    <x v="2"/>
    <x v="0"/>
    <x v="7"/>
    <d v="2024-02-21T00:00:00"/>
    <s v="Monthly"/>
    <d v="2024-08-01T00:00:00"/>
    <x v="1"/>
    <n v="43496"/>
    <n v="2902"/>
    <n v="24"/>
    <d v="2024-08-25T00:00:00"/>
    <x v="0"/>
    <x v="0"/>
    <x v="2"/>
    <n v="14.988300000000001"/>
    <n v="162"/>
    <n v="2024"/>
    <s v="August"/>
  </r>
  <r>
    <s v="DINS-CLM-101883"/>
    <s v="DINS-CUS-501883"/>
    <s v="DINS-POL-201883"/>
    <x v="5"/>
    <x v="0"/>
    <x v="5"/>
    <x v="0"/>
    <x v="5"/>
    <d v="2024-07-21T00:00:00"/>
    <s v="Annual"/>
    <d v="2024-10-29T00:00:00"/>
    <x v="1"/>
    <n v="43857"/>
    <n v="7670"/>
    <n v="3"/>
    <d v="2024-11-01T00:00:00"/>
    <x v="0"/>
    <x v="0"/>
    <x v="2"/>
    <n v="5.718"/>
    <n v="100"/>
    <n v="2024"/>
    <s v="October"/>
  </r>
  <r>
    <s v="DINS-CLM-101884"/>
    <s v="DINS-CUS-501884"/>
    <s v="DINS-POL-201884"/>
    <x v="0"/>
    <x v="2"/>
    <x v="4"/>
    <x v="2"/>
    <x v="6"/>
    <d v="2023-09-29T00:00:00"/>
    <s v="Monthly"/>
    <d v="2024-07-11T00:00:00"/>
    <x v="1"/>
    <n v="48720"/>
    <n v="8022"/>
    <n v="14"/>
    <d v="2024-07-25T00:00:00"/>
    <x v="0"/>
    <x v="0"/>
    <x v="1"/>
    <n v="6.0732999999999997"/>
    <n v="286"/>
    <n v="2024"/>
    <s v="July"/>
  </r>
  <r>
    <s v="DINS-CLM-101885"/>
    <s v="DINS-CUS-501885"/>
    <s v="DINS-POL-201885"/>
    <x v="3"/>
    <x v="2"/>
    <x v="1"/>
    <x v="0"/>
    <x v="1"/>
    <d v="2023-07-31T00:00:00"/>
    <s v="Annual"/>
    <d v="2024-06-06T00:00:00"/>
    <x v="1"/>
    <n v="21421"/>
    <n v="6801"/>
    <n v="38"/>
    <d v="2024-07-14T00:00:00"/>
    <x v="0"/>
    <x v="0"/>
    <x v="0"/>
    <n v="3.1497000000000002"/>
    <n v="311"/>
    <n v="2024"/>
    <s v="June"/>
  </r>
  <r>
    <s v="DINS-CLM-101886"/>
    <s v="DINS-CUS-501886"/>
    <s v="DINS-POL-201886"/>
    <x v="3"/>
    <x v="1"/>
    <x v="5"/>
    <x v="1"/>
    <x v="3"/>
    <d v="2023-09-20T00:00:00"/>
    <s v="Annual"/>
    <d v="2024-05-13T00:00:00"/>
    <x v="0"/>
    <n v="54703"/>
    <n v="4389"/>
    <s v="N/A - Not Settled"/>
    <s v="N/A - Not Settled"/>
    <x v="0"/>
    <x v="0"/>
    <x v="1"/>
    <n v="12.463699999999999"/>
    <n v="236"/>
    <n v="2024"/>
    <s v="May"/>
  </r>
  <r>
    <s v="DINS-CLM-101887"/>
    <s v="DINS-CUS-501887"/>
    <s v="DINS-POL-201887"/>
    <x v="5"/>
    <x v="0"/>
    <x v="4"/>
    <x v="1"/>
    <x v="3"/>
    <d v="2023-05-08T00:00:00"/>
    <s v="Monthly"/>
    <d v="2024-02-10T00:00:00"/>
    <x v="1"/>
    <n v="30480"/>
    <n v="645"/>
    <n v="16"/>
    <d v="2024-02-26T00:00:00"/>
    <x v="0"/>
    <x v="0"/>
    <x v="2"/>
    <n v="47.255800000000001"/>
    <n v="278"/>
    <n v="2024"/>
    <s v="February"/>
  </r>
  <r>
    <s v="DINS-CLM-101888"/>
    <s v="DINS-CUS-501888"/>
    <s v="DINS-POL-201888"/>
    <x v="3"/>
    <x v="2"/>
    <x v="0"/>
    <x v="2"/>
    <x v="2"/>
    <d v="2023-11-20T00:00:00"/>
    <s v="Annual"/>
    <d v="2024-01-04T00:00:00"/>
    <x v="2"/>
    <n v="97793"/>
    <n v="6216"/>
    <s v="N/A - Not Settled"/>
    <s v="N/A - Not Settled"/>
    <x v="0"/>
    <x v="0"/>
    <x v="1"/>
    <n v="15.7325"/>
    <n v="45"/>
    <n v="2024"/>
    <s v="January"/>
  </r>
  <r>
    <s v="DINS-CLM-101889"/>
    <s v="DINS-CUS-501889"/>
    <s v="DINS-POL-201889"/>
    <x v="5"/>
    <x v="1"/>
    <x v="3"/>
    <x v="2"/>
    <x v="2"/>
    <d v="2023-09-17T00:00:00"/>
    <s v="Monthly"/>
    <d v="2024-07-09T00:00:00"/>
    <x v="0"/>
    <n v="31895"/>
    <n v="4270"/>
    <s v="N/A - Not Settled"/>
    <s v="N/A - Not Settled"/>
    <x v="0"/>
    <x v="0"/>
    <x v="1"/>
    <n v="7.4695999999999998"/>
    <n v="296"/>
    <n v="2024"/>
    <s v="July"/>
  </r>
  <r>
    <s v="DINS-CLM-101890"/>
    <s v="DINS-CUS-501890"/>
    <s v="DINS-POL-201890"/>
    <x v="0"/>
    <x v="0"/>
    <x v="5"/>
    <x v="2"/>
    <x v="3"/>
    <d v="2023-09-27T00:00:00"/>
    <s v="Annual"/>
    <d v="2024-01-30T00:00:00"/>
    <x v="2"/>
    <n v="18514"/>
    <n v="6854"/>
    <s v="N/A - Not Settled"/>
    <s v="N/A - Not Settled"/>
    <x v="0"/>
    <x v="0"/>
    <x v="2"/>
    <n v="2.7012"/>
    <n v="125"/>
    <n v="2024"/>
    <s v="January"/>
  </r>
  <r>
    <s v="DINS-CLM-101891"/>
    <s v="DINS-CUS-501891"/>
    <s v="DINS-POL-201891"/>
    <x v="4"/>
    <x v="1"/>
    <x v="4"/>
    <x v="1"/>
    <x v="3"/>
    <d v="2024-02-20T00:00:00"/>
    <s v="Annual"/>
    <d v="2024-12-13T00:00:00"/>
    <x v="0"/>
    <n v="10271"/>
    <n v="6930"/>
    <s v="N/A - Not Settled"/>
    <s v="N/A - Not Settled"/>
    <x v="0"/>
    <x v="0"/>
    <x v="0"/>
    <n v="1.4821"/>
    <n v="297"/>
    <n v="2024"/>
    <s v="December"/>
  </r>
  <r>
    <s v="DINS-CLM-101892"/>
    <s v="DINS-CUS-501892"/>
    <s v="DINS-POL-201892"/>
    <x v="4"/>
    <x v="1"/>
    <x v="2"/>
    <x v="2"/>
    <x v="6"/>
    <d v="2024-03-09T00:00:00"/>
    <s v="Annual"/>
    <d v="2024-04-14T00:00:00"/>
    <x v="0"/>
    <n v="16869"/>
    <n v="6272"/>
    <s v="N/A - Not Settled"/>
    <s v="N/A - Not Settled"/>
    <x v="0"/>
    <x v="0"/>
    <x v="1"/>
    <n v="2.6896"/>
    <n v="36"/>
    <n v="2024"/>
    <s v="April"/>
  </r>
  <r>
    <s v="DINS-CLM-101893"/>
    <s v="DINS-CUS-501893"/>
    <s v="DINS-POL-201893"/>
    <x v="1"/>
    <x v="1"/>
    <x v="1"/>
    <x v="0"/>
    <x v="6"/>
    <d v="2024-03-16T00:00:00"/>
    <s v="Annual"/>
    <d v="2024-06-19T00:00:00"/>
    <x v="1"/>
    <n v="37867"/>
    <n v="6465"/>
    <n v="38"/>
    <d v="2024-07-27T00:00:00"/>
    <x v="0"/>
    <x v="0"/>
    <x v="2"/>
    <n v="5.8571999999999997"/>
    <n v="95"/>
    <n v="2024"/>
    <s v="June"/>
  </r>
  <r>
    <s v="DINS-CLM-101894"/>
    <s v="DINS-CUS-501894"/>
    <s v="DINS-POL-201894"/>
    <x v="0"/>
    <x v="0"/>
    <x v="1"/>
    <x v="0"/>
    <x v="0"/>
    <d v="2024-10-26T00:00:00"/>
    <s v="Monthly"/>
    <d v="2024-12-12T00:00:00"/>
    <x v="2"/>
    <n v="32369"/>
    <n v="5786"/>
    <s v="N/A - Not Settled"/>
    <s v="N/A - Not Settled"/>
    <x v="0"/>
    <x v="0"/>
    <x v="0"/>
    <n v="5.5944000000000003"/>
    <n v="47"/>
    <n v="2024"/>
    <s v="December"/>
  </r>
  <r>
    <s v="DINS-CLM-101895"/>
    <s v="DINS-CUS-501895"/>
    <s v="DINS-POL-201895"/>
    <x v="2"/>
    <x v="1"/>
    <x v="1"/>
    <x v="0"/>
    <x v="4"/>
    <d v="2024-02-01T00:00:00"/>
    <s v="Monthly"/>
    <d v="2024-09-29T00:00:00"/>
    <x v="1"/>
    <n v="29527"/>
    <n v="2229"/>
    <n v="37"/>
    <d v="2024-11-05T00:00:00"/>
    <x v="0"/>
    <x v="0"/>
    <x v="2"/>
    <n v="13.246700000000001"/>
    <n v="241"/>
    <n v="2024"/>
    <s v="September"/>
  </r>
  <r>
    <s v="DINS-CLM-101896"/>
    <s v="DINS-CUS-501896"/>
    <s v="DINS-POL-201896"/>
    <x v="0"/>
    <x v="2"/>
    <x v="5"/>
    <x v="1"/>
    <x v="1"/>
    <d v="2024-05-12T00:00:00"/>
    <s v="Monthly"/>
    <d v="2024-08-23T00:00:00"/>
    <x v="0"/>
    <n v="28799"/>
    <n v="2480"/>
    <s v="N/A - Not Settled"/>
    <s v="N/A - Not Settled"/>
    <x v="1"/>
    <x v="0"/>
    <x v="1"/>
    <n v="11.612500000000001"/>
    <n v="103"/>
    <n v="2024"/>
    <s v="August"/>
  </r>
  <r>
    <s v="DINS-CLM-101897"/>
    <s v="DINS-CUS-501897"/>
    <s v="DINS-POL-201897"/>
    <x v="5"/>
    <x v="2"/>
    <x v="0"/>
    <x v="2"/>
    <x v="1"/>
    <d v="2024-08-04T00:00:00"/>
    <s v="Annual"/>
    <d v="2024-11-03T00:00:00"/>
    <x v="0"/>
    <n v="55349"/>
    <n v="8421"/>
    <s v="N/A - Not Settled"/>
    <s v="N/A - Not Settled"/>
    <x v="1"/>
    <x v="0"/>
    <x v="0"/>
    <n v="6.5727000000000002"/>
    <n v="91"/>
    <n v="2024"/>
    <s v="November"/>
  </r>
  <r>
    <s v="DINS-CLM-101898"/>
    <s v="DINS-CUS-501898"/>
    <s v="DINS-POL-201898"/>
    <x v="0"/>
    <x v="0"/>
    <x v="5"/>
    <x v="1"/>
    <x v="4"/>
    <d v="2023-12-07T00:00:00"/>
    <s v="Annual"/>
    <d v="2024-04-23T00:00:00"/>
    <x v="0"/>
    <n v="23662"/>
    <n v="8633"/>
    <s v="N/A - Not Settled"/>
    <s v="N/A - Not Settled"/>
    <x v="0"/>
    <x v="0"/>
    <x v="0"/>
    <n v="2.7408999999999999"/>
    <n v="138"/>
    <n v="2024"/>
    <s v="April"/>
  </r>
  <r>
    <s v="DINS-CLM-101899"/>
    <s v="DINS-CUS-501899"/>
    <s v="DINS-POL-201899"/>
    <x v="5"/>
    <x v="0"/>
    <x v="4"/>
    <x v="0"/>
    <x v="4"/>
    <d v="2023-08-14T00:00:00"/>
    <s v="Monthly"/>
    <d v="2024-08-13T00:00:00"/>
    <x v="0"/>
    <n v="52806"/>
    <n v="2644"/>
    <s v="N/A - Not Settled"/>
    <s v="N/A - Not Settled"/>
    <x v="1"/>
    <x v="1"/>
    <x v="0"/>
    <n v="19.972000000000001"/>
    <n v="365"/>
    <n v="2024"/>
    <s v="August"/>
  </r>
  <r>
    <s v="DINS-CLM-101900"/>
    <s v="DINS-CUS-501900"/>
    <s v="DINS-POL-201900"/>
    <x v="1"/>
    <x v="2"/>
    <x v="1"/>
    <x v="2"/>
    <x v="4"/>
    <d v="2024-03-06T00:00:00"/>
    <s v="Annual"/>
    <d v="2024-10-11T00:00:00"/>
    <x v="1"/>
    <n v="30016"/>
    <n v="6956"/>
    <n v="15"/>
    <d v="2024-10-26T00:00:00"/>
    <x v="0"/>
    <x v="0"/>
    <x v="0"/>
    <n v="4.3151000000000002"/>
    <n v="219"/>
    <n v="2024"/>
    <s v="October"/>
  </r>
  <r>
    <s v="DINS-CLM-101901"/>
    <s v="DINS-CUS-501901"/>
    <s v="DINS-POL-201901"/>
    <x v="5"/>
    <x v="2"/>
    <x v="2"/>
    <x v="0"/>
    <x v="2"/>
    <d v="2023-09-01T00:00:00"/>
    <s v="Annual"/>
    <d v="2024-03-23T00:00:00"/>
    <x v="1"/>
    <n v="68708"/>
    <n v="3365"/>
    <n v="5"/>
    <d v="2024-03-28T00:00:00"/>
    <x v="0"/>
    <x v="0"/>
    <x v="1"/>
    <n v="20.418399999999998"/>
    <n v="204"/>
    <n v="2024"/>
    <s v="March"/>
  </r>
  <r>
    <s v="DINS-CLM-101902"/>
    <s v="DINS-CUS-501902"/>
    <s v="DINS-POL-201902"/>
    <x v="4"/>
    <x v="0"/>
    <x v="1"/>
    <x v="0"/>
    <x v="7"/>
    <d v="2024-03-29T00:00:00"/>
    <s v="Annual"/>
    <d v="2024-12-08T00:00:00"/>
    <x v="0"/>
    <n v="9222"/>
    <n v="1803"/>
    <s v="N/A - Not Settled"/>
    <s v="N/A - Not Settled"/>
    <x v="0"/>
    <x v="0"/>
    <x v="1"/>
    <n v="5.1147999999999998"/>
    <n v="254"/>
    <n v="2024"/>
    <s v="December"/>
  </r>
  <r>
    <s v="DINS-CLM-101903"/>
    <s v="DINS-CUS-501903"/>
    <s v="DINS-POL-201903"/>
    <x v="0"/>
    <x v="2"/>
    <x v="2"/>
    <x v="2"/>
    <x v="1"/>
    <d v="2024-04-13T00:00:00"/>
    <s v="Monthly"/>
    <d v="2024-12-10T00:00:00"/>
    <x v="2"/>
    <n v="5990"/>
    <n v="3988"/>
    <s v="N/A - Not Settled"/>
    <s v="N/A - Not Settled"/>
    <x v="0"/>
    <x v="0"/>
    <x v="0"/>
    <n v="1.502"/>
    <n v="241"/>
    <n v="2024"/>
    <s v="December"/>
  </r>
  <r>
    <s v="DINS-CLM-101904"/>
    <s v="DINS-CUS-501904"/>
    <s v="DINS-POL-201904"/>
    <x v="3"/>
    <x v="0"/>
    <x v="2"/>
    <x v="2"/>
    <x v="4"/>
    <d v="2024-02-28T00:00:00"/>
    <s v="Annual"/>
    <d v="2024-06-12T00:00:00"/>
    <x v="1"/>
    <n v="20482"/>
    <n v="8355"/>
    <n v="13"/>
    <d v="2024-06-25T00:00:00"/>
    <x v="0"/>
    <x v="0"/>
    <x v="2"/>
    <n v="2.4514999999999998"/>
    <n v="105"/>
    <n v="2024"/>
    <s v="June"/>
  </r>
  <r>
    <s v="DINS-CLM-101905"/>
    <s v="DINS-CUS-501905"/>
    <s v="DINS-POL-201905"/>
    <x v="2"/>
    <x v="1"/>
    <x v="2"/>
    <x v="2"/>
    <x v="7"/>
    <d v="2023-11-17T00:00:00"/>
    <s v="Annual"/>
    <d v="2024-11-06T00:00:00"/>
    <x v="0"/>
    <n v="15655"/>
    <n v="3007"/>
    <s v="N/A - Not Settled"/>
    <s v="N/A - Not Settled"/>
    <x v="0"/>
    <x v="0"/>
    <x v="0"/>
    <n v="5.2061999999999999"/>
    <n v="355"/>
    <n v="2024"/>
    <s v="November"/>
  </r>
  <r>
    <s v="DINS-CLM-101906"/>
    <s v="DINS-CUS-501906"/>
    <s v="DINS-POL-201906"/>
    <x v="5"/>
    <x v="1"/>
    <x v="2"/>
    <x v="0"/>
    <x v="1"/>
    <d v="2024-04-07T00:00:00"/>
    <s v="Annual"/>
    <d v="2024-06-16T00:00:00"/>
    <x v="1"/>
    <n v="76949"/>
    <n v="7566"/>
    <n v="32"/>
    <d v="2024-07-18T00:00:00"/>
    <x v="0"/>
    <x v="0"/>
    <x v="0"/>
    <n v="10.170400000000001"/>
    <n v="70"/>
    <n v="2024"/>
    <s v="June"/>
  </r>
  <r>
    <s v="DINS-CLM-101907"/>
    <s v="DINS-CUS-501907"/>
    <s v="DINS-POL-201907"/>
    <x v="0"/>
    <x v="1"/>
    <x v="1"/>
    <x v="1"/>
    <x v="0"/>
    <d v="2023-12-20T00:00:00"/>
    <s v="Monthly"/>
    <d v="2024-03-17T00:00:00"/>
    <x v="2"/>
    <n v="57845"/>
    <n v="7371"/>
    <s v="N/A - Not Settled"/>
    <s v="N/A - Not Settled"/>
    <x v="0"/>
    <x v="0"/>
    <x v="1"/>
    <n v="7.8475999999999999"/>
    <n v="88"/>
    <n v="2024"/>
    <s v="March"/>
  </r>
  <r>
    <s v="DINS-CLM-101908"/>
    <s v="DINS-CUS-501908"/>
    <s v="DINS-POL-201908"/>
    <x v="3"/>
    <x v="2"/>
    <x v="3"/>
    <x v="1"/>
    <x v="4"/>
    <d v="2024-08-26T00:00:00"/>
    <s v="Monthly"/>
    <d v="2024-10-16T00:00:00"/>
    <x v="1"/>
    <n v="54541"/>
    <n v="2971"/>
    <n v="30"/>
    <d v="2024-11-15T00:00:00"/>
    <x v="1"/>
    <x v="1"/>
    <x v="1"/>
    <n v="18.357800000000001"/>
    <n v="51"/>
    <n v="2024"/>
    <s v="October"/>
  </r>
  <r>
    <s v="DINS-CLM-101909"/>
    <s v="DINS-CUS-501909"/>
    <s v="DINS-POL-201909"/>
    <x v="0"/>
    <x v="0"/>
    <x v="3"/>
    <x v="1"/>
    <x v="2"/>
    <d v="2024-08-29T00:00:00"/>
    <s v="Monthly"/>
    <d v="2024-10-31T00:00:00"/>
    <x v="2"/>
    <n v="11448"/>
    <n v="7925"/>
    <s v="N/A - Not Settled"/>
    <s v="N/A - Not Settled"/>
    <x v="0"/>
    <x v="0"/>
    <x v="0"/>
    <n v="1.4444999999999999"/>
    <n v="63"/>
    <n v="2024"/>
    <s v="October"/>
  </r>
  <r>
    <s v="DINS-CLM-101910"/>
    <s v="DINS-CUS-501910"/>
    <s v="DINS-POL-201910"/>
    <x v="2"/>
    <x v="0"/>
    <x v="5"/>
    <x v="2"/>
    <x v="4"/>
    <d v="2024-06-06T00:00:00"/>
    <s v="Annual"/>
    <d v="2024-12-10T00:00:00"/>
    <x v="1"/>
    <n v="28096"/>
    <n v="1961"/>
    <n v="5"/>
    <d v="2024-12-15T00:00:00"/>
    <x v="1"/>
    <x v="0"/>
    <x v="1"/>
    <n v="14.327400000000001"/>
    <n v="187"/>
    <n v="2024"/>
    <s v="December"/>
  </r>
  <r>
    <s v="DINS-CLM-101911"/>
    <s v="DINS-CUS-501911"/>
    <s v="DINS-POL-201911"/>
    <x v="0"/>
    <x v="0"/>
    <x v="4"/>
    <x v="1"/>
    <x v="0"/>
    <d v="2024-09-17T00:00:00"/>
    <s v="Annual"/>
    <d v="2024-11-17T00:00:00"/>
    <x v="1"/>
    <n v="32826"/>
    <n v="2161"/>
    <n v="5"/>
    <d v="2024-11-22T00:00:00"/>
    <x v="1"/>
    <x v="1"/>
    <x v="0"/>
    <n v="15.190200000000001"/>
    <n v="61"/>
    <n v="2024"/>
    <s v="November"/>
  </r>
  <r>
    <s v="DINS-CLM-101912"/>
    <s v="DINS-CUS-501912"/>
    <s v="DINS-POL-201912"/>
    <x v="1"/>
    <x v="0"/>
    <x v="5"/>
    <x v="2"/>
    <x v="1"/>
    <d v="2024-01-26T00:00:00"/>
    <s v="Annual"/>
    <d v="2024-08-24T00:00:00"/>
    <x v="1"/>
    <n v="42375"/>
    <n v="1444"/>
    <n v="25"/>
    <d v="2024-09-18T00:00:00"/>
    <x v="0"/>
    <x v="0"/>
    <x v="1"/>
    <n v="29.345600000000001"/>
    <n v="211"/>
    <n v="2024"/>
    <s v="August"/>
  </r>
  <r>
    <s v="DINS-CLM-101913"/>
    <s v="DINS-CUS-501913"/>
    <s v="DINS-POL-201913"/>
    <x v="0"/>
    <x v="2"/>
    <x v="5"/>
    <x v="0"/>
    <x v="1"/>
    <d v="2024-04-08T00:00:00"/>
    <s v="Annual"/>
    <d v="2024-11-01T00:00:00"/>
    <x v="1"/>
    <n v="47735"/>
    <n v="8294"/>
    <n v="6"/>
    <d v="2024-11-07T00:00:00"/>
    <x v="1"/>
    <x v="0"/>
    <x v="1"/>
    <n v="5.7553999999999998"/>
    <n v="207"/>
    <n v="2024"/>
    <s v="November"/>
  </r>
  <r>
    <s v="DINS-CLM-101914"/>
    <s v="DINS-CUS-501914"/>
    <s v="DINS-POL-201914"/>
    <x v="2"/>
    <x v="2"/>
    <x v="5"/>
    <x v="2"/>
    <x v="0"/>
    <d v="2024-04-06T00:00:00"/>
    <s v="Annual"/>
    <d v="2024-07-15T00:00:00"/>
    <x v="1"/>
    <n v="23041"/>
    <n v="3648"/>
    <n v="28"/>
    <d v="2024-08-12T00:00:00"/>
    <x v="0"/>
    <x v="0"/>
    <x v="0"/>
    <n v="6.3160999999999996"/>
    <n v="100"/>
    <n v="2024"/>
    <s v="July"/>
  </r>
  <r>
    <s v="DINS-CLM-101915"/>
    <s v="DINS-CUS-501915"/>
    <s v="DINS-POL-201915"/>
    <x v="2"/>
    <x v="2"/>
    <x v="0"/>
    <x v="2"/>
    <x v="7"/>
    <d v="2024-09-19T00:00:00"/>
    <s v="Annual"/>
    <d v="2024-10-20T00:00:00"/>
    <x v="1"/>
    <n v="18655"/>
    <n v="2170"/>
    <n v="19"/>
    <d v="2024-11-08T00:00:00"/>
    <x v="0"/>
    <x v="0"/>
    <x v="0"/>
    <n v="8.5968"/>
    <n v="31"/>
    <n v="2024"/>
    <s v="October"/>
  </r>
  <r>
    <s v="DINS-CLM-101916"/>
    <s v="DINS-CUS-501916"/>
    <s v="DINS-POL-201916"/>
    <x v="4"/>
    <x v="1"/>
    <x v="1"/>
    <x v="2"/>
    <x v="7"/>
    <d v="2024-05-15T00:00:00"/>
    <s v="Annual"/>
    <d v="2024-06-21T00:00:00"/>
    <x v="1"/>
    <n v="8131"/>
    <n v="7574"/>
    <n v="41"/>
    <d v="2024-08-01T00:00:00"/>
    <x v="0"/>
    <x v="0"/>
    <x v="1"/>
    <n v="1.0734999999999999"/>
    <n v="37"/>
    <n v="2024"/>
    <s v="June"/>
  </r>
  <r>
    <s v="DINS-CLM-101917"/>
    <s v="DINS-CUS-501917"/>
    <s v="DINS-POL-201917"/>
    <x v="2"/>
    <x v="1"/>
    <x v="4"/>
    <x v="1"/>
    <x v="1"/>
    <d v="2023-04-24T00:00:00"/>
    <s v="Monthly"/>
    <d v="2024-01-01T00:00:00"/>
    <x v="1"/>
    <n v="18103"/>
    <n v="2847"/>
    <n v="8"/>
    <d v="2024-01-09T00:00:00"/>
    <x v="1"/>
    <x v="1"/>
    <x v="0"/>
    <n v="6.3586"/>
    <n v="252"/>
    <n v="2024"/>
    <s v="January"/>
  </r>
  <r>
    <s v="DINS-CLM-101918"/>
    <s v="DINS-CUS-501918"/>
    <s v="DINS-POL-201918"/>
    <x v="4"/>
    <x v="0"/>
    <x v="0"/>
    <x v="1"/>
    <x v="3"/>
    <d v="2024-06-01T00:00:00"/>
    <s v="Annual"/>
    <d v="2024-11-10T00:00:00"/>
    <x v="1"/>
    <n v="3031"/>
    <n v="5399"/>
    <n v="20"/>
    <d v="2024-11-30T00:00:00"/>
    <x v="1"/>
    <x v="0"/>
    <x v="0"/>
    <n v="0.56140000000000001"/>
    <n v="162"/>
    <n v="2024"/>
    <s v="November"/>
  </r>
  <r>
    <s v="DINS-CLM-101919"/>
    <s v="DINS-CUS-501919"/>
    <s v="DINS-POL-201919"/>
    <x v="3"/>
    <x v="0"/>
    <x v="5"/>
    <x v="2"/>
    <x v="3"/>
    <d v="2024-03-12T00:00:00"/>
    <s v="Monthly"/>
    <d v="2024-06-03T00:00:00"/>
    <x v="1"/>
    <n v="79752"/>
    <n v="3811"/>
    <n v="36"/>
    <d v="2024-07-09T00:00:00"/>
    <x v="0"/>
    <x v="0"/>
    <x v="1"/>
    <n v="20.9268"/>
    <n v="83"/>
    <n v="2024"/>
    <s v="June"/>
  </r>
  <r>
    <s v="DINS-CLM-101920"/>
    <s v="DINS-CUS-501920"/>
    <s v="DINS-POL-201920"/>
    <x v="0"/>
    <x v="1"/>
    <x v="2"/>
    <x v="2"/>
    <x v="4"/>
    <d v="2024-01-28T00:00:00"/>
    <s v="Monthly"/>
    <d v="2024-05-10T00:00:00"/>
    <x v="2"/>
    <n v="34471"/>
    <n v="3239"/>
    <s v="N/A - Not Settled"/>
    <s v="N/A - Not Settled"/>
    <x v="1"/>
    <x v="1"/>
    <x v="2"/>
    <n v="10.6425"/>
    <n v="103"/>
    <n v="2024"/>
    <s v="May"/>
  </r>
  <r>
    <s v="DINS-CLM-101921"/>
    <s v="DINS-CUS-501921"/>
    <s v="DINS-POL-201921"/>
    <x v="2"/>
    <x v="0"/>
    <x v="2"/>
    <x v="0"/>
    <x v="0"/>
    <d v="2023-03-26T00:00:00"/>
    <s v="Annual"/>
    <d v="2024-01-17T00:00:00"/>
    <x v="1"/>
    <n v="29065"/>
    <n v="8297"/>
    <n v="6"/>
    <d v="2024-01-23T00:00:00"/>
    <x v="0"/>
    <x v="0"/>
    <x v="0"/>
    <n v="3.5030999999999999"/>
    <n v="297"/>
    <n v="2024"/>
    <s v="January"/>
  </r>
  <r>
    <s v="DINS-CLM-101922"/>
    <s v="DINS-CUS-501922"/>
    <s v="DINS-POL-201922"/>
    <x v="0"/>
    <x v="0"/>
    <x v="0"/>
    <x v="2"/>
    <x v="1"/>
    <d v="2023-11-30T00:00:00"/>
    <s v="Monthly"/>
    <d v="2024-05-11T00:00:00"/>
    <x v="0"/>
    <n v="17517"/>
    <n v="4043"/>
    <s v="N/A - Not Settled"/>
    <s v="N/A - Not Settled"/>
    <x v="0"/>
    <x v="0"/>
    <x v="2"/>
    <n v="4.3327"/>
    <n v="163"/>
    <n v="2024"/>
    <s v="May"/>
  </r>
  <r>
    <s v="DINS-CLM-101923"/>
    <s v="DINS-CUS-501923"/>
    <s v="DINS-POL-201923"/>
    <x v="0"/>
    <x v="1"/>
    <x v="2"/>
    <x v="1"/>
    <x v="7"/>
    <d v="2023-09-16T00:00:00"/>
    <s v="Annual"/>
    <d v="2024-05-09T00:00:00"/>
    <x v="0"/>
    <n v="39024"/>
    <n v="5551"/>
    <s v="N/A - Not Settled"/>
    <s v="N/A - Not Settled"/>
    <x v="0"/>
    <x v="0"/>
    <x v="0"/>
    <n v="7.0301"/>
    <n v="236"/>
    <n v="2024"/>
    <s v="May"/>
  </r>
  <r>
    <s v="DINS-CLM-101924"/>
    <s v="DINS-CUS-501924"/>
    <s v="DINS-POL-201924"/>
    <x v="2"/>
    <x v="0"/>
    <x v="0"/>
    <x v="0"/>
    <x v="3"/>
    <d v="2023-09-08T00:00:00"/>
    <s v="Monthly"/>
    <d v="2024-05-02T00:00:00"/>
    <x v="0"/>
    <n v="4660"/>
    <n v="2390"/>
    <s v="N/A - Not Settled"/>
    <s v="N/A - Not Settled"/>
    <x v="0"/>
    <x v="0"/>
    <x v="1"/>
    <n v="1.9498"/>
    <n v="237"/>
    <n v="2024"/>
    <s v="May"/>
  </r>
  <r>
    <s v="DINS-CLM-101925"/>
    <s v="DINS-CUS-501925"/>
    <s v="DINS-POL-201925"/>
    <x v="0"/>
    <x v="0"/>
    <x v="3"/>
    <x v="2"/>
    <x v="4"/>
    <d v="2023-10-17T00:00:00"/>
    <s v="Annual"/>
    <d v="2024-08-21T00:00:00"/>
    <x v="0"/>
    <n v="8905"/>
    <n v="1858"/>
    <s v="N/A - Not Settled"/>
    <s v="N/A - Not Settled"/>
    <x v="1"/>
    <x v="1"/>
    <x v="1"/>
    <n v="4.7927999999999997"/>
    <n v="309"/>
    <n v="2024"/>
    <s v="August"/>
  </r>
  <r>
    <s v="DINS-CLM-101926"/>
    <s v="DINS-CUS-501926"/>
    <s v="DINS-POL-201926"/>
    <x v="4"/>
    <x v="2"/>
    <x v="3"/>
    <x v="2"/>
    <x v="1"/>
    <d v="2023-02-17T00:00:00"/>
    <s v="Monthly"/>
    <d v="2024-01-23T00:00:00"/>
    <x v="0"/>
    <n v="2080"/>
    <n v="1495"/>
    <s v="N/A - Not Settled"/>
    <s v="N/A - Not Settled"/>
    <x v="0"/>
    <x v="0"/>
    <x v="1"/>
    <n v="1.3913"/>
    <n v="340"/>
    <n v="2024"/>
    <s v="January"/>
  </r>
  <r>
    <s v="DINS-CLM-101927"/>
    <s v="DINS-CUS-501927"/>
    <s v="DINS-POL-201927"/>
    <x v="0"/>
    <x v="0"/>
    <x v="5"/>
    <x v="0"/>
    <x v="2"/>
    <d v="2024-01-15T00:00:00"/>
    <s v="Annual"/>
    <d v="2024-07-30T00:00:00"/>
    <x v="0"/>
    <n v="23925"/>
    <n v="3367"/>
    <s v="N/A - Not Settled"/>
    <s v="N/A - Not Settled"/>
    <x v="0"/>
    <x v="0"/>
    <x v="2"/>
    <n v="7.1056999999999997"/>
    <n v="197"/>
    <n v="2024"/>
    <s v="July"/>
  </r>
  <r>
    <s v="DINS-CLM-101928"/>
    <s v="DINS-CUS-501928"/>
    <s v="DINS-POL-201928"/>
    <x v="4"/>
    <x v="0"/>
    <x v="4"/>
    <x v="2"/>
    <x v="4"/>
    <d v="2023-08-10T00:00:00"/>
    <s v="Monthly"/>
    <d v="2024-02-20T00:00:00"/>
    <x v="1"/>
    <n v="14372"/>
    <n v="7441"/>
    <n v="31"/>
    <d v="2024-03-22T00:00:00"/>
    <x v="0"/>
    <x v="0"/>
    <x v="2"/>
    <n v="1.9315"/>
    <n v="194"/>
    <n v="2024"/>
    <s v="February"/>
  </r>
  <r>
    <s v="DINS-CLM-101929"/>
    <s v="DINS-CUS-501929"/>
    <s v="DINS-POL-201929"/>
    <x v="4"/>
    <x v="0"/>
    <x v="0"/>
    <x v="2"/>
    <x v="4"/>
    <d v="2023-12-22T00:00:00"/>
    <s v="Annual"/>
    <d v="2024-04-21T00:00:00"/>
    <x v="0"/>
    <n v="7033"/>
    <n v="695"/>
    <s v="N/A - Not Settled"/>
    <s v="N/A - Not Settled"/>
    <x v="0"/>
    <x v="0"/>
    <x v="1"/>
    <n v="10.119400000000001"/>
    <n v="121"/>
    <n v="2024"/>
    <s v="April"/>
  </r>
  <r>
    <s v="DINS-CLM-101930"/>
    <s v="DINS-CUS-501930"/>
    <s v="DINS-POL-201930"/>
    <x v="2"/>
    <x v="0"/>
    <x v="1"/>
    <x v="1"/>
    <x v="2"/>
    <d v="2023-07-13T00:00:00"/>
    <s v="Annual"/>
    <d v="2024-05-31T00:00:00"/>
    <x v="0"/>
    <n v="38543"/>
    <n v="8236"/>
    <s v="N/A - Not Settled"/>
    <s v="N/A - Not Settled"/>
    <x v="0"/>
    <x v="0"/>
    <x v="1"/>
    <n v="4.6798000000000002"/>
    <n v="323"/>
    <n v="2024"/>
    <s v="May"/>
  </r>
  <r>
    <s v="DINS-CLM-101931"/>
    <s v="DINS-CUS-501931"/>
    <s v="DINS-POL-201931"/>
    <x v="3"/>
    <x v="2"/>
    <x v="1"/>
    <x v="1"/>
    <x v="2"/>
    <d v="2023-10-15T00:00:00"/>
    <s v="Annual"/>
    <d v="2024-07-26T00:00:00"/>
    <x v="2"/>
    <n v="85480"/>
    <n v="7747"/>
    <s v="N/A - Not Settled"/>
    <s v="N/A - Not Settled"/>
    <x v="0"/>
    <x v="0"/>
    <x v="2"/>
    <n v="11.033899999999999"/>
    <n v="285"/>
    <n v="2024"/>
    <s v="July"/>
  </r>
  <r>
    <s v="DINS-CLM-101932"/>
    <s v="DINS-CUS-501932"/>
    <s v="DINS-POL-201932"/>
    <x v="4"/>
    <x v="1"/>
    <x v="0"/>
    <x v="1"/>
    <x v="3"/>
    <d v="2024-04-08T00:00:00"/>
    <s v="Annual"/>
    <d v="2024-07-13T00:00:00"/>
    <x v="1"/>
    <n v="19370"/>
    <n v="6065"/>
    <n v="14"/>
    <d v="2024-07-27T00:00:00"/>
    <x v="0"/>
    <x v="0"/>
    <x v="2"/>
    <n v="3.1937000000000002"/>
    <n v="96"/>
    <n v="2024"/>
    <s v="July"/>
  </r>
  <r>
    <s v="DINS-CLM-101933"/>
    <s v="DINS-CUS-501933"/>
    <s v="DINS-POL-201933"/>
    <x v="1"/>
    <x v="2"/>
    <x v="1"/>
    <x v="2"/>
    <x v="3"/>
    <d v="2024-05-09T00:00:00"/>
    <s v="Annual"/>
    <d v="2024-08-06T00:00:00"/>
    <x v="1"/>
    <n v="31525"/>
    <n v="2698"/>
    <n v="17"/>
    <d v="2024-08-23T00:00:00"/>
    <x v="0"/>
    <x v="0"/>
    <x v="0"/>
    <n v="11.6846"/>
    <n v="89"/>
    <n v="2024"/>
    <s v="August"/>
  </r>
  <r>
    <s v="DINS-CLM-101934"/>
    <s v="DINS-CUS-501934"/>
    <s v="DINS-POL-201934"/>
    <x v="2"/>
    <x v="2"/>
    <x v="4"/>
    <x v="2"/>
    <x v="0"/>
    <d v="2023-04-18T00:00:00"/>
    <s v="Monthly"/>
    <d v="2024-03-31T00:00:00"/>
    <x v="1"/>
    <n v="11790"/>
    <n v="6912"/>
    <n v="6"/>
    <d v="2024-04-06T00:00:00"/>
    <x v="0"/>
    <x v="0"/>
    <x v="2"/>
    <n v="1.7057"/>
    <n v="348"/>
    <n v="2024"/>
    <s v="March"/>
  </r>
  <r>
    <s v="DINS-CLM-101935"/>
    <s v="DINS-CUS-501935"/>
    <s v="DINS-POL-201935"/>
    <x v="0"/>
    <x v="1"/>
    <x v="2"/>
    <x v="0"/>
    <x v="7"/>
    <d v="2024-07-03T00:00:00"/>
    <s v="Monthly"/>
    <d v="2024-12-27T00:00:00"/>
    <x v="1"/>
    <n v="19128"/>
    <n v="8803"/>
    <n v="18"/>
    <d v="2025-01-14T00:00:00"/>
    <x v="0"/>
    <x v="0"/>
    <x v="2"/>
    <n v="2.1728999999999998"/>
    <n v="177"/>
    <n v="2024"/>
    <s v="December"/>
  </r>
  <r>
    <s v="DINS-CLM-101936"/>
    <s v="DINS-CUS-501936"/>
    <s v="DINS-POL-201936"/>
    <x v="2"/>
    <x v="1"/>
    <x v="0"/>
    <x v="2"/>
    <x v="0"/>
    <d v="2023-07-08T00:00:00"/>
    <s v="Monthly"/>
    <d v="2024-02-17T00:00:00"/>
    <x v="2"/>
    <n v="28371"/>
    <n v="4992"/>
    <s v="N/A - Not Settled"/>
    <s v="N/A - Not Settled"/>
    <x v="1"/>
    <x v="1"/>
    <x v="2"/>
    <n v="5.6833"/>
    <n v="224"/>
    <n v="2024"/>
    <s v="February"/>
  </r>
  <r>
    <s v="DINS-CLM-101937"/>
    <s v="DINS-CUS-501937"/>
    <s v="DINS-POL-201937"/>
    <x v="2"/>
    <x v="1"/>
    <x v="1"/>
    <x v="2"/>
    <x v="2"/>
    <d v="2023-12-16T00:00:00"/>
    <s v="Annual"/>
    <d v="2024-11-28T00:00:00"/>
    <x v="1"/>
    <n v="17929"/>
    <n v="5485"/>
    <n v="14"/>
    <d v="2024-12-12T00:00:00"/>
    <x v="0"/>
    <x v="0"/>
    <x v="2"/>
    <n v="3.2686999999999999"/>
    <n v="348"/>
    <n v="2024"/>
    <s v="November"/>
  </r>
  <r>
    <s v="DINS-CLM-101938"/>
    <s v="DINS-CUS-501938"/>
    <s v="DINS-POL-201938"/>
    <x v="0"/>
    <x v="0"/>
    <x v="1"/>
    <x v="0"/>
    <x v="5"/>
    <d v="2024-07-30T00:00:00"/>
    <s v="Annual"/>
    <d v="2024-10-07T00:00:00"/>
    <x v="2"/>
    <n v="44855"/>
    <n v="7564"/>
    <s v="N/A - Not Settled"/>
    <s v="N/A - Not Settled"/>
    <x v="0"/>
    <x v="0"/>
    <x v="1"/>
    <n v="5.9301000000000004"/>
    <n v="69"/>
    <n v="2024"/>
    <s v="October"/>
  </r>
  <r>
    <s v="DINS-CLM-101939"/>
    <s v="DINS-CUS-501939"/>
    <s v="DINS-POL-201939"/>
    <x v="0"/>
    <x v="2"/>
    <x v="0"/>
    <x v="0"/>
    <x v="2"/>
    <d v="2024-01-11T00:00:00"/>
    <s v="Annual"/>
    <d v="2024-09-09T00:00:00"/>
    <x v="1"/>
    <n v="13760"/>
    <n v="6254"/>
    <n v="31"/>
    <d v="2024-10-10T00:00:00"/>
    <x v="0"/>
    <x v="0"/>
    <x v="0"/>
    <n v="2.2002000000000002"/>
    <n v="242"/>
    <n v="2024"/>
    <s v="September"/>
  </r>
  <r>
    <s v="DINS-CLM-101940"/>
    <s v="DINS-CUS-501940"/>
    <s v="DINS-POL-201940"/>
    <x v="4"/>
    <x v="1"/>
    <x v="0"/>
    <x v="2"/>
    <x v="6"/>
    <d v="2024-05-31T00:00:00"/>
    <s v="Monthly"/>
    <d v="2024-11-12T00:00:00"/>
    <x v="1"/>
    <n v="2684"/>
    <n v="8774"/>
    <n v="43"/>
    <d v="2024-12-25T00:00:00"/>
    <x v="0"/>
    <x v="0"/>
    <x v="1"/>
    <n v="0.30590000000000001"/>
    <n v="165"/>
    <n v="2024"/>
    <s v="November"/>
  </r>
  <r>
    <s v="DINS-CLM-101941"/>
    <s v="DINS-CUS-501941"/>
    <s v="DINS-POL-201941"/>
    <x v="0"/>
    <x v="0"/>
    <x v="3"/>
    <x v="2"/>
    <x v="6"/>
    <d v="2023-08-08T00:00:00"/>
    <s v="Monthly"/>
    <d v="2024-03-26T00:00:00"/>
    <x v="0"/>
    <n v="35188"/>
    <n v="6375"/>
    <s v="N/A - Not Settled"/>
    <s v="N/A - Not Settled"/>
    <x v="0"/>
    <x v="0"/>
    <x v="1"/>
    <n v="5.5197000000000003"/>
    <n v="231"/>
    <n v="2024"/>
    <s v="March"/>
  </r>
  <r>
    <s v="DINS-CLM-101942"/>
    <s v="DINS-CUS-501942"/>
    <s v="DINS-POL-201942"/>
    <x v="0"/>
    <x v="2"/>
    <x v="3"/>
    <x v="0"/>
    <x v="1"/>
    <d v="2023-07-24T00:00:00"/>
    <s v="Monthly"/>
    <d v="2024-06-01T00:00:00"/>
    <x v="1"/>
    <n v="32670"/>
    <n v="4872"/>
    <n v="28"/>
    <d v="2024-06-29T00:00:00"/>
    <x v="0"/>
    <x v="0"/>
    <x v="2"/>
    <n v="6.7057000000000002"/>
    <n v="313"/>
    <n v="2024"/>
    <s v="June"/>
  </r>
  <r>
    <s v="DINS-CLM-101943"/>
    <s v="DINS-CUS-501943"/>
    <s v="DINS-POL-201943"/>
    <x v="3"/>
    <x v="0"/>
    <x v="1"/>
    <x v="1"/>
    <x v="4"/>
    <d v="2023-02-16T00:00:00"/>
    <s v="Annual"/>
    <d v="2024-02-06T00:00:00"/>
    <x v="0"/>
    <n v="55474"/>
    <n v="6246"/>
    <s v="N/A - Not Settled"/>
    <s v="N/A - Not Settled"/>
    <x v="0"/>
    <x v="0"/>
    <x v="2"/>
    <n v="8.8815000000000008"/>
    <n v="355"/>
    <n v="2024"/>
    <s v="February"/>
  </r>
  <r>
    <s v="DINS-CLM-101944"/>
    <s v="DINS-CUS-501944"/>
    <s v="DINS-POL-201944"/>
    <x v="0"/>
    <x v="2"/>
    <x v="1"/>
    <x v="1"/>
    <x v="2"/>
    <d v="2023-07-14T00:00:00"/>
    <s v="Monthly"/>
    <d v="2024-06-28T00:00:00"/>
    <x v="1"/>
    <n v="58870"/>
    <n v="677"/>
    <n v="42"/>
    <d v="2024-08-09T00:00:00"/>
    <x v="0"/>
    <x v="0"/>
    <x v="0"/>
    <n v="86.9572"/>
    <n v="350"/>
    <n v="2024"/>
    <s v="June"/>
  </r>
  <r>
    <s v="DINS-CLM-101945"/>
    <s v="DINS-CUS-501945"/>
    <s v="DINS-POL-201945"/>
    <x v="4"/>
    <x v="2"/>
    <x v="3"/>
    <x v="0"/>
    <x v="4"/>
    <d v="2024-01-08T00:00:00"/>
    <s v="Annual"/>
    <d v="2024-05-04T00:00:00"/>
    <x v="0"/>
    <n v="6028"/>
    <n v="7477"/>
    <s v="N/A - Not Settled"/>
    <s v="N/A - Not Settled"/>
    <x v="0"/>
    <x v="0"/>
    <x v="1"/>
    <n v="0.80620000000000003"/>
    <n v="117"/>
    <n v="2024"/>
    <s v="May"/>
  </r>
  <r>
    <s v="DINS-CLM-101946"/>
    <s v="DINS-CUS-501946"/>
    <s v="DINS-POL-201946"/>
    <x v="0"/>
    <x v="1"/>
    <x v="0"/>
    <x v="0"/>
    <x v="1"/>
    <d v="2023-09-02T00:00:00"/>
    <s v="Annual"/>
    <d v="2024-01-12T00:00:00"/>
    <x v="1"/>
    <n v="30508"/>
    <n v="932"/>
    <n v="14"/>
    <d v="2024-01-26T00:00:00"/>
    <x v="0"/>
    <x v="0"/>
    <x v="0"/>
    <n v="32.733899999999998"/>
    <n v="132"/>
    <n v="2024"/>
    <s v="January"/>
  </r>
  <r>
    <s v="DINS-CLM-101947"/>
    <s v="DINS-CUS-501947"/>
    <s v="DINS-POL-201947"/>
    <x v="2"/>
    <x v="1"/>
    <x v="2"/>
    <x v="1"/>
    <x v="0"/>
    <d v="2023-10-26T00:00:00"/>
    <s v="Annual"/>
    <d v="2024-07-14T00:00:00"/>
    <x v="1"/>
    <n v="35856"/>
    <n v="6286"/>
    <n v="26"/>
    <d v="2024-08-09T00:00:00"/>
    <x v="0"/>
    <x v="0"/>
    <x v="0"/>
    <n v="5.7041000000000004"/>
    <n v="262"/>
    <n v="2024"/>
    <s v="July"/>
  </r>
  <r>
    <s v="DINS-CLM-101948"/>
    <s v="DINS-CUS-501948"/>
    <s v="DINS-POL-201948"/>
    <x v="0"/>
    <x v="0"/>
    <x v="0"/>
    <x v="0"/>
    <x v="1"/>
    <d v="2024-02-21T00:00:00"/>
    <s v="Monthly"/>
    <d v="2024-12-25T00:00:00"/>
    <x v="1"/>
    <n v="42655"/>
    <n v="3550"/>
    <n v="6"/>
    <d v="2024-12-31T00:00:00"/>
    <x v="0"/>
    <x v="0"/>
    <x v="1"/>
    <n v="12.015499999999999"/>
    <n v="308"/>
    <n v="2024"/>
    <s v="December"/>
  </r>
  <r>
    <s v="DINS-CLM-101949"/>
    <s v="DINS-CUS-501949"/>
    <s v="DINS-POL-201949"/>
    <x v="0"/>
    <x v="0"/>
    <x v="3"/>
    <x v="1"/>
    <x v="7"/>
    <d v="2023-09-04T00:00:00"/>
    <s v="Monthly"/>
    <d v="2024-04-12T00:00:00"/>
    <x v="0"/>
    <n v="47717"/>
    <n v="1962"/>
    <s v="N/A - Not Settled"/>
    <s v="N/A - Not Settled"/>
    <x v="1"/>
    <x v="0"/>
    <x v="1"/>
    <n v="24.320599999999999"/>
    <n v="221"/>
    <n v="2024"/>
    <s v="April"/>
  </r>
  <r>
    <s v="DINS-CLM-101950"/>
    <s v="DINS-CUS-501950"/>
    <s v="DINS-POL-201950"/>
    <x v="5"/>
    <x v="2"/>
    <x v="0"/>
    <x v="0"/>
    <x v="7"/>
    <d v="2024-09-13T00:00:00"/>
    <s v="Monthly"/>
    <d v="2024-11-17T00:00:00"/>
    <x v="0"/>
    <n v="56071"/>
    <n v="6281"/>
    <s v="N/A - Not Settled"/>
    <s v="N/A - Not Settled"/>
    <x v="0"/>
    <x v="0"/>
    <x v="0"/>
    <n v="8.9270999999999994"/>
    <n v="65"/>
    <n v="2024"/>
    <s v="November"/>
  </r>
  <r>
    <s v="DINS-CLM-101951"/>
    <s v="DINS-CUS-501951"/>
    <s v="DINS-POL-201951"/>
    <x v="4"/>
    <x v="1"/>
    <x v="5"/>
    <x v="0"/>
    <x v="7"/>
    <d v="2023-04-21T00:00:00"/>
    <s v="Monthly"/>
    <d v="2024-04-03T00:00:00"/>
    <x v="2"/>
    <n v="14443"/>
    <n v="4902"/>
    <s v="N/A - Not Settled"/>
    <s v="N/A - Not Settled"/>
    <x v="0"/>
    <x v="0"/>
    <x v="1"/>
    <n v="2.9462999999999999"/>
    <n v="348"/>
    <n v="2024"/>
    <s v="April"/>
  </r>
  <r>
    <s v="DINS-CLM-101952"/>
    <s v="DINS-CUS-501952"/>
    <s v="DINS-POL-201952"/>
    <x v="0"/>
    <x v="1"/>
    <x v="3"/>
    <x v="2"/>
    <x v="0"/>
    <d v="2023-12-12T00:00:00"/>
    <s v="Monthly"/>
    <d v="2024-10-25T00:00:00"/>
    <x v="0"/>
    <n v="11840"/>
    <n v="2920"/>
    <s v="N/A - Not Settled"/>
    <s v="N/A - Not Settled"/>
    <x v="0"/>
    <x v="0"/>
    <x v="1"/>
    <n v="4.0548000000000002"/>
    <n v="318"/>
    <n v="2024"/>
    <s v="October"/>
  </r>
  <r>
    <s v="DINS-CLM-101953"/>
    <s v="DINS-CUS-501953"/>
    <s v="DINS-POL-201953"/>
    <x v="0"/>
    <x v="0"/>
    <x v="3"/>
    <x v="2"/>
    <x v="6"/>
    <d v="2023-09-28T00:00:00"/>
    <s v="Monthly"/>
    <d v="2024-04-10T00:00:00"/>
    <x v="1"/>
    <n v="52721"/>
    <n v="7386"/>
    <n v="10"/>
    <d v="2024-04-20T00:00:00"/>
    <x v="0"/>
    <x v="0"/>
    <x v="2"/>
    <n v="7.1379999999999999"/>
    <n v="195"/>
    <n v="2024"/>
    <s v="April"/>
  </r>
  <r>
    <s v="DINS-CLM-101954"/>
    <s v="DINS-CUS-501954"/>
    <s v="DINS-POL-201954"/>
    <x v="2"/>
    <x v="0"/>
    <x v="2"/>
    <x v="1"/>
    <x v="5"/>
    <d v="2023-12-26T00:00:00"/>
    <s v="Annual"/>
    <d v="2024-01-31T00:00:00"/>
    <x v="1"/>
    <n v="3175"/>
    <n v="6570"/>
    <n v="17"/>
    <d v="2024-02-17T00:00:00"/>
    <x v="1"/>
    <x v="0"/>
    <x v="2"/>
    <n v="0.48330000000000001"/>
    <n v="36"/>
    <n v="2024"/>
    <s v="January"/>
  </r>
  <r>
    <s v="DINS-CLM-101955"/>
    <s v="DINS-CUS-501955"/>
    <s v="DINS-POL-201955"/>
    <x v="0"/>
    <x v="1"/>
    <x v="5"/>
    <x v="2"/>
    <x v="0"/>
    <d v="2024-06-04T00:00:00"/>
    <s v="Annual"/>
    <d v="2024-07-19T00:00:00"/>
    <x v="1"/>
    <n v="22793"/>
    <n v="1411"/>
    <n v="43"/>
    <d v="2024-08-31T00:00:00"/>
    <x v="0"/>
    <x v="0"/>
    <x v="1"/>
    <n v="16.1538"/>
    <n v="45"/>
    <n v="2024"/>
    <s v="July"/>
  </r>
  <r>
    <s v="DINS-CLM-101956"/>
    <s v="DINS-CUS-501956"/>
    <s v="DINS-POL-201956"/>
    <x v="3"/>
    <x v="1"/>
    <x v="3"/>
    <x v="2"/>
    <x v="2"/>
    <d v="2023-08-08T00:00:00"/>
    <s v="Annual"/>
    <d v="2024-07-10T00:00:00"/>
    <x v="1"/>
    <n v="61323"/>
    <n v="5979"/>
    <n v="28"/>
    <d v="2024-08-07T00:00:00"/>
    <x v="0"/>
    <x v="0"/>
    <x v="1"/>
    <n v="10.256399999999999"/>
    <n v="337"/>
    <n v="2024"/>
    <s v="July"/>
  </r>
  <r>
    <s v="DINS-CLM-101957"/>
    <s v="DINS-CUS-501957"/>
    <s v="DINS-POL-201957"/>
    <x v="2"/>
    <x v="0"/>
    <x v="4"/>
    <x v="0"/>
    <x v="4"/>
    <d v="2024-11-13T00:00:00"/>
    <s v="Monthly"/>
    <d v="2024-12-13T00:00:00"/>
    <x v="1"/>
    <n v="39034"/>
    <n v="4407"/>
    <n v="19"/>
    <d v="2025-01-01T00:00:00"/>
    <x v="1"/>
    <x v="0"/>
    <x v="1"/>
    <n v="8.8573000000000004"/>
    <n v="30"/>
    <n v="2024"/>
    <s v="December"/>
  </r>
  <r>
    <s v="DINS-CLM-101958"/>
    <s v="DINS-CUS-501958"/>
    <s v="DINS-POL-201958"/>
    <x v="1"/>
    <x v="0"/>
    <x v="4"/>
    <x v="0"/>
    <x v="5"/>
    <d v="2024-05-01T00:00:00"/>
    <s v="Monthly"/>
    <d v="2024-07-08T00:00:00"/>
    <x v="1"/>
    <n v="17296"/>
    <n v="1615"/>
    <n v="45"/>
    <d v="2024-08-22T00:00:00"/>
    <x v="1"/>
    <x v="1"/>
    <x v="0"/>
    <n v="10.7096"/>
    <n v="68"/>
    <n v="2024"/>
    <s v="July"/>
  </r>
  <r>
    <s v="DINS-CLM-101959"/>
    <s v="DINS-CUS-501959"/>
    <s v="DINS-POL-201959"/>
    <x v="0"/>
    <x v="0"/>
    <x v="1"/>
    <x v="1"/>
    <x v="3"/>
    <d v="2024-02-04T00:00:00"/>
    <s v="Monthly"/>
    <d v="2024-11-25T00:00:00"/>
    <x v="1"/>
    <n v="47049"/>
    <n v="6414"/>
    <n v="30"/>
    <d v="2024-12-25T00:00:00"/>
    <x v="0"/>
    <x v="0"/>
    <x v="1"/>
    <n v="7.3353999999999999"/>
    <n v="295"/>
    <n v="2024"/>
    <s v="November"/>
  </r>
  <r>
    <s v="DINS-CLM-101960"/>
    <s v="DINS-CUS-501960"/>
    <s v="DINS-POL-201960"/>
    <x v="0"/>
    <x v="1"/>
    <x v="5"/>
    <x v="0"/>
    <x v="3"/>
    <d v="2024-05-01T00:00:00"/>
    <s v="Monthly"/>
    <d v="2024-08-12T00:00:00"/>
    <x v="1"/>
    <n v="42927"/>
    <n v="8159"/>
    <n v="29"/>
    <d v="2024-09-10T00:00:00"/>
    <x v="0"/>
    <x v="0"/>
    <x v="1"/>
    <n v="5.2613000000000003"/>
    <n v="103"/>
    <n v="2024"/>
    <s v="August"/>
  </r>
  <r>
    <s v="DINS-CLM-101961"/>
    <s v="DINS-CUS-501961"/>
    <s v="DINS-POL-201961"/>
    <x v="1"/>
    <x v="1"/>
    <x v="4"/>
    <x v="0"/>
    <x v="6"/>
    <d v="2024-03-18T00:00:00"/>
    <s v="Annual"/>
    <d v="2024-06-19T00:00:00"/>
    <x v="0"/>
    <n v="54730"/>
    <n v="4118"/>
    <s v="N/A - Not Settled"/>
    <s v="N/A - Not Settled"/>
    <x v="0"/>
    <x v="0"/>
    <x v="1"/>
    <n v="13.2904"/>
    <n v="93"/>
    <n v="2024"/>
    <s v="June"/>
  </r>
  <r>
    <s v="DINS-CLM-101962"/>
    <s v="DINS-CUS-501962"/>
    <s v="DINS-POL-201962"/>
    <x v="0"/>
    <x v="2"/>
    <x v="2"/>
    <x v="0"/>
    <x v="2"/>
    <d v="2023-10-30T00:00:00"/>
    <s v="Monthly"/>
    <d v="2024-01-20T00:00:00"/>
    <x v="1"/>
    <n v="16630"/>
    <n v="1344"/>
    <n v="12"/>
    <d v="2024-02-01T00:00:00"/>
    <x v="0"/>
    <x v="0"/>
    <x v="2"/>
    <n v="12.3735"/>
    <n v="82"/>
    <n v="2024"/>
    <s v="January"/>
  </r>
  <r>
    <s v="DINS-CLM-101963"/>
    <s v="DINS-CUS-501963"/>
    <s v="DINS-POL-201963"/>
    <x v="2"/>
    <x v="0"/>
    <x v="2"/>
    <x v="0"/>
    <x v="3"/>
    <d v="2023-10-08T00:00:00"/>
    <s v="Monthly"/>
    <d v="2024-03-31T00:00:00"/>
    <x v="1"/>
    <n v="13992"/>
    <n v="7480"/>
    <n v="5"/>
    <d v="2024-04-05T00:00:00"/>
    <x v="0"/>
    <x v="0"/>
    <x v="2"/>
    <n v="1.8706"/>
    <n v="175"/>
    <n v="2024"/>
    <s v="March"/>
  </r>
  <r>
    <s v="DINS-CLM-101964"/>
    <s v="DINS-CUS-501964"/>
    <s v="DINS-POL-201964"/>
    <x v="2"/>
    <x v="0"/>
    <x v="3"/>
    <x v="2"/>
    <x v="4"/>
    <d v="2023-09-23T00:00:00"/>
    <s v="Annual"/>
    <d v="2024-06-21T00:00:00"/>
    <x v="0"/>
    <n v="4385"/>
    <n v="3927"/>
    <s v="N/A - Not Settled"/>
    <s v="N/A - Not Settled"/>
    <x v="0"/>
    <x v="0"/>
    <x v="1"/>
    <n v="1.1166"/>
    <n v="272"/>
    <n v="2024"/>
    <s v="June"/>
  </r>
  <r>
    <s v="DINS-CLM-101965"/>
    <s v="DINS-CUS-501965"/>
    <s v="DINS-POL-201965"/>
    <x v="5"/>
    <x v="0"/>
    <x v="1"/>
    <x v="2"/>
    <x v="2"/>
    <d v="2024-04-22T00:00:00"/>
    <s v="Annual"/>
    <d v="2024-10-21T00:00:00"/>
    <x v="1"/>
    <n v="69871"/>
    <n v="6053"/>
    <n v="35"/>
    <d v="2024-11-25T00:00:00"/>
    <x v="0"/>
    <x v="0"/>
    <x v="2"/>
    <n v="11.543200000000001"/>
    <n v="182"/>
    <n v="2024"/>
    <s v="October"/>
  </r>
  <r>
    <s v="DINS-CLM-101966"/>
    <s v="DINS-CUS-501966"/>
    <s v="DINS-POL-201966"/>
    <x v="1"/>
    <x v="0"/>
    <x v="2"/>
    <x v="1"/>
    <x v="5"/>
    <d v="2024-01-04T00:00:00"/>
    <s v="Monthly"/>
    <d v="2024-10-17T00:00:00"/>
    <x v="1"/>
    <n v="64330"/>
    <n v="7569"/>
    <n v="5"/>
    <d v="2024-10-22T00:00:00"/>
    <x v="1"/>
    <x v="1"/>
    <x v="2"/>
    <n v="8.4991000000000003"/>
    <n v="287"/>
    <n v="2024"/>
    <s v="October"/>
  </r>
  <r>
    <s v="DINS-CLM-101967"/>
    <s v="DINS-CUS-501967"/>
    <s v="DINS-POL-201967"/>
    <x v="5"/>
    <x v="1"/>
    <x v="2"/>
    <x v="1"/>
    <x v="4"/>
    <d v="2023-06-26T00:00:00"/>
    <s v="Monthly"/>
    <d v="2024-02-18T00:00:00"/>
    <x v="1"/>
    <n v="18266"/>
    <n v="7818"/>
    <n v="41"/>
    <d v="2024-03-30T00:00:00"/>
    <x v="0"/>
    <x v="0"/>
    <x v="2"/>
    <n v="2.3363999999999998"/>
    <n v="237"/>
    <n v="2024"/>
    <s v="February"/>
  </r>
  <r>
    <s v="DINS-CLM-101968"/>
    <s v="DINS-CUS-501968"/>
    <s v="DINS-POL-201968"/>
    <x v="4"/>
    <x v="2"/>
    <x v="4"/>
    <x v="2"/>
    <x v="6"/>
    <d v="2023-09-10T00:00:00"/>
    <s v="Monthly"/>
    <d v="2024-05-28T00:00:00"/>
    <x v="1"/>
    <n v="19103"/>
    <n v="520"/>
    <n v="37"/>
    <d v="2024-07-04T00:00:00"/>
    <x v="0"/>
    <x v="0"/>
    <x v="2"/>
    <n v="36.736499999999999"/>
    <n v="261"/>
    <n v="2024"/>
    <s v="May"/>
  </r>
  <r>
    <s v="DINS-CLM-101969"/>
    <s v="DINS-CUS-501969"/>
    <s v="DINS-POL-201969"/>
    <x v="0"/>
    <x v="0"/>
    <x v="2"/>
    <x v="0"/>
    <x v="4"/>
    <d v="2024-05-05T00:00:00"/>
    <s v="Monthly"/>
    <d v="2024-08-13T00:00:00"/>
    <x v="0"/>
    <n v="34624"/>
    <n v="1295"/>
    <s v="N/A - Not Settled"/>
    <s v="N/A - Not Settled"/>
    <x v="0"/>
    <x v="0"/>
    <x v="2"/>
    <n v="26.736699999999999"/>
    <n v="100"/>
    <n v="2024"/>
    <s v="August"/>
  </r>
  <r>
    <s v="DINS-CLM-101970"/>
    <s v="DINS-CUS-501970"/>
    <s v="DINS-POL-201970"/>
    <x v="0"/>
    <x v="1"/>
    <x v="0"/>
    <x v="1"/>
    <x v="7"/>
    <d v="2023-06-24T00:00:00"/>
    <s v="Monthly"/>
    <d v="2024-03-21T00:00:00"/>
    <x v="1"/>
    <n v="38616"/>
    <n v="4520"/>
    <n v="31"/>
    <d v="2024-04-21T00:00:00"/>
    <x v="0"/>
    <x v="0"/>
    <x v="0"/>
    <n v="8.5434000000000001"/>
    <n v="271"/>
    <n v="2024"/>
    <s v="March"/>
  </r>
  <r>
    <s v="DINS-CLM-101971"/>
    <s v="DINS-CUS-501971"/>
    <s v="DINS-POL-201971"/>
    <x v="0"/>
    <x v="1"/>
    <x v="3"/>
    <x v="1"/>
    <x v="4"/>
    <d v="2024-09-29T00:00:00"/>
    <s v="Monthly"/>
    <d v="2024-11-23T00:00:00"/>
    <x v="2"/>
    <n v="34180"/>
    <n v="8973"/>
    <s v="N/A - Not Settled"/>
    <s v="N/A - Not Settled"/>
    <x v="0"/>
    <x v="0"/>
    <x v="2"/>
    <n v="3.8092000000000001"/>
    <n v="55"/>
    <n v="2024"/>
    <s v="November"/>
  </r>
  <r>
    <s v="DINS-CLM-101972"/>
    <s v="DINS-CUS-501972"/>
    <s v="DINS-POL-201972"/>
    <x v="3"/>
    <x v="2"/>
    <x v="1"/>
    <x v="1"/>
    <x v="0"/>
    <d v="2023-08-27T00:00:00"/>
    <s v="Monthly"/>
    <d v="2024-07-09T00:00:00"/>
    <x v="0"/>
    <n v="27456"/>
    <n v="7701"/>
    <s v="N/A - Not Settled"/>
    <s v="N/A - Not Settled"/>
    <x v="0"/>
    <x v="0"/>
    <x v="0"/>
    <n v="3.5653000000000001"/>
    <n v="317"/>
    <n v="2024"/>
    <s v="July"/>
  </r>
  <r>
    <s v="DINS-CLM-101973"/>
    <s v="DINS-CUS-501973"/>
    <s v="DINS-POL-201973"/>
    <x v="4"/>
    <x v="2"/>
    <x v="5"/>
    <x v="2"/>
    <x v="5"/>
    <d v="2023-08-03T00:00:00"/>
    <s v="Monthly"/>
    <d v="2024-05-24T00:00:00"/>
    <x v="0"/>
    <n v="6508"/>
    <n v="3041"/>
    <s v="N/A - Not Settled"/>
    <s v="N/A - Not Settled"/>
    <x v="1"/>
    <x v="1"/>
    <x v="0"/>
    <n v="2.1400999999999999"/>
    <n v="295"/>
    <n v="2024"/>
    <s v="May"/>
  </r>
  <r>
    <s v="DINS-CLM-101974"/>
    <s v="DINS-CUS-501974"/>
    <s v="DINS-POL-201974"/>
    <x v="0"/>
    <x v="1"/>
    <x v="4"/>
    <x v="1"/>
    <x v="1"/>
    <d v="2024-03-24T00:00:00"/>
    <s v="Annual"/>
    <d v="2024-11-07T00:00:00"/>
    <x v="1"/>
    <n v="38410"/>
    <n v="2055"/>
    <n v="2"/>
    <d v="2024-11-09T00:00:00"/>
    <x v="1"/>
    <x v="0"/>
    <x v="0"/>
    <n v="18.690999999999999"/>
    <n v="228"/>
    <n v="2024"/>
    <s v="November"/>
  </r>
  <r>
    <s v="DINS-CLM-101975"/>
    <s v="DINS-CUS-501975"/>
    <s v="DINS-POL-201975"/>
    <x v="4"/>
    <x v="2"/>
    <x v="5"/>
    <x v="2"/>
    <x v="4"/>
    <d v="2023-07-22T00:00:00"/>
    <s v="Annual"/>
    <d v="2024-07-12T00:00:00"/>
    <x v="1"/>
    <n v="17914"/>
    <n v="5844"/>
    <n v="18"/>
    <d v="2024-07-30T00:00:00"/>
    <x v="0"/>
    <x v="0"/>
    <x v="0"/>
    <n v="3.0653999999999999"/>
    <n v="356"/>
    <n v="2024"/>
    <s v="July"/>
  </r>
  <r>
    <s v="DINS-CLM-101976"/>
    <s v="DINS-CUS-501976"/>
    <s v="DINS-POL-201976"/>
    <x v="2"/>
    <x v="2"/>
    <x v="0"/>
    <x v="2"/>
    <x v="6"/>
    <d v="2023-05-23T00:00:00"/>
    <s v="Annual"/>
    <d v="2024-04-25T00:00:00"/>
    <x v="0"/>
    <n v="36555"/>
    <n v="7090"/>
    <s v="N/A - Not Settled"/>
    <s v="N/A - Not Settled"/>
    <x v="0"/>
    <x v="0"/>
    <x v="2"/>
    <n v="5.1558999999999999"/>
    <n v="338"/>
    <n v="2024"/>
    <s v="April"/>
  </r>
  <r>
    <s v="DINS-CLM-101977"/>
    <s v="DINS-CUS-501977"/>
    <s v="DINS-POL-201977"/>
    <x v="3"/>
    <x v="0"/>
    <x v="3"/>
    <x v="2"/>
    <x v="1"/>
    <d v="2023-11-24T00:00:00"/>
    <s v="Monthly"/>
    <d v="2024-10-30T00:00:00"/>
    <x v="1"/>
    <n v="67690"/>
    <n v="1119"/>
    <n v="8"/>
    <d v="2024-11-07T00:00:00"/>
    <x v="1"/>
    <x v="0"/>
    <x v="1"/>
    <n v="60.491500000000002"/>
    <n v="341"/>
    <n v="2024"/>
    <s v="October"/>
  </r>
  <r>
    <s v="DINS-CLM-101978"/>
    <s v="DINS-CUS-501978"/>
    <s v="DINS-POL-201978"/>
    <x v="4"/>
    <x v="2"/>
    <x v="5"/>
    <x v="2"/>
    <x v="3"/>
    <d v="2024-01-05T00:00:00"/>
    <s v="Monthly"/>
    <d v="2024-10-26T00:00:00"/>
    <x v="1"/>
    <n v="13525"/>
    <n v="7191"/>
    <n v="35"/>
    <d v="2024-11-30T00:00:00"/>
    <x v="0"/>
    <x v="0"/>
    <x v="1"/>
    <n v="1.8808"/>
    <n v="295"/>
    <n v="2024"/>
    <s v="October"/>
  </r>
  <r>
    <s v="DINS-CLM-101979"/>
    <s v="DINS-CUS-501979"/>
    <s v="DINS-POL-201979"/>
    <x v="3"/>
    <x v="2"/>
    <x v="2"/>
    <x v="0"/>
    <x v="7"/>
    <d v="2023-09-21T00:00:00"/>
    <s v="Monthly"/>
    <d v="2024-06-16T00:00:00"/>
    <x v="1"/>
    <n v="82855"/>
    <n v="1936"/>
    <n v="25"/>
    <d v="2024-07-11T00:00:00"/>
    <x v="0"/>
    <x v="0"/>
    <x v="1"/>
    <n v="42.796999999999997"/>
    <n v="269"/>
    <n v="2024"/>
    <s v="June"/>
  </r>
  <r>
    <s v="DINS-CLM-101980"/>
    <s v="DINS-CUS-501980"/>
    <s v="DINS-POL-201980"/>
    <x v="3"/>
    <x v="0"/>
    <x v="0"/>
    <x v="2"/>
    <x v="1"/>
    <d v="2024-04-16T00:00:00"/>
    <s v="Annual"/>
    <d v="2024-11-10T00:00:00"/>
    <x v="0"/>
    <n v="51366"/>
    <n v="4033"/>
    <s v="N/A - Not Settled"/>
    <s v="N/A - Not Settled"/>
    <x v="0"/>
    <x v="0"/>
    <x v="2"/>
    <n v="12.7364"/>
    <n v="208"/>
    <n v="2024"/>
    <s v="November"/>
  </r>
  <r>
    <s v="DINS-CLM-101981"/>
    <s v="DINS-CUS-501981"/>
    <s v="DINS-POL-201981"/>
    <x v="1"/>
    <x v="1"/>
    <x v="2"/>
    <x v="0"/>
    <x v="1"/>
    <d v="2024-01-29T00:00:00"/>
    <s v="Monthly"/>
    <d v="2024-10-16T00:00:00"/>
    <x v="1"/>
    <n v="25968"/>
    <n v="7733"/>
    <n v="6"/>
    <d v="2024-10-22T00:00:00"/>
    <x v="0"/>
    <x v="0"/>
    <x v="0"/>
    <n v="3.3580999999999999"/>
    <n v="261"/>
    <n v="2024"/>
    <s v="October"/>
  </r>
  <r>
    <s v="DINS-CLM-101982"/>
    <s v="DINS-CUS-501982"/>
    <s v="DINS-POL-201982"/>
    <x v="4"/>
    <x v="1"/>
    <x v="4"/>
    <x v="2"/>
    <x v="3"/>
    <d v="2024-02-27T00:00:00"/>
    <s v="Annual"/>
    <d v="2024-12-06T00:00:00"/>
    <x v="2"/>
    <n v="19717"/>
    <n v="2077"/>
    <s v="N/A - Not Settled"/>
    <s v="N/A - Not Settled"/>
    <x v="0"/>
    <x v="0"/>
    <x v="0"/>
    <n v="9.4930000000000003"/>
    <n v="283"/>
    <n v="2024"/>
    <s v="December"/>
  </r>
  <r>
    <s v="DINS-CLM-101983"/>
    <s v="DINS-CUS-501983"/>
    <s v="DINS-POL-201983"/>
    <x v="3"/>
    <x v="0"/>
    <x v="2"/>
    <x v="0"/>
    <x v="7"/>
    <d v="2024-07-11T00:00:00"/>
    <s v="Monthly"/>
    <d v="2024-11-01T00:00:00"/>
    <x v="1"/>
    <n v="83823"/>
    <n v="1862"/>
    <n v="45"/>
    <d v="2024-12-16T00:00:00"/>
    <x v="0"/>
    <x v="0"/>
    <x v="1"/>
    <n v="45.017699999999998"/>
    <n v="113"/>
    <n v="2024"/>
    <s v="November"/>
  </r>
  <r>
    <s v="DINS-CLM-101984"/>
    <s v="DINS-CUS-501984"/>
    <s v="DINS-POL-201984"/>
    <x v="2"/>
    <x v="2"/>
    <x v="3"/>
    <x v="2"/>
    <x v="6"/>
    <d v="2023-12-29T00:00:00"/>
    <s v="Annual"/>
    <d v="2024-08-30T00:00:00"/>
    <x v="1"/>
    <n v="20451"/>
    <n v="7600"/>
    <n v="15"/>
    <d v="2024-09-14T00:00:00"/>
    <x v="0"/>
    <x v="0"/>
    <x v="1"/>
    <n v="2.6909000000000001"/>
    <n v="245"/>
    <n v="2024"/>
    <s v="August"/>
  </r>
  <r>
    <s v="DINS-CLM-101985"/>
    <s v="DINS-CUS-501985"/>
    <s v="DINS-POL-201985"/>
    <x v="5"/>
    <x v="1"/>
    <x v="3"/>
    <x v="2"/>
    <x v="0"/>
    <d v="2023-12-01T00:00:00"/>
    <s v="Monthly"/>
    <d v="2024-11-21T00:00:00"/>
    <x v="0"/>
    <n v="51919"/>
    <n v="873"/>
    <s v="N/A - Not Settled"/>
    <s v="N/A - Not Settled"/>
    <x v="0"/>
    <x v="0"/>
    <x v="1"/>
    <n v="59.471899999999998"/>
    <n v="356"/>
    <n v="2024"/>
    <s v="November"/>
  </r>
  <r>
    <s v="DINS-CLM-101986"/>
    <s v="DINS-CUS-501986"/>
    <s v="DINS-POL-201986"/>
    <x v="2"/>
    <x v="2"/>
    <x v="5"/>
    <x v="2"/>
    <x v="4"/>
    <d v="2024-10-29T00:00:00"/>
    <s v="Annual"/>
    <d v="2024-12-05T00:00:00"/>
    <x v="1"/>
    <n v="31284"/>
    <n v="3574"/>
    <n v="18"/>
    <d v="2024-12-23T00:00:00"/>
    <x v="0"/>
    <x v="0"/>
    <x v="2"/>
    <n v="8.7531999999999996"/>
    <n v="37"/>
    <n v="2024"/>
    <s v="December"/>
  </r>
  <r>
    <s v="DINS-CLM-101987"/>
    <s v="DINS-CUS-501987"/>
    <s v="DINS-POL-201987"/>
    <x v="3"/>
    <x v="2"/>
    <x v="1"/>
    <x v="1"/>
    <x v="5"/>
    <d v="2024-03-10T00:00:00"/>
    <s v="Monthly"/>
    <d v="2024-06-19T00:00:00"/>
    <x v="1"/>
    <n v="51346"/>
    <n v="2255"/>
    <n v="25"/>
    <d v="2024-07-14T00:00:00"/>
    <x v="0"/>
    <x v="0"/>
    <x v="0"/>
    <n v="22.7698"/>
    <n v="101"/>
    <n v="2024"/>
    <s v="June"/>
  </r>
  <r>
    <s v="DINS-CLM-101988"/>
    <s v="DINS-CUS-501988"/>
    <s v="DINS-POL-201988"/>
    <x v="5"/>
    <x v="1"/>
    <x v="3"/>
    <x v="1"/>
    <x v="2"/>
    <d v="2024-10-26T00:00:00"/>
    <s v="Annual"/>
    <d v="2024-12-07T00:00:00"/>
    <x v="0"/>
    <n v="23043"/>
    <n v="4927"/>
    <s v="N/A - Not Settled"/>
    <s v="N/A - Not Settled"/>
    <x v="1"/>
    <x v="1"/>
    <x v="2"/>
    <n v="4.6768999999999998"/>
    <n v="42"/>
    <n v="2024"/>
    <s v="December"/>
  </r>
  <r>
    <s v="DINS-CLM-101989"/>
    <s v="DINS-CUS-501989"/>
    <s v="DINS-POL-201989"/>
    <x v="0"/>
    <x v="1"/>
    <x v="0"/>
    <x v="0"/>
    <x v="3"/>
    <d v="2023-10-07T00:00:00"/>
    <s v="Annual"/>
    <d v="2024-06-11T00:00:00"/>
    <x v="1"/>
    <n v="57162"/>
    <n v="7184"/>
    <n v="10"/>
    <d v="2024-06-21T00:00:00"/>
    <x v="0"/>
    <x v="0"/>
    <x v="1"/>
    <n v="7.9568000000000003"/>
    <n v="248"/>
    <n v="2024"/>
    <s v="June"/>
  </r>
  <r>
    <s v="DINS-CLM-101990"/>
    <s v="DINS-CUS-501990"/>
    <s v="DINS-POL-201990"/>
    <x v="0"/>
    <x v="0"/>
    <x v="0"/>
    <x v="1"/>
    <x v="1"/>
    <d v="2024-02-17T00:00:00"/>
    <s v="Annual"/>
    <d v="2024-11-12T00:00:00"/>
    <x v="1"/>
    <n v="14852"/>
    <n v="3059"/>
    <n v="34"/>
    <d v="2024-12-16T00:00:00"/>
    <x v="0"/>
    <x v="0"/>
    <x v="0"/>
    <n v="4.8552"/>
    <n v="269"/>
    <n v="2024"/>
    <s v="November"/>
  </r>
  <r>
    <s v="DINS-CLM-101991"/>
    <s v="DINS-CUS-501991"/>
    <s v="DINS-POL-201991"/>
    <x v="3"/>
    <x v="0"/>
    <x v="2"/>
    <x v="1"/>
    <x v="5"/>
    <d v="2023-04-29T00:00:00"/>
    <s v="Annual"/>
    <d v="2024-04-25T00:00:00"/>
    <x v="1"/>
    <n v="55072"/>
    <n v="7251"/>
    <n v="45"/>
    <d v="2024-06-09T00:00:00"/>
    <x v="0"/>
    <x v="0"/>
    <x v="0"/>
    <n v="7.5951000000000004"/>
    <n v="362"/>
    <n v="2024"/>
    <s v="April"/>
  </r>
  <r>
    <s v="DINS-CLM-101992"/>
    <s v="DINS-CUS-501992"/>
    <s v="DINS-POL-201992"/>
    <x v="0"/>
    <x v="1"/>
    <x v="5"/>
    <x v="1"/>
    <x v="7"/>
    <d v="2023-07-22T00:00:00"/>
    <s v="Monthly"/>
    <d v="2024-04-28T00:00:00"/>
    <x v="1"/>
    <n v="43122"/>
    <n v="7808"/>
    <n v="30"/>
    <d v="2024-05-28T00:00:00"/>
    <x v="1"/>
    <x v="0"/>
    <x v="0"/>
    <n v="5.5228000000000002"/>
    <n v="281"/>
    <n v="2024"/>
    <s v="April"/>
  </r>
  <r>
    <s v="DINS-CLM-101993"/>
    <s v="DINS-CUS-501993"/>
    <s v="DINS-POL-201993"/>
    <x v="2"/>
    <x v="0"/>
    <x v="2"/>
    <x v="0"/>
    <x v="2"/>
    <d v="2024-07-04T00:00:00"/>
    <s v="Annual"/>
    <d v="2024-12-19T00:00:00"/>
    <x v="0"/>
    <n v="21436"/>
    <n v="5145"/>
    <s v="N/A - Not Settled"/>
    <s v="N/A - Not Settled"/>
    <x v="0"/>
    <x v="0"/>
    <x v="1"/>
    <n v="4.1664000000000003"/>
    <n v="168"/>
    <n v="2024"/>
    <s v="December"/>
  </r>
  <r>
    <s v="DINS-CLM-101994"/>
    <s v="DINS-CUS-501994"/>
    <s v="DINS-POL-201994"/>
    <x v="3"/>
    <x v="2"/>
    <x v="5"/>
    <x v="0"/>
    <x v="0"/>
    <d v="2023-11-13T00:00:00"/>
    <s v="Monthly"/>
    <d v="2024-10-20T00:00:00"/>
    <x v="0"/>
    <n v="82053"/>
    <n v="6071"/>
    <s v="N/A - Not Settled"/>
    <s v="N/A - Not Settled"/>
    <x v="0"/>
    <x v="0"/>
    <x v="0"/>
    <n v="13.515599999999999"/>
    <n v="342"/>
    <n v="2024"/>
    <s v="October"/>
  </r>
  <r>
    <s v="DINS-CLM-101995"/>
    <s v="DINS-CUS-501995"/>
    <s v="DINS-POL-201995"/>
    <x v="0"/>
    <x v="0"/>
    <x v="0"/>
    <x v="0"/>
    <x v="1"/>
    <d v="2023-05-08T00:00:00"/>
    <s v="Annual"/>
    <d v="2024-01-13T00:00:00"/>
    <x v="1"/>
    <n v="58274"/>
    <n v="4437"/>
    <n v="37"/>
    <d v="2024-02-19T00:00:00"/>
    <x v="0"/>
    <x v="0"/>
    <x v="1"/>
    <n v="13.133599999999999"/>
    <n v="250"/>
    <n v="2024"/>
    <s v="January"/>
  </r>
  <r>
    <s v="DINS-CLM-101996"/>
    <s v="DINS-CUS-501996"/>
    <s v="DINS-POL-201996"/>
    <x v="4"/>
    <x v="0"/>
    <x v="0"/>
    <x v="1"/>
    <x v="6"/>
    <d v="2023-07-15T00:00:00"/>
    <s v="Annual"/>
    <d v="2024-07-10T00:00:00"/>
    <x v="1"/>
    <n v="2762"/>
    <n v="1782"/>
    <n v="14"/>
    <d v="2024-07-24T00:00:00"/>
    <x v="1"/>
    <x v="0"/>
    <x v="2"/>
    <n v="1.5499000000000001"/>
    <n v="361"/>
    <n v="2024"/>
    <s v="July"/>
  </r>
  <r>
    <s v="DINS-CLM-101997"/>
    <s v="DINS-CUS-501997"/>
    <s v="DINS-POL-201997"/>
    <x v="0"/>
    <x v="0"/>
    <x v="0"/>
    <x v="1"/>
    <x v="1"/>
    <d v="2023-10-02T00:00:00"/>
    <s v="Annual"/>
    <d v="2024-09-19T00:00:00"/>
    <x v="1"/>
    <n v="33179"/>
    <n v="5455"/>
    <n v="2"/>
    <d v="2024-09-21T00:00:00"/>
    <x v="0"/>
    <x v="0"/>
    <x v="2"/>
    <n v="6.0823"/>
    <n v="353"/>
    <n v="2024"/>
    <s v="September"/>
  </r>
  <r>
    <s v="DINS-CLM-101998"/>
    <s v="DINS-CUS-501998"/>
    <s v="DINS-POL-201998"/>
    <x v="2"/>
    <x v="0"/>
    <x v="3"/>
    <x v="1"/>
    <x v="7"/>
    <d v="2023-11-26T00:00:00"/>
    <s v="Monthly"/>
    <d v="2024-01-22T00:00:00"/>
    <x v="1"/>
    <n v="16902"/>
    <n v="5306"/>
    <n v="41"/>
    <d v="2024-03-03T00:00:00"/>
    <x v="0"/>
    <x v="0"/>
    <x v="0"/>
    <n v="3.1855000000000002"/>
    <n v="57"/>
    <n v="2024"/>
    <s v="January"/>
  </r>
  <r>
    <s v="DINS-CLM-101999"/>
    <s v="DINS-CUS-501999"/>
    <s v="DINS-POL-201999"/>
    <x v="3"/>
    <x v="2"/>
    <x v="3"/>
    <x v="0"/>
    <x v="6"/>
    <d v="2023-11-27T00:00:00"/>
    <s v="Monthly"/>
    <d v="2024-04-02T00:00:00"/>
    <x v="1"/>
    <n v="20460"/>
    <n v="8715"/>
    <n v="15"/>
    <d v="2024-04-17T00:00:00"/>
    <x v="0"/>
    <x v="0"/>
    <x v="0"/>
    <n v="2.3477000000000001"/>
    <n v="127"/>
    <n v="2024"/>
    <s v="Apr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FC0E35-2256-4663-A80F-D24ADC46C927}" name="PivotTable20"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C4:AG7" firstHeaderRow="1" firstDataRow="2" firstDataCol="1"/>
  <pivotFields count="23">
    <pivotField dataField="1" showAll="0"/>
    <pivotField showAll="0"/>
    <pivotField showAll="0"/>
    <pivotField showAll="0">
      <items count="13">
        <item x="3"/>
        <item m="1" x="9"/>
        <item x="2"/>
        <item m="1" x="8"/>
        <item x="5"/>
        <item m="1" x="11"/>
        <item x="1"/>
        <item m="1" x="7"/>
        <item x="0"/>
        <item m="1" x="6"/>
        <item x="4"/>
        <item m="1" x="10"/>
        <item t="default"/>
      </items>
    </pivotField>
    <pivotField showAll="0">
      <items count="4">
        <item x="2"/>
        <item x="0"/>
        <item h="1" x="1"/>
        <item t="default"/>
      </items>
    </pivotField>
    <pivotField showAll="0">
      <items count="8">
        <item x="3"/>
        <item x="1"/>
        <item x="5"/>
        <item x="4"/>
        <item x="2"/>
        <item m="1" x="6"/>
        <item x="0"/>
        <item t="default"/>
      </items>
    </pivotField>
    <pivotField showAll="0"/>
    <pivotField showAll="0"/>
    <pivotField numFmtId="164" showAll="0"/>
    <pivotField showAll="0"/>
    <pivotField numFmtId="164" showAll="0"/>
    <pivotField axis="axisRow" showAll="0">
      <items count="4">
        <item h="1" x="1"/>
        <item h="1" x="2"/>
        <item x="0"/>
        <item t="default"/>
      </items>
    </pivotField>
    <pivotField numFmtId="3" showAll="0"/>
    <pivotField numFmtId="3" showAll="0"/>
    <pivotField showAll="0"/>
    <pivotField showAll="0"/>
    <pivotField showAll="0"/>
    <pivotField showAll="0"/>
    <pivotField axis="axisCol" showAll="0">
      <items count="4">
        <item x="0"/>
        <item x="2"/>
        <item x="1"/>
        <item t="default"/>
      </items>
    </pivotField>
    <pivotField numFmtId="2" showAll="0"/>
    <pivotField numFmtId="3" showAll="0"/>
    <pivotField numFmtId="3" showAll="0"/>
    <pivotField showAll="0"/>
  </pivotFields>
  <rowFields count="1">
    <field x="11"/>
  </rowFields>
  <rowItems count="2">
    <i>
      <x v="2"/>
    </i>
    <i t="grand">
      <x/>
    </i>
  </rowItems>
  <colFields count="1">
    <field x="18"/>
  </colFields>
  <colItems count="4">
    <i>
      <x/>
    </i>
    <i>
      <x v="1"/>
    </i>
    <i>
      <x v="2"/>
    </i>
    <i t="grand">
      <x/>
    </i>
  </colItems>
  <dataFields count="1">
    <dataField name="Count of Clai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13BA88-13D4-4C58-B813-CB157743BDFE}" name="PivotTable1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W15:X19" firstHeaderRow="1" firstDataRow="1" firstDataCol="1"/>
  <pivotFields count="23">
    <pivotField showAll="0"/>
    <pivotField showAll="0"/>
    <pivotField showAll="0"/>
    <pivotField showAll="0">
      <items count="13">
        <item x="3"/>
        <item m="1" x="9"/>
        <item x="2"/>
        <item m="1" x="8"/>
        <item x="5"/>
        <item m="1" x="11"/>
        <item x="1"/>
        <item m="1" x="7"/>
        <item x="0"/>
        <item m="1" x="6"/>
        <item x="4"/>
        <item m="1" x="10"/>
        <item t="default"/>
      </items>
    </pivotField>
    <pivotField showAll="0">
      <items count="4">
        <item x="2"/>
        <item x="0"/>
        <item h="1" x="1"/>
        <item t="default"/>
      </items>
    </pivotField>
    <pivotField showAll="0">
      <items count="8">
        <item x="3"/>
        <item x="1"/>
        <item x="5"/>
        <item x="4"/>
        <item x="2"/>
        <item m="1" x="6"/>
        <item x="0"/>
        <item t="default"/>
      </items>
    </pivotField>
    <pivotField axis="axisRow" dataField="1" showAll="0">
      <items count="4">
        <item x="0"/>
        <item x="1"/>
        <item x="2"/>
        <item t="default"/>
      </items>
    </pivotField>
    <pivotField showAll="0"/>
    <pivotField numFmtId="164" showAll="0"/>
    <pivotField showAll="0"/>
    <pivotField numFmtId="164" showAll="0"/>
    <pivotField showAll="0">
      <items count="4">
        <item h="1" x="1"/>
        <item h="1" x="2"/>
        <item x="0"/>
        <item t="default"/>
      </items>
    </pivotField>
    <pivotField numFmtId="3" showAll="0"/>
    <pivotField numFmtId="3" showAll="0"/>
    <pivotField showAll="0"/>
    <pivotField showAll="0"/>
    <pivotField showAll="0"/>
    <pivotField showAll="0"/>
    <pivotField showAll="0"/>
    <pivotField numFmtId="2" showAll="0"/>
    <pivotField numFmtId="3" showAll="0"/>
    <pivotField numFmtId="3" showAll="0"/>
    <pivotField showAll="0"/>
  </pivotFields>
  <rowFields count="1">
    <field x="6"/>
  </rowFields>
  <rowItems count="4">
    <i>
      <x/>
    </i>
    <i>
      <x v="1"/>
    </i>
    <i>
      <x v="2"/>
    </i>
    <i t="grand">
      <x/>
    </i>
  </rowItems>
  <colItems count="1">
    <i/>
  </colItems>
  <dataFields count="1">
    <dataField name="Count of Claim_Channel" fld="6" subtotal="count" baseField="0" baseItem="0"/>
  </dataFields>
  <chartFormats count="4">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6" count="1" selected="0">
            <x v="0"/>
          </reference>
        </references>
      </pivotArea>
    </chartFormat>
    <chartFormat chart="14" format="2">
      <pivotArea type="data" outline="0" fieldPosition="0">
        <references count="2">
          <reference field="4294967294" count="1" selected="0">
            <x v="0"/>
          </reference>
          <reference field="6" count="1" selected="0">
            <x v="1"/>
          </reference>
        </references>
      </pivotArea>
    </chartFormat>
    <chartFormat chart="14"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91E38A-A42B-4EEF-A5FA-B212FA156974}" name="PivotTable1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4:T11" firstHeaderRow="0" firstDataRow="1" firstDataCol="1"/>
  <pivotFields count="23">
    <pivotField showAll="0"/>
    <pivotField showAll="0"/>
    <pivotField showAll="0"/>
    <pivotField axis="axisRow" showAll="0">
      <items count="13">
        <item m="1" x="9"/>
        <item m="1" x="8"/>
        <item m="1" x="11"/>
        <item m="1" x="7"/>
        <item m="1" x="6"/>
        <item m="1" x="10"/>
        <item x="0"/>
        <item x="1"/>
        <item x="2"/>
        <item x="3"/>
        <item x="4"/>
        <item x="5"/>
        <item t="default"/>
      </items>
    </pivotField>
    <pivotField showAll="0">
      <items count="4">
        <item x="2"/>
        <item x="0"/>
        <item h="1" x="1"/>
        <item t="default"/>
      </items>
    </pivotField>
    <pivotField showAll="0">
      <items count="8">
        <item x="3"/>
        <item x="1"/>
        <item x="5"/>
        <item x="4"/>
        <item x="2"/>
        <item m="1" x="6"/>
        <item x="0"/>
        <item t="default"/>
      </items>
    </pivotField>
    <pivotField showAll="0"/>
    <pivotField showAll="0"/>
    <pivotField numFmtId="164" showAll="0"/>
    <pivotField showAll="0"/>
    <pivotField numFmtId="164" showAll="0"/>
    <pivotField showAll="0">
      <items count="4">
        <item h="1" x="1"/>
        <item h="1" x="2"/>
        <item x="0"/>
        <item t="default"/>
      </items>
    </pivotField>
    <pivotField dataField="1" numFmtId="3" showAll="0"/>
    <pivotField dataField="1" numFmtId="3" showAll="0"/>
    <pivotField showAll="0"/>
    <pivotField showAll="0"/>
    <pivotField showAll="0"/>
    <pivotField showAll="0"/>
    <pivotField showAll="0"/>
    <pivotField numFmtId="2" showAll="0"/>
    <pivotField numFmtId="3" showAll="0"/>
    <pivotField numFmtId="3" showAll="0"/>
    <pivotField showAll="0"/>
  </pivotFields>
  <rowFields count="1">
    <field x="3"/>
  </rowFields>
  <rowItems count="7">
    <i>
      <x v="6"/>
    </i>
    <i>
      <x v="7"/>
    </i>
    <i>
      <x v="8"/>
    </i>
    <i>
      <x v="9"/>
    </i>
    <i>
      <x v="10"/>
    </i>
    <i>
      <x v="11"/>
    </i>
    <i t="grand">
      <x/>
    </i>
  </rowItems>
  <colFields count="1">
    <field x="-2"/>
  </colFields>
  <colItems count="2">
    <i>
      <x/>
    </i>
    <i i="1">
      <x v="1"/>
    </i>
  </colItems>
  <dataFields count="2">
    <dataField name="Claim Amount" fld="12" baseField="3" baseItem="6" numFmtId="3"/>
    <dataField name="Premium Amount" fld="13" baseField="3" baseItem="6" numFmtId="3"/>
  </dataField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548BB0-0D25-466B-86EF-7E7063841D2E}" name="PivotTable16" cacheId="2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O4:P7" firstHeaderRow="1" firstDataRow="1" firstDataCol="1"/>
  <pivotFields count="23">
    <pivotField dataField="1" showAll="0"/>
    <pivotField showAll="0"/>
    <pivotField showAll="0"/>
    <pivotField showAll="0">
      <items count="13">
        <item x="3"/>
        <item m="1" x="9"/>
        <item x="2"/>
        <item m="1" x="8"/>
        <item x="5"/>
        <item m="1" x="11"/>
        <item x="1"/>
        <item m="1" x="7"/>
        <item x="0"/>
        <item m="1" x="6"/>
        <item x="4"/>
        <item m="1" x="10"/>
        <item t="default"/>
      </items>
    </pivotField>
    <pivotField showAll="0">
      <items count="4">
        <item x="2"/>
        <item x="0"/>
        <item h="1" x="1"/>
        <item t="default"/>
      </items>
    </pivotField>
    <pivotField showAll="0">
      <items count="8">
        <item x="3"/>
        <item x="1"/>
        <item x="5"/>
        <item x="4"/>
        <item x="2"/>
        <item m="1" x="6"/>
        <item x="0"/>
        <item t="default"/>
      </items>
    </pivotField>
    <pivotField showAll="0"/>
    <pivotField showAll="0"/>
    <pivotField numFmtId="164" showAll="0"/>
    <pivotField showAll="0"/>
    <pivotField numFmtId="164" showAll="0"/>
    <pivotField showAll="0">
      <items count="4">
        <item h="1" x="1"/>
        <item h="1" x="2"/>
        <item x="0"/>
        <item t="default"/>
      </items>
    </pivotField>
    <pivotField numFmtId="3" showAll="0"/>
    <pivotField numFmtId="3" showAll="0"/>
    <pivotField showAll="0"/>
    <pivotField showAll="0"/>
    <pivotField showAll="0"/>
    <pivotField axis="axisRow" showAll="0">
      <items count="3">
        <item x="0"/>
        <item x="1"/>
        <item t="default"/>
      </items>
    </pivotField>
    <pivotField showAll="0"/>
    <pivotField numFmtId="2" showAll="0"/>
    <pivotField numFmtId="3" showAll="0"/>
    <pivotField numFmtId="3" showAll="0"/>
    <pivotField showAll="0"/>
  </pivotFields>
  <rowFields count="1">
    <field x="17"/>
  </rowFields>
  <rowItems count="3">
    <i>
      <x/>
    </i>
    <i>
      <x v="1"/>
    </i>
    <i t="grand">
      <x/>
    </i>
  </rowItems>
  <colItems count="1">
    <i/>
  </colItems>
  <dataFields count="1">
    <dataField name="Count of Claim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2A94D5-0F8E-46B7-9795-521A961150D1}"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F11" firstHeaderRow="1" firstDataRow="2" firstDataCol="1"/>
  <pivotFields count="23">
    <pivotField dataField="1" showAll="0"/>
    <pivotField showAll="0"/>
    <pivotField showAll="0"/>
    <pivotField showAll="0">
      <items count="13">
        <item x="3"/>
        <item m="1" x="9"/>
        <item x="2"/>
        <item m="1" x="8"/>
        <item x="5"/>
        <item m="1" x="11"/>
        <item x="1"/>
        <item m="1" x="7"/>
        <item x="0"/>
        <item m="1" x="6"/>
        <item x="4"/>
        <item m="1" x="10"/>
        <item t="default"/>
      </items>
    </pivotField>
    <pivotField showAll="0">
      <items count="4">
        <item x="2"/>
        <item x="0"/>
        <item h="1" x="1"/>
        <item t="default"/>
      </items>
    </pivotField>
    <pivotField axis="axisRow" showAll="0">
      <items count="8">
        <item x="3"/>
        <item x="1"/>
        <item x="5"/>
        <item x="4"/>
        <item m="1" x="6"/>
        <item x="0"/>
        <item x="2"/>
        <item t="default"/>
      </items>
    </pivotField>
    <pivotField showAll="0"/>
    <pivotField showAll="0"/>
    <pivotField numFmtId="164" showAll="0"/>
    <pivotField showAll="0"/>
    <pivotField numFmtId="164" showAll="0"/>
    <pivotField axis="axisCol" showAll="0">
      <items count="4">
        <item h="1" x="1"/>
        <item h="1" x="2"/>
        <item x="0"/>
        <item t="default"/>
      </items>
    </pivotField>
    <pivotField numFmtId="3" showAll="0"/>
    <pivotField numFmtId="3" showAll="0"/>
    <pivotField showAll="0"/>
    <pivotField showAll="0"/>
    <pivotField showAll="0"/>
    <pivotField showAll="0"/>
    <pivotField showAll="0"/>
    <pivotField numFmtId="2" showAll="0"/>
    <pivotField numFmtId="3" showAll="0"/>
    <pivotField numFmtId="3" showAll="0"/>
    <pivotField showAll="0"/>
  </pivotFields>
  <rowFields count="1">
    <field x="5"/>
  </rowFields>
  <rowItems count="7">
    <i>
      <x/>
    </i>
    <i>
      <x v="1"/>
    </i>
    <i>
      <x v="2"/>
    </i>
    <i>
      <x v="3"/>
    </i>
    <i>
      <x v="5"/>
    </i>
    <i>
      <x v="6"/>
    </i>
    <i t="grand">
      <x/>
    </i>
  </rowItems>
  <colFields count="1">
    <field x="11"/>
  </colFields>
  <colItems count="2">
    <i>
      <x v="2"/>
    </i>
    <i t="grand">
      <x/>
    </i>
  </colItems>
  <dataFields count="1">
    <dataField name="Count of Claim_ID" fld="0" subtotal="count" baseField="5" baseItem="0"/>
  </dataFields>
  <chartFormats count="4">
    <chartFormat chart="14" format="6" series="1">
      <pivotArea type="data" outline="0" fieldPosition="0">
        <references count="2">
          <reference field="4294967294" count="1" selected="0">
            <x v="0"/>
          </reference>
          <reference field="11" count="1" selected="0">
            <x v="0"/>
          </reference>
        </references>
      </pivotArea>
    </chartFormat>
    <chartFormat chart="14" format="7" series="1">
      <pivotArea type="data" outline="0" fieldPosition="0">
        <references count="2">
          <reference field="4294967294" count="1" selected="0">
            <x v="0"/>
          </reference>
          <reference field="11" count="1" selected="0">
            <x v="1"/>
          </reference>
        </references>
      </pivotArea>
    </chartFormat>
    <chartFormat chart="14" format="8" series="1">
      <pivotArea type="data" outline="0" fieldPosition="0">
        <references count="2">
          <reference field="4294967294" count="1" selected="0">
            <x v="0"/>
          </reference>
          <reference field="11" count="1" selected="0">
            <x v="2"/>
          </reference>
        </references>
      </pivotArea>
    </chartFormat>
    <chartFormat chart="1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6E8ED7-4D5B-4C64-B91A-00E30981272C}" name="PivotTable19"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4:AA8" firstHeaderRow="1" firstDataRow="2" firstDataCol="1"/>
  <pivotFields count="23">
    <pivotField dataField="1" showAll="0"/>
    <pivotField showAll="0"/>
    <pivotField showAll="0"/>
    <pivotField showAll="0">
      <items count="13">
        <item x="3"/>
        <item m="1" x="9"/>
        <item x="2"/>
        <item m="1" x="8"/>
        <item x="5"/>
        <item m="1" x="11"/>
        <item x="1"/>
        <item m="1" x="7"/>
        <item x="0"/>
        <item m="1" x="6"/>
        <item x="4"/>
        <item m="1" x="10"/>
        <item t="default"/>
      </items>
    </pivotField>
    <pivotField axis="axisRow" showAll="0">
      <items count="4">
        <item x="2"/>
        <item x="0"/>
        <item h="1" x="1"/>
        <item t="default"/>
      </items>
    </pivotField>
    <pivotField showAll="0">
      <items count="8">
        <item x="3"/>
        <item x="1"/>
        <item x="5"/>
        <item x="4"/>
        <item x="2"/>
        <item m="1" x="6"/>
        <item x="0"/>
        <item t="default"/>
      </items>
    </pivotField>
    <pivotField showAll="0"/>
    <pivotField showAll="0"/>
    <pivotField numFmtId="164" showAll="0"/>
    <pivotField showAll="0"/>
    <pivotField numFmtId="164" showAll="0"/>
    <pivotField showAll="0">
      <items count="4">
        <item h="1" x="1"/>
        <item h="1" x="2"/>
        <item x="0"/>
        <item t="default"/>
      </items>
    </pivotField>
    <pivotField numFmtId="3" showAll="0"/>
    <pivotField numFmtId="3" showAll="0"/>
    <pivotField showAll="0"/>
    <pivotField showAll="0"/>
    <pivotField showAll="0"/>
    <pivotField showAll="0"/>
    <pivotField axis="axisCol" showAll="0">
      <items count="4">
        <item x="0"/>
        <item x="2"/>
        <item x="1"/>
        <item t="default"/>
      </items>
    </pivotField>
    <pivotField numFmtId="2" showAll="0"/>
    <pivotField numFmtId="3" showAll="0"/>
    <pivotField numFmtId="3" showAll="0"/>
    <pivotField showAll="0"/>
  </pivotFields>
  <rowFields count="1">
    <field x="4"/>
  </rowFields>
  <rowItems count="3">
    <i>
      <x/>
    </i>
    <i>
      <x v="1"/>
    </i>
    <i t="grand">
      <x/>
    </i>
  </rowItems>
  <colFields count="1">
    <field x="18"/>
  </colFields>
  <colItems count="4">
    <i>
      <x/>
    </i>
    <i>
      <x v="1"/>
    </i>
    <i>
      <x v="2"/>
    </i>
    <i t="grand">
      <x/>
    </i>
  </colItems>
  <dataFields count="1">
    <dataField name="Count of Claim_ID" fld="0" subtotal="count" baseField="0" baseItem="0"/>
  </dataFields>
  <chartFormats count="6">
    <chartFormat chart="8" format="9" series="1">
      <pivotArea type="data" outline="0" fieldPosition="0">
        <references count="2">
          <reference field="4294967294" count="1" selected="0">
            <x v="0"/>
          </reference>
          <reference field="18" count="1" selected="0">
            <x v="0"/>
          </reference>
        </references>
      </pivotArea>
    </chartFormat>
    <chartFormat chart="8" format="10" series="1">
      <pivotArea type="data" outline="0" fieldPosition="0">
        <references count="2">
          <reference field="4294967294" count="1" selected="0">
            <x v="0"/>
          </reference>
          <reference field="18" count="1" selected="0">
            <x v="1"/>
          </reference>
        </references>
      </pivotArea>
    </chartFormat>
    <chartFormat chart="8" format="11" series="1">
      <pivotArea type="data" outline="0" fieldPosition="0">
        <references count="2">
          <reference field="4294967294" count="1" selected="0">
            <x v="0"/>
          </reference>
          <reference field="18" count="1" selected="0">
            <x v="2"/>
          </reference>
        </references>
      </pivotArea>
    </chartFormat>
    <chartFormat chart="9" format="12" series="1">
      <pivotArea type="data" outline="0" fieldPosition="0">
        <references count="2">
          <reference field="4294967294" count="1" selected="0">
            <x v="0"/>
          </reference>
          <reference field="18" count="1" selected="0">
            <x v="0"/>
          </reference>
        </references>
      </pivotArea>
    </chartFormat>
    <chartFormat chart="9" format="13" series="1">
      <pivotArea type="data" outline="0" fieldPosition="0">
        <references count="2">
          <reference field="4294967294" count="1" selected="0">
            <x v="0"/>
          </reference>
          <reference field="18" count="1" selected="0">
            <x v="1"/>
          </reference>
        </references>
      </pivotArea>
    </chartFormat>
    <chartFormat chart="9" format="14"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380A90-0086-40AD-B3CE-77FEFAB2402B}"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0" firstHeaderRow="1" firstDataRow="1" firstDataCol="1"/>
  <pivotFields count="23">
    <pivotField showAll="0"/>
    <pivotField showAll="0"/>
    <pivotField showAll="0"/>
    <pivotField axis="axisRow" showAll="0">
      <items count="13">
        <item m="1" x="9"/>
        <item m="1" x="8"/>
        <item m="1" x="11"/>
        <item m="1" x="7"/>
        <item m="1" x="6"/>
        <item m="1" x="10"/>
        <item x="0"/>
        <item x="1"/>
        <item x="2"/>
        <item x="3"/>
        <item x="4"/>
        <item x="5"/>
        <item t="default"/>
      </items>
    </pivotField>
    <pivotField showAll="0">
      <items count="4">
        <item x="2"/>
        <item x="0"/>
        <item h="1" x="1"/>
        <item t="default"/>
      </items>
    </pivotField>
    <pivotField showAll="0">
      <items count="8">
        <item x="3"/>
        <item x="1"/>
        <item x="5"/>
        <item x="4"/>
        <item x="2"/>
        <item m="1" x="6"/>
        <item x="0"/>
        <item t="default"/>
      </items>
    </pivotField>
    <pivotField showAll="0"/>
    <pivotField showAll="0"/>
    <pivotField numFmtId="164" showAll="0"/>
    <pivotField showAll="0"/>
    <pivotField numFmtId="164" showAll="0"/>
    <pivotField showAll="0">
      <items count="4">
        <item h="1" x="1"/>
        <item h="1" x="2"/>
        <item x="0"/>
        <item t="default"/>
      </items>
    </pivotField>
    <pivotField dataField="1" numFmtId="3" showAll="0"/>
    <pivotField numFmtId="3" showAll="0"/>
    <pivotField showAll="0"/>
    <pivotField showAll="0"/>
    <pivotField showAll="0"/>
    <pivotField showAll="0"/>
    <pivotField showAll="0"/>
    <pivotField numFmtId="2" showAll="0"/>
    <pivotField numFmtId="3" showAll="0"/>
    <pivotField numFmtId="3" showAll="0"/>
    <pivotField showAll="0"/>
  </pivotFields>
  <rowFields count="1">
    <field x="3"/>
  </rowFields>
  <rowItems count="7">
    <i>
      <x v="6"/>
    </i>
    <i>
      <x v="7"/>
    </i>
    <i>
      <x v="8"/>
    </i>
    <i>
      <x v="9"/>
    </i>
    <i>
      <x v="10"/>
    </i>
    <i>
      <x v="11"/>
    </i>
    <i t="grand">
      <x/>
    </i>
  </rowItems>
  <colItems count="1">
    <i/>
  </colItems>
  <dataFields count="1">
    <dataField name="Sum of Claim_Amount_AED" fld="12" baseField="0" baseItem="0" numFmtId="3"/>
  </dataFields>
  <chartFormats count="11">
    <chartFormat chart="4"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29" format="3">
      <pivotArea type="data" outline="0" fieldPosition="0">
        <references count="2">
          <reference field="4294967294" count="1" selected="0">
            <x v="0"/>
          </reference>
          <reference field="3" count="1" selected="0">
            <x v="4"/>
          </reference>
        </references>
      </pivotArea>
    </chartFormat>
    <chartFormat chart="29" format="4">
      <pivotArea type="data" outline="0" fieldPosition="0">
        <references count="2">
          <reference field="4294967294" count="1" selected="0">
            <x v="0"/>
          </reference>
          <reference field="3" count="1" selected="0">
            <x v="5"/>
          </reference>
        </references>
      </pivotArea>
    </chartFormat>
    <chartFormat chart="29" format="5">
      <pivotArea type="data" outline="0" fieldPosition="0">
        <references count="2">
          <reference field="4294967294" count="1" selected="0">
            <x v="0"/>
          </reference>
          <reference field="3" count="1" selected="0">
            <x v="3"/>
          </reference>
        </references>
      </pivotArea>
    </chartFormat>
    <chartFormat chart="29" format="6">
      <pivotArea type="data" outline="0" fieldPosition="0">
        <references count="2">
          <reference field="4294967294" count="1" selected="0">
            <x v="0"/>
          </reference>
          <reference field="3" count="1" selected="0">
            <x v="2"/>
          </reference>
        </references>
      </pivotArea>
    </chartFormat>
    <chartFormat chart="29" format="7">
      <pivotArea type="data" outline="0" fieldPosition="0">
        <references count="2">
          <reference field="4294967294" count="1" selected="0">
            <x v="0"/>
          </reference>
          <reference field="3" count="1" selected="0">
            <x v="1"/>
          </reference>
        </references>
      </pivotArea>
    </chartFormat>
    <chartFormat chart="29" format="8">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2ECA36-180E-4CBE-8413-18FA32E4C869}"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17:L26" firstHeaderRow="1" firstDataRow="1" firstDataCol="1"/>
  <pivotFields count="23">
    <pivotField showAll="0"/>
    <pivotField showAll="0"/>
    <pivotField showAll="0"/>
    <pivotField showAll="0">
      <items count="13">
        <item x="3"/>
        <item m="1" x="9"/>
        <item x="2"/>
        <item m="1" x="8"/>
        <item x="5"/>
        <item m="1" x="11"/>
        <item x="1"/>
        <item m="1" x="7"/>
        <item x="0"/>
        <item m="1" x="6"/>
        <item x="4"/>
        <item m="1" x="10"/>
        <item t="default"/>
      </items>
    </pivotField>
    <pivotField showAll="0">
      <items count="4">
        <item x="2"/>
        <item x="0"/>
        <item h="1" x="1"/>
        <item t="default"/>
      </items>
    </pivotField>
    <pivotField showAll="0">
      <items count="8">
        <item x="3"/>
        <item x="1"/>
        <item x="5"/>
        <item x="4"/>
        <item x="2"/>
        <item m="1" x="6"/>
        <item x="0"/>
        <item t="default"/>
      </items>
    </pivotField>
    <pivotField showAll="0"/>
    <pivotField axis="axisRow" showAll="0">
      <items count="9">
        <item x="2"/>
        <item x="5"/>
        <item x="1"/>
        <item x="0"/>
        <item x="3"/>
        <item x="4"/>
        <item x="6"/>
        <item x="7"/>
        <item t="default"/>
      </items>
    </pivotField>
    <pivotField numFmtId="164" showAll="0"/>
    <pivotField showAll="0"/>
    <pivotField numFmtId="164" showAll="0"/>
    <pivotField showAll="0">
      <items count="4">
        <item h="1" x="1"/>
        <item h="1" x="2"/>
        <item x="0"/>
        <item t="default"/>
      </items>
    </pivotField>
    <pivotField dataField="1" numFmtId="3" showAll="0"/>
    <pivotField numFmtId="3" showAll="0"/>
    <pivotField showAll="0"/>
    <pivotField showAll="0"/>
    <pivotField showAll="0"/>
    <pivotField showAll="0"/>
    <pivotField showAll="0"/>
    <pivotField numFmtId="2" showAll="0"/>
    <pivotField numFmtId="3" showAll="0"/>
    <pivotField numFmtId="3" showAll="0"/>
    <pivotField showAll="0"/>
  </pivotFields>
  <rowFields count="1">
    <field x="7"/>
  </rowFields>
  <rowItems count="9">
    <i>
      <x/>
    </i>
    <i>
      <x v="1"/>
    </i>
    <i>
      <x v="2"/>
    </i>
    <i>
      <x v="3"/>
    </i>
    <i>
      <x v="4"/>
    </i>
    <i>
      <x v="5"/>
    </i>
    <i>
      <x v="6"/>
    </i>
    <i>
      <x v="7"/>
    </i>
    <i t="grand">
      <x/>
    </i>
  </rowItems>
  <colItems count="1">
    <i/>
  </colItems>
  <dataFields count="1">
    <dataField name="Average of Claim_Amount_AED2" fld="12" subtotal="average" baseField="7"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42F50B-9EAC-4CA3-89ED-64F9FF01C642}" name="PivotTable3" cacheId="27"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location ref="K4:L13" firstHeaderRow="1" firstDataRow="1" firstDataCol="1"/>
  <pivotFields count="23">
    <pivotField dataField="1" showAll="0"/>
    <pivotField showAll="0"/>
    <pivotField showAll="0"/>
    <pivotField showAll="0">
      <items count="13">
        <item x="3"/>
        <item m="1" x="9"/>
        <item x="2"/>
        <item m="1" x="8"/>
        <item x="5"/>
        <item m="1" x="11"/>
        <item x="1"/>
        <item m="1" x="7"/>
        <item x="0"/>
        <item m="1" x="6"/>
        <item x="4"/>
        <item m="1" x="10"/>
        <item t="default"/>
      </items>
    </pivotField>
    <pivotField showAll="0">
      <items count="4">
        <item x="2"/>
        <item x="0"/>
        <item h="1" x="1"/>
        <item t="default"/>
      </items>
    </pivotField>
    <pivotField showAll="0">
      <items count="8">
        <item x="3"/>
        <item x="1"/>
        <item x="5"/>
        <item x="4"/>
        <item x="2"/>
        <item m="1" x="6"/>
        <item x="0"/>
        <item t="default"/>
      </items>
    </pivotField>
    <pivotField showAll="0"/>
    <pivotField axis="axisRow" showAll="0">
      <items count="9">
        <item x="2"/>
        <item x="5"/>
        <item x="1"/>
        <item x="0"/>
        <item x="3"/>
        <item x="4"/>
        <item x="6"/>
        <item x="7"/>
        <item t="default"/>
      </items>
    </pivotField>
    <pivotField numFmtId="164" showAll="0"/>
    <pivotField showAll="0"/>
    <pivotField numFmtId="164" showAll="0"/>
    <pivotField showAll="0">
      <items count="4">
        <item h="1" x="1"/>
        <item h="1" x="2"/>
        <item x="0"/>
        <item t="default"/>
      </items>
    </pivotField>
    <pivotField numFmtId="3" showAll="0"/>
    <pivotField numFmtId="3" showAll="0"/>
    <pivotField showAll="0"/>
    <pivotField showAll="0"/>
    <pivotField showAll="0"/>
    <pivotField showAll="0"/>
    <pivotField showAll="0"/>
    <pivotField numFmtId="2" showAll="0"/>
    <pivotField numFmtId="3" showAll="0"/>
    <pivotField numFmtId="3" showAll="0"/>
    <pivotField showAll="0"/>
  </pivotFields>
  <rowFields count="1">
    <field x="7"/>
  </rowFields>
  <rowItems count="9">
    <i>
      <x/>
    </i>
    <i>
      <x v="1"/>
    </i>
    <i>
      <x v="2"/>
    </i>
    <i>
      <x v="3"/>
    </i>
    <i>
      <x v="4"/>
    </i>
    <i>
      <x v="5"/>
    </i>
    <i>
      <x v="6"/>
    </i>
    <i>
      <x v="7"/>
    </i>
    <i t="grand">
      <x/>
    </i>
  </rowItems>
  <colItems count="1">
    <i/>
  </colItems>
  <dataFields count="1">
    <dataField name="Count of Claim_ID" fld="0" subtotal="count" baseField="0" baseItem="0"/>
  </dataFields>
  <chartFormats count="12">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7" count="1" selected="0">
            <x v="6"/>
          </reference>
        </references>
      </pivotArea>
    </chartFormat>
    <chartFormat chart="9" format="4">
      <pivotArea type="data" outline="0" fieldPosition="0">
        <references count="2">
          <reference field="4294967294" count="1" selected="0">
            <x v="0"/>
          </reference>
          <reference field="7" count="1" selected="0">
            <x v="0"/>
          </reference>
        </references>
      </pivotArea>
    </chartFormat>
    <chartFormat chart="9" format="5">
      <pivotArea type="data" outline="0" fieldPosition="0">
        <references count="2">
          <reference field="4294967294" count="1" selected="0">
            <x v="0"/>
          </reference>
          <reference field="7" count="1" selected="0">
            <x v="1"/>
          </reference>
        </references>
      </pivotArea>
    </chartFormat>
    <chartFormat chart="9" format="6">
      <pivotArea type="data" outline="0" fieldPosition="0">
        <references count="2">
          <reference field="4294967294" count="1" selected="0">
            <x v="0"/>
          </reference>
          <reference field="7" count="1" selected="0">
            <x v="2"/>
          </reference>
        </references>
      </pivotArea>
    </chartFormat>
    <chartFormat chart="9" format="7">
      <pivotArea type="data" outline="0" fieldPosition="0">
        <references count="2">
          <reference field="4294967294" count="1" selected="0">
            <x v="0"/>
          </reference>
          <reference field="7" count="1" selected="0">
            <x v="3"/>
          </reference>
        </references>
      </pivotArea>
    </chartFormat>
    <chartFormat chart="9" format="8">
      <pivotArea type="data" outline="0" fieldPosition="0">
        <references count="2">
          <reference field="4294967294" count="1" selected="0">
            <x v="0"/>
          </reference>
          <reference field="7" count="1" selected="0">
            <x v="4"/>
          </reference>
        </references>
      </pivotArea>
    </chartFormat>
    <chartFormat chart="9" format="9">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8D6CC3-4B40-4734-B655-D6F11F3596D8}" name="PivotTable22" cacheId="27"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location ref="H5:I8" firstHeaderRow="1" firstDataRow="1" firstDataCol="1" rowPageCount="1" colPageCount="1"/>
  <pivotFields count="23">
    <pivotField showAll="0"/>
    <pivotField showAll="0"/>
    <pivotField showAll="0"/>
    <pivotField showAll="0"/>
    <pivotField showAll="0"/>
    <pivotField showAll="0"/>
    <pivotField showAll="0"/>
    <pivotField showAll="0"/>
    <pivotField numFmtId="164" showAll="0"/>
    <pivotField showAll="0"/>
    <pivotField numFmtId="164" showAll="0"/>
    <pivotField axis="axisPage" showAll="0">
      <items count="4">
        <item x="1"/>
        <item x="2"/>
        <item x="0"/>
        <item t="default"/>
      </items>
    </pivotField>
    <pivotField numFmtId="3" showAll="0"/>
    <pivotField numFmtId="3" showAll="0"/>
    <pivotField dataField="1" showAll="0"/>
    <pivotField showAll="0"/>
    <pivotField axis="axisRow" showAll="0">
      <items count="3">
        <item x="0"/>
        <item x="1"/>
        <item t="default"/>
      </items>
    </pivotField>
    <pivotField showAll="0"/>
    <pivotField showAll="0"/>
    <pivotField numFmtId="2" showAll="0"/>
    <pivotField numFmtId="3" showAll="0"/>
    <pivotField numFmtId="3" showAll="0"/>
    <pivotField showAll="0"/>
  </pivotFields>
  <rowFields count="1">
    <field x="16"/>
  </rowFields>
  <rowItems count="3">
    <i>
      <x/>
    </i>
    <i>
      <x v="1"/>
    </i>
    <i t="grand">
      <x/>
    </i>
  </rowItems>
  <colItems count="1">
    <i/>
  </colItems>
  <pageFields count="1">
    <pageField fld="11" item="0" hier="-1"/>
  </pageFields>
  <dataFields count="1">
    <dataField name="Average of Settlement_Days" fld="14" subtotal="average" baseField="3" baseItem="0" numFmtId="165"/>
  </dataFields>
  <formats count="2">
    <format dxfId="1">
      <pivotArea outline="0" collapsedLevelsAreSubtotals="1" fieldPosition="0"/>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4947DD-3828-482E-BC6A-93C1CB7461E5}"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5:L9" firstHeaderRow="1" firstDataRow="1" firstDataCol="1" rowPageCount="1" colPageCount="1"/>
  <pivotFields count="23">
    <pivotField dataField="1" showAll="0"/>
    <pivotField showAll="0"/>
    <pivotField showAll="0"/>
    <pivotField showAll="0"/>
    <pivotField showAll="0"/>
    <pivotField showAll="0"/>
    <pivotField showAll="0"/>
    <pivotField showAll="0"/>
    <pivotField numFmtId="164" showAll="0"/>
    <pivotField showAll="0"/>
    <pivotField numFmtId="164" showAll="0"/>
    <pivotField axis="axisRow" showAll="0">
      <items count="4">
        <item x="1"/>
        <item x="2"/>
        <item x="0"/>
        <item t="default"/>
      </items>
    </pivotField>
    <pivotField numFmtId="3" showAll="0"/>
    <pivotField numFmtId="3" showAll="0"/>
    <pivotField showAll="0"/>
    <pivotField showAll="0"/>
    <pivotField showAll="0"/>
    <pivotField axis="axisPage" showAll="0">
      <items count="3">
        <item x="0"/>
        <item x="1"/>
        <item t="default"/>
      </items>
    </pivotField>
    <pivotField showAll="0"/>
    <pivotField numFmtId="2" showAll="0"/>
    <pivotField numFmtId="3" showAll="0"/>
    <pivotField numFmtId="3" showAll="0"/>
    <pivotField showAll="0"/>
  </pivotFields>
  <rowFields count="1">
    <field x="11"/>
  </rowFields>
  <rowItems count="4">
    <i>
      <x/>
    </i>
    <i>
      <x v="1"/>
    </i>
    <i>
      <x v="2"/>
    </i>
    <i t="grand">
      <x/>
    </i>
  </rowItems>
  <colItems count="1">
    <i/>
  </colItems>
  <pageFields count="1">
    <pageField fld="17" item="1" hier="-1"/>
  </pageFields>
  <dataFields count="1">
    <dataField name="Count of Claim_ID" fld="0" subtotal="count" baseField="0" baseItem="0"/>
  </dataFields>
  <chartFormats count="4">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1" count="1" selected="0">
            <x v="0"/>
          </reference>
        </references>
      </pivotArea>
    </chartFormat>
    <chartFormat chart="8" format="15">
      <pivotArea type="data" outline="0" fieldPosition="0">
        <references count="2">
          <reference field="4294967294" count="1" selected="0">
            <x v="0"/>
          </reference>
          <reference field="11" count="1" selected="0">
            <x v="1"/>
          </reference>
        </references>
      </pivotArea>
    </chartFormat>
    <chartFormat chart="8"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67E41D-D4C8-4932-887B-C3E4E319C42F}" name="PivotTable2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E13" firstHeaderRow="1" firstDataRow="2" firstDataCol="1" rowPageCount="1" colPageCount="1"/>
  <pivotFields count="23">
    <pivotField showAll="0"/>
    <pivotField showAll="0"/>
    <pivotField showAll="0"/>
    <pivotField axis="axisRow" showAll="0">
      <items count="13">
        <item m="1" x="9"/>
        <item m="1" x="8"/>
        <item m="1" x="11"/>
        <item m="1" x="7"/>
        <item m="1" x="6"/>
        <item m="1" x="10"/>
        <item x="0"/>
        <item x="1"/>
        <item x="2"/>
        <item x="3"/>
        <item x="4"/>
        <item x="5"/>
        <item t="default"/>
      </items>
    </pivotField>
    <pivotField showAll="0"/>
    <pivotField showAll="0"/>
    <pivotField axis="axisCol" showAll="0">
      <items count="4">
        <item x="0"/>
        <item x="1"/>
        <item x="2"/>
        <item t="default"/>
      </items>
    </pivotField>
    <pivotField showAll="0"/>
    <pivotField numFmtId="164" showAll="0"/>
    <pivotField showAll="0"/>
    <pivotField numFmtId="164" showAll="0"/>
    <pivotField axis="axisPage" showAll="0">
      <items count="4">
        <item x="1"/>
        <item x="2"/>
        <item x="0"/>
        <item t="default"/>
      </items>
    </pivotField>
    <pivotField numFmtId="3" showAll="0"/>
    <pivotField numFmtId="3" showAll="0"/>
    <pivotField dataField="1" showAll="0"/>
    <pivotField showAll="0"/>
    <pivotField showAll="0"/>
    <pivotField showAll="0"/>
    <pivotField showAll="0"/>
    <pivotField numFmtId="2" showAll="0"/>
    <pivotField numFmtId="3" showAll="0"/>
    <pivotField numFmtId="3" showAll="0"/>
    <pivotField showAll="0"/>
  </pivotFields>
  <rowFields count="1">
    <field x="3"/>
  </rowFields>
  <rowItems count="7">
    <i>
      <x v="6"/>
    </i>
    <i>
      <x v="7"/>
    </i>
    <i>
      <x v="8"/>
    </i>
    <i>
      <x v="9"/>
    </i>
    <i>
      <x v="10"/>
    </i>
    <i>
      <x v="11"/>
    </i>
    <i t="grand">
      <x/>
    </i>
  </rowItems>
  <colFields count="1">
    <field x="6"/>
  </colFields>
  <colItems count="4">
    <i>
      <x/>
    </i>
    <i>
      <x v="1"/>
    </i>
    <i>
      <x v="2"/>
    </i>
    <i t="grand">
      <x/>
    </i>
  </colItems>
  <pageFields count="1">
    <pageField fld="11" item="0" hier="-1"/>
  </pageFields>
  <dataFields count="1">
    <dataField name="Average of Settlement_Days" fld="14" subtotal="average" baseField="3" baseItem="0" numFmtId="165"/>
  </dataFields>
  <formats count="3">
    <format dxfId="4">
      <pivotArea outline="0" collapsedLevelsAreSubtotals="1" fieldPosition="0"/>
    </format>
    <format dxfId="3">
      <pivotArea dataOnly="0" labelOnly="1" fieldPosition="0">
        <references count="1">
          <reference field="6" count="0"/>
        </references>
      </pivotArea>
    </format>
    <format dxfId="2">
      <pivotArea dataOnly="0" labelOnly="1" grandCol="1" outline="0" fieldPosition="0"/>
    </format>
  </formats>
  <chartFormats count="3">
    <chartFormat chart="6" format="6" series="1">
      <pivotArea type="data" outline="0" fieldPosition="0">
        <references count="2">
          <reference field="4294967294" count="1" selected="0">
            <x v="0"/>
          </reference>
          <reference field="6" count="1" selected="0">
            <x v="0"/>
          </reference>
        </references>
      </pivotArea>
    </chartFormat>
    <chartFormat chart="6" format="7"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50B1C4E3-35B9-4CE2-B165-5B5A87ACA258}" sourceName="Branch">
  <pivotTables>
    <pivotTable tabId="3" name="PivotTable19"/>
    <pivotTable tabId="3" name="PivotTable1"/>
    <pivotTable tabId="3" name="PivotTable11"/>
    <pivotTable tabId="3" name="PivotTable16"/>
    <pivotTable tabId="3" name="PivotTable18"/>
    <pivotTable tabId="3" name="PivotTable2"/>
    <pivotTable tabId="3" name="PivotTable20"/>
    <pivotTable tabId="3" name="PivotTable3"/>
    <pivotTable tabId="3" name="PivotTable4"/>
  </pivotTables>
  <data>
    <tabular pivotCacheId="214649623">
      <items count="7">
        <i x="3" s="1"/>
        <i x="1" s="1"/>
        <i x="5" s="1"/>
        <i x="4" s="1"/>
        <i x="2" s="1"/>
        <i x="0"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Type" xr10:uid="{BB8F0148-7219-43B5-B69F-EA32B25CF6DC}" sourceName="Policy_Type">
  <pivotTables>
    <pivotTable tabId="3" name="PivotTable19"/>
    <pivotTable tabId="3" name="PivotTable1"/>
    <pivotTable tabId="3" name="PivotTable11"/>
    <pivotTable tabId="3" name="PivotTable16"/>
    <pivotTable tabId="3" name="PivotTable18"/>
    <pivotTable tabId="3" name="PivotTable2"/>
    <pivotTable tabId="3" name="PivotTable20"/>
    <pivotTable tabId="3" name="PivotTable3"/>
    <pivotTable tabId="3" name="PivotTable4"/>
  </pivotTables>
  <data>
    <tabular pivotCacheId="214649623">
      <items count="12">
        <i x="3" s="1"/>
        <i x="2" s="1"/>
        <i x="5" s="1"/>
        <i x="1" s="1"/>
        <i x="0" s="1"/>
        <i x="4" s="1"/>
        <i x="9" s="1" nd="1"/>
        <i x="8" s="1" nd="1"/>
        <i x="11" s="1" nd="1"/>
        <i x="7" s="1" nd="1"/>
        <i x="6"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BA85195-73C9-47E9-B213-10A31F05BC27}" sourceName="Customer_Segment">
  <pivotTables>
    <pivotTable tabId="3" name="PivotTable19"/>
    <pivotTable tabId="3" name="PivotTable1"/>
    <pivotTable tabId="3" name="PivotTable11"/>
    <pivotTable tabId="3" name="PivotTable16"/>
    <pivotTable tabId="3" name="PivotTable18"/>
    <pivotTable tabId="3" name="PivotTable2"/>
    <pivotTable tabId="3" name="PivotTable20"/>
    <pivotTable tabId="3" name="PivotTable3"/>
    <pivotTable tabId="3" name="PivotTable4"/>
  </pivotTables>
  <data>
    <tabular pivotCacheId="214649623">
      <items count="3">
        <i x="2" s="1"/>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9E0F6CEA-37F9-4464-BB8B-095910958187}" sourceName="Claim_Status">
  <pivotTables>
    <pivotTable tabId="3" name="PivotTable19"/>
    <pivotTable tabId="3" name="PivotTable1"/>
    <pivotTable tabId="3" name="PivotTable11"/>
    <pivotTable tabId="3" name="PivotTable16"/>
    <pivotTable tabId="3" name="PivotTable18"/>
    <pivotTable tabId="3" name="PivotTable2"/>
    <pivotTable tabId="3" name="PivotTable20"/>
    <pivotTable tabId="3" name="PivotTable3"/>
    <pivotTable tabId="3" name="PivotTable4"/>
  </pivotTables>
  <data>
    <tabular pivotCacheId="214649623">
      <items count="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87F4DF38-4FF9-4390-BC11-D9ED8B43EF67}" cache="Slicer_Branch" caption="Branch" style="SlicerStyleDark1" rowHeight="320040"/>
  <slicer name="Policy_Type" xr10:uid="{A494CAAF-FA36-443C-ABEA-FAD507D4F487}" cache="Slicer_Policy_Type" caption="Policy_Type" style="SlicerStyleDark1" rowHeight="365760"/>
  <slicer name="Customer_Segment" xr10:uid="{0F739877-57F1-4980-98F0-216E7384584B}" cache="Slicer_Customer_Segment" caption="Customer_Segment" style="SlicerStyleDark1" rowHeight="365760"/>
  <slicer name="Claim_Status" xr10:uid="{5970E1C4-6D1B-42DB-B3D7-69F79F1EA7F7}" cache="Slicer_Claim_Status" caption="Claim_Status" style="SlicerStyleDark1" rowHeight="36576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1FBB-08E4-4FFC-A6D8-7AFC5CCFA21C}">
  <sheetPr>
    <tabColor theme="9" tint="-0.249977111117893"/>
  </sheetPr>
  <dimension ref="C9:C97"/>
  <sheetViews>
    <sheetView showGridLines="0" tabSelected="1" topLeftCell="B1" zoomScale="71" zoomScaleNormal="64" workbookViewId="0">
      <selection activeCell="AD50" sqref="AD50"/>
    </sheetView>
  </sheetViews>
  <sheetFormatPr defaultRowHeight="15" x14ac:dyDescent="0.25"/>
  <sheetData>
    <row r="9" ht="13.15" customHeight="1" x14ac:dyDescent="0.25"/>
    <row r="94" spans="3:3" x14ac:dyDescent="0.25">
      <c r="C94">
        <f>GETPIVOTDATA("Claim_ID",PIVOT!$D$3)</f>
        <v>272</v>
      </c>
    </row>
    <row r="95" spans="3:3" x14ac:dyDescent="0.25">
      <c r="C95" s="25">
        <f>IFERROR(GETPIVOTDATA("Claim_ID",PIVOT!$O$4,"Fraud_Flag","Yes")/GETPIVOTDATA("Claim_ID",PIVOT!$O$4),0)</f>
        <v>5.1470588235294115E-2</v>
      </c>
    </row>
    <row r="96" spans="3:3" x14ac:dyDescent="0.25">
      <c r="C96" s="20">
        <f>GETPIVOTDATA("Settlement_Days",FILTER!$H$5)</f>
        <v>23.414523449319212</v>
      </c>
    </row>
    <row r="97" spans="3:3" x14ac:dyDescent="0.25">
      <c r="C97" s="29">
        <f>IFERROR(GETPIVOTDATA("Claim_ID",PIVOT!$D$3,"Claim_Status","Approved")/GETPIVOTDATA("Claim_ID",PIVOT!$D$3),0)</f>
        <v>0</v>
      </c>
    </row>
  </sheetData>
  <customSheetViews>
    <customSheetView guid="{35C3927A-F048-4142-A0D5-925A5B340B74}" scale="64" showGridLines="0" showRowCol="0" topLeftCell="A4">
      <selection activeCell="AF14" sqref="AF14"/>
      <pageMargins left="0.7" right="0.7" top="0.75" bottom="0.75" header="0.3" footer="0.3"/>
    </customSheetView>
  </customSheetView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4AEA5-CB85-42A4-A7B1-975EF6A51C2D}">
  <sheetPr>
    <tabColor theme="3"/>
  </sheetPr>
  <dimension ref="A1:AG35"/>
  <sheetViews>
    <sheetView workbookViewId="0">
      <selection activeCell="I11" sqref="I11"/>
    </sheetView>
  </sheetViews>
  <sheetFormatPr defaultRowHeight="15" x14ac:dyDescent="0.25"/>
  <cols>
    <col min="1" max="1" width="19.140625" bestFit="1" customWidth="1"/>
    <col min="2" max="2" width="25.85546875" bestFit="1" customWidth="1"/>
    <col min="4" max="4" width="17" bestFit="1" customWidth="1"/>
    <col min="5" max="5" width="16.28515625" bestFit="1" customWidth="1"/>
    <col min="6" max="6" width="11.28515625" bestFit="1" customWidth="1"/>
    <col min="7" max="7" width="8.85546875" bestFit="1" customWidth="1"/>
    <col min="8" max="8" width="11.28515625" bestFit="1" customWidth="1"/>
    <col min="11" max="11" width="18.140625" bestFit="1" customWidth="1"/>
    <col min="12" max="12" width="30.42578125" bestFit="1" customWidth="1"/>
    <col min="13" max="13" width="29" bestFit="1" customWidth="1"/>
    <col min="14" max="14" width="9.140625" customWidth="1"/>
    <col min="15" max="15" width="17.42578125" bestFit="1" customWidth="1"/>
    <col min="16" max="17" width="14.28515625" customWidth="1"/>
    <col min="18" max="18" width="19.140625" bestFit="1" customWidth="1"/>
    <col min="19" max="19" width="13.7109375" bestFit="1" customWidth="1"/>
    <col min="20" max="20" width="16.85546875" bestFit="1" customWidth="1"/>
    <col min="21" max="21" width="17" bestFit="1" customWidth="1"/>
    <col min="23" max="23" width="13.140625" bestFit="1" customWidth="1"/>
    <col min="24" max="24" width="22.7109375" bestFit="1" customWidth="1"/>
    <col min="25" max="25" width="16.5703125" bestFit="1" customWidth="1"/>
    <col min="26" max="26" width="9.42578125" bestFit="1" customWidth="1"/>
    <col min="27" max="27" width="11.28515625" bestFit="1" customWidth="1"/>
    <col min="29" max="29" width="17" bestFit="1" customWidth="1"/>
    <col min="30" max="30" width="16.28515625" bestFit="1" customWidth="1"/>
    <col min="31" max="31" width="16.5703125" bestFit="1" customWidth="1"/>
    <col min="32" max="32" width="9.42578125" bestFit="1" customWidth="1"/>
    <col min="33" max="33" width="11.28515625" bestFit="1" customWidth="1"/>
  </cols>
  <sheetData>
    <row r="1" spans="1:33" x14ac:dyDescent="0.25">
      <c r="A1" t="s">
        <v>6083</v>
      </c>
      <c r="D1" t="s">
        <v>6083</v>
      </c>
      <c r="K1" t="s">
        <v>6083</v>
      </c>
      <c r="O1" t="s">
        <v>6081</v>
      </c>
      <c r="R1" t="s">
        <v>6080</v>
      </c>
      <c r="W1" t="s">
        <v>6079</v>
      </c>
    </row>
    <row r="2" spans="1:33" x14ac:dyDescent="0.25">
      <c r="A2" t="s">
        <v>6069</v>
      </c>
      <c r="D2" t="s">
        <v>6070</v>
      </c>
      <c r="K2" t="s">
        <v>6073</v>
      </c>
      <c r="O2" t="s">
        <v>6077</v>
      </c>
      <c r="R2" t="s">
        <v>6078</v>
      </c>
      <c r="W2" t="s">
        <v>6085</v>
      </c>
      <c r="AC2" t="s">
        <v>6084</v>
      </c>
    </row>
    <row r="3" spans="1:33" x14ac:dyDescent="0.25">
      <c r="A3" s="15" t="s">
        <v>6064</v>
      </c>
      <c r="B3" t="s">
        <v>6066</v>
      </c>
      <c r="D3" s="15" t="s">
        <v>6067</v>
      </c>
      <c r="E3" s="15" t="s">
        <v>6071</v>
      </c>
    </row>
    <row r="4" spans="1:33" x14ac:dyDescent="0.25">
      <c r="A4" s="16" t="s">
        <v>6090</v>
      </c>
      <c r="B4" s="17">
        <v>2534754</v>
      </c>
      <c r="D4" s="15" t="s">
        <v>6064</v>
      </c>
      <c r="E4" t="s">
        <v>31</v>
      </c>
      <c r="F4" t="s">
        <v>6065</v>
      </c>
      <c r="I4" t="s">
        <v>6072</v>
      </c>
      <c r="K4" s="15" t="s">
        <v>6064</v>
      </c>
      <c r="L4" t="s">
        <v>6067</v>
      </c>
      <c r="O4" s="15" t="s">
        <v>6064</v>
      </c>
      <c r="P4" t="s">
        <v>6067</v>
      </c>
      <c r="R4" s="15" t="s">
        <v>6064</v>
      </c>
      <c r="S4" t="s">
        <v>6097</v>
      </c>
      <c r="T4" t="s">
        <v>6098</v>
      </c>
      <c r="U4" t="s">
        <v>6096</v>
      </c>
      <c r="W4" s="15" t="s">
        <v>6067</v>
      </c>
      <c r="X4" s="15" t="s">
        <v>6071</v>
      </c>
      <c r="AC4" s="15" t="s">
        <v>6067</v>
      </c>
      <c r="AD4" s="15" t="s">
        <v>6071</v>
      </c>
    </row>
    <row r="5" spans="1:33" x14ac:dyDescent="0.25">
      <c r="A5" s="16" t="s">
        <v>6089</v>
      </c>
      <c r="B5" s="17">
        <v>1013256</v>
      </c>
      <c r="D5" s="16" t="s">
        <v>56</v>
      </c>
      <c r="E5">
        <v>45</v>
      </c>
      <c r="F5">
        <v>45</v>
      </c>
      <c r="I5" s="18" t="e">
        <f>GETPIVOTDATA("Claim_ID",$D$3,"Branch","Abu Dhabi","Claim_Status","Approved")/GETPIVOTDATA("Claim_ID",$D$3,"Branch","Abu Dhabi")</f>
        <v>#REF!</v>
      </c>
      <c r="K5" s="16" t="s">
        <v>58</v>
      </c>
      <c r="L5">
        <v>34</v>
      </c>
      <c r="O5" s="16" t="s">
        <v>33</v>
      </c>
      <c r="P5">
        <v>258</v>
      </c>
      <c r="Q5">
        <f>IFERROR(GETPIVOTDATA("Claim_ID",$O$4,"Fraud_Flag","No"),"0")</f>
        <v>258</v>
      </c>
      <c r="R5" s="16" t="s">
        <v>6090</v>
      </c>
      <c r="S5" s="17">
        <v>2534754</v>
      </c>
      <c r="T5" s="17">
        <v>361729</v>
      </c>
      <c r="U5" s="26">
        <f>GETPIVOTDATA("Claim Amount",$R$4,"Policy_Type","Motor 
Insurance")-GETPIVOTDATA("Premium Amount",$R$4,"Policy_Type","Motor 
Insurance")</f>
        <v>2173025</v>
      </c>
      <c r="W5" s="15" t="s">
        <v>6064</v>
      </c>
      <c r="X5" t="s">
        <v>34</v>
      </c>
      <c r="Y5" t="s">
        <v>60</v>
      </c>
      <c r="Z5" t="s">
        <v>41</v>
      </c>
      <c r="AA5" t="s">
        <v>6065</v>
      </c>
      <c r="AC5" s="15" t="s">
        <v>6064</v>
      </c>
      <c r="AD5" t="s">
        <v>34</v>
      </c>
      <c r="AE5" t="s">
        <v>60</v>
      </c>
      <c r="AF5" t="s">
        <v>41</v>
      </c>
      <c r="AG5" t="s">
        <v>6065</v>
      </c>
    </row>
    <row r="6" spans="1:33" x14ac:dyDescent="0.25">
      <c r="A6" s="16" t="s">
        <v>6087</v>
      </c>
      <c r="B6" s="17">
        <v>1263870</v>
      </c>
      <c r="D6" s="16" t="s">
        <v>46</v>
      </c>
      <c r="E6">
        <v>41</v>
      </c>
      <c r="F6">
        <v>41</v>
      </c>
      <c r="I6" s="18" t="e">
        <f>GETPIVOTDATA("Claim_ID",$D$3,"Branch","Ajman","Claim_Status","Approved")/GETPIVOTDATA("Claim_ID",$D$3,"Branch","Ajman")</f>
        <v>#REF!</v>
      </c>
      <c r="K6" s="16" t="s">
        <v>93</v>
      </c>
      <c r="L6">
        <v>27</v>
      </c>
      <c r="O6" s="16" t="s">
        <v>94</v>
      </c>
      <c r="P6">
        <v>14</v>
      </c>
      <c r="Q6">
        <f>IFERROR(GETPIVOTDATA("Claim_ID",$O$4,"Fraud_Flag","Yes"),"0")</f>
        <v>14</v>
      </c>
      <c r="R6" s="16" t="s">
        <v>6089</v>
      </c>
      <c r="S6" s="17">
        <v>1013256</v>
      </c>
      <c r="T6" s="17">
        <v>154159</v>
      </c>
      <c r="U6" s="26">
        <f>GETPIVOTDATA("Claim Amount",$R$4,"Policy_Type","Life 
Insurance")-GETPIVOTDATA("Premium Amount",$R$4,"Policy_Type","Life 
Insurance")</f>
        <v>859097</v>
      </c>
      <c r="W6" s="16" t="s">
        <v>87</v>
      </c>
      <c r="X6">
        <v>43</v>
      </c>
      <c r="Y6">
        <v>49</v>
      </c>
      <c r="Z6">
        <v>43</v>
      </c>
      <c r="AA6">
        <v>135</v>
      </c>
      <c r="AC6" s="16" t="s">
        <v>31</v>
      </c>
      <c r="AD6">
        <v>88</v>
      </c>
      <c r="AE6">
        <v>98</v>
      </c>
      <c r="AF6">
        <v>86</v>
      </c>
      <c r="AG6">
        <v>272</v>
      </c>
    </row>
    <row r="7" spans="1:33" x14ac:dyDescent="0.25">
      <c r="A7" s="16" t="s">
        <v>6086</v>
      </c>
      <c r="B7" s="17">
        <v>1959060</v>
      </c>
      <c r="D7" s="16" t="s">
        <v>71</v>
      </c>
      <c r="E7">
        <v>58</v>
      </c>
      <c r="F7">
        <v>58</v>
      </c>
      <c r="I7" s="18" t="e">
        <f>GETPIVOTDATA("Claim_ID",$D$3,"Branch","Al Ain","Claim_Status","Approved")/GETPIVOTDATA("Claim_ID",$D$3,"Branch","Al Ain")</f>
        <v>#REF!</v>
      </c>
      <c r="K7" s="16" t="s">
        <v>39</v>
      </c>
      <c r="L7">
        <v>35</v>
      </c>
      <c r="O7" s="16" t="s">
        <v>6065</v>
      </c>
      <c r="P7">
        <v>272</v>
      </c>
      <c r="R7" s="16" t="s">
        <v>6087</v>
      </c>
      <c r="S7" s="17">
        <v>1263870</v>
      </c>
      <c r="T7" s="17">
        <v>289757</v>
      </c>
      <c r="U7" s="26">
        <f>GETPIVOTDATA("Claim Amount",$R$4,"Policy_Type","Health 
Insurance")-GETPIVOTDATA("Premium Amount",$R$4,"Policy_Type","Health 
Insurance")</f>
        <v>974113</v>
      </c>
      <c r="W7" s="16" t="s">
        <v>26</v>
      </c>
      <c r="X7">
        <v>45</v>
      </c>
      <c r="Y7">
        <v>49</v>
      </c>
      <c r="Z7">
        <v>43</v>
      </c>
      <c r="AA7">
        <v>137</v>
      </c>
      <c r="AC7" s="16" t="s">
        <v>6065</v>
      </c>
      <c r="AD7">
        <v>88</v>
      </c>
      <c r="AE7">
        <v>98</v>
      </c>
      <c r="AF7">
        <v>86</v>
      </c>
      <c r="AG7">
        <v>272</v>
      </c>
    </row>
    <row r="8" spans="1:33" x14ac:dyDescent="0.25">
      <c r="A8" s="16" t="s">
        <v>6091</v>
      </c>
      <c r="B8" s="17">
        <v>371935</v>
      </c>
      <c r="D8" s="16" t="s">
        <v>65</v>
      </c>
      <c r="E8">
        <v>44</v>
      </c>
      <c r="F8">
        <v>44</v>
      </c>
      <c r="I8" s="18" t="e">
        <f>GETPIVOTDATA("Claim_ID",$D$3,"Branch","Dubai","Claim_Status","Approved")/GETPIVOTDATA("Claim_ID",$D$3,"Branch","Dubai")</f>
        <v>#REF!</v>
      </c>
      <c r="K8" s="16" t="s">
        <v>29</v>
      </c>
      <c r="L8">
        <v>35</v>
      </c>
      <c r="R8" s="16" t="s">
        <v>6086</v>
      </c>
      <c r="S8" s="17">
        <v>1959060</v>
      </c>
      <c r="T8" s="17">
        <v>178668</v>
      </c>
      <c r="U8" s="26">
        <f>GETPIVOTDATA("Claim Amount",$R$4,"Policy_Type","Business 
Insurance")-GETPIVOTDATA("Premium Amount",$R$4,"Policy_Type","Business 
Insurance")</f>
        <v>1780392</v>
      </c>
      <c r="W8" s="16" t="s">
        <v>6065</v>
      </c>
      <c r="X8">
        <v>88</v>
      </c>
      <c r="Y8">
        <v>98</v>
      </c>
      <c r="Z8">
        <v>86</v>
      </c>
      <c r="AA8">
        <v>272</v>
      </c>
    </row>
    <row r="9" spans="1:33" x14ac:dyDescent="0.25">
      <c r="A9" s="16" t="s">
        <v>6088</v>
      </c>
      <c r="B9" s="17">
        <v>1195486</v>
      </c>
      <c r="D9" s="16" t="s">
        <v>27</v>
      </c>
      <c r="E9">
        <v>44</v>
      </c>
      <c r="F9">
        <v>44</v>
      </c>
      <c r="I9" s="18" t="e">
        <f>GETPIVOTDATA(GETPIVOTDATA("Claim_ID",$D$3,"Branch","Sharjah"),$D$3,"Branch","Sharjah","Claim_Status","Approved")/GETPIVOTDATA("Claim_ID",$D$3,"Branch","Sharjah")</f>
        <v>#REF!</v>
      </c>
      <c r="K9" s="16" t="s">
        <v>72</v>
      </c>
      <c r="L9">
        <v>27</v>
      </c>
      <c r="R9" s="16" t="s">
        <v>6091</v>
      </c>
      <c r="S9" s="17">
        <v>371935</v>
      </c>
      <c r="T9" s="17">
        <v>135610</v>
      </c>
      <c r="U9" s="26">
        <f>GETPIVOTDATA("Claim Amount",$R$4,"Policy_Type","Travel 
Insurance")-GETPIVOTDATA("Premium Amount",$R$4,"Policy_Type","Travel 
Insurance")</f>
        <v>236325</v>
      </c>
    </row>
    <row r="10" spans="1:33" x14ac:dyDescent="0.25">
      <c r="A10" s="16" t="s">
        <v>6065</v>
      </c>
      <c r="B10" s="17">
        <v>8338361</v>
      </c>
      <c r="D10" s="16" t="s">
        <v>6092</v>
      </c>
      <c r="E10">
        <v>40</v>
      </c>
      <c r="F10">
        <v>40</v>
      </c>
      <c r="I10" s="18" t="e">
        <f>GETPIVOTDATA("Claim_ID",$D$3,"Branch","Sharjah","Claim_Status","Approved")/GETPIVOTDATA("Claim_ID",$D$3,"Branch","Sharjah")</f>
        <v>#REF!</v>
      </c>
      <c r="K10" s="16" t="s">
        <v>88</v>
      </c>
      <c r="L10">
        <v>32</v>
      </c>
      <c r="R10" s="16" t="s">
        <v>6088</v>
      </c>
      <c r="S10" s="17">
        <v>1195486</v>
      </c>
      <c r="T10" s="17">
        <v>115437</v>
      </c>
      <c r="U10" s="26">
        <f>GETPIVOTDATA("Claim Amount",$R$4,"Policy_Type","Home 
Insurance")-GETPIVOTDATA("Premium Amount",$R$4,"Policy_Type","Home 
Insurance")</f>
        <v>1080049</v>
      </c>
    </row>
    <row r="11" spans="1:33" x14ac:dyDescent="0.25">
      <c r="D11" s="16" t="s">
        <v>6065</v>
      </c>
      <c r="E11">
        <v>272</v>
      </c>
      <c r="F11">
        <v>272</v>
      </c>
      <c r="I11" s="18" t="e">
        <f>GETPIVOTDATA("Claim_ID",$D$3,"Claim_Status","Approved")/GETPIVOTDATA("Claim_ID",$D$3)</f>
        <v>#REF!</v>
      </c>
      <c r="K11" s="16" t="s">
        <v>118</v>
      </c>
      <c r="L11">
        <v>49</v>
      </c>
      <c r="R11" s="16" t="s">
        <v>6065</v>
      </c>
      <c r="S11" s="17">
        <v>8338361</v>
      </c>
      <c r="T11" s="17">
        <v>1235360</v>
      </c>
      <c r="U11" s="27">
        <f>GETPIVOTDATA("Claim Amount",$R$4)-GETPIVOTDATA("Premium Amount",$R$4)</f>
        <v>7103001</v>
      </c>
      <c r="AD11" s="23" t="s">
        <v>34</v>
      </c>
      <c r="AE11" s="23" t="s">
        <v>60</v>
      </c>
      <c r="AF11" s="23" t="s">
        <v>41</v>
      </c>
    </row>
    <row r="12" spans="1:33" x14ac:dyDescent="0.25">
      <c r="K12" s="16" t="s">
        <v>161</v>
      </c>
      <c r="L12">
        <v>33</v>
      </c>
      <c r="AC12" s="16" t="s">
        <v>59</v>
      </c>
      <c r="AD12" t="str">
        <f>IFERROR(GETPIVOTDATA("Claim_ID",$AC$4,"Claim_Status","Approved","Renewal_Status","Not Renewed"),"0")</f>
        <v>0</v>
      </c>
      <c r="AE12" t="str">
        <f>IFERROR(GETPIVOTDATA("Claim_ID",$AC$4,"Claim_Status","Approved","Renewal_Status","Pending Renewal"),"0")</f>
        <v>0</v>
      </c>
      <c r="AF12" t="str">
        <f>IFERROR(GETPIVOTDATA("Claim_ID",$AC$4,"Claim_Status","Approved","Renewal_Status","Renewed"),"0")</f>
        <v>0</v>
      </c>
    </row>
    <row r="13" spans="1:33" x14ac:dyDescent="0.25">
      <c r="K13" s="16" t="s">
        <v>6065</v>
      </c>
      <c r="L13">
        <v>272</v>
      </c>
      <c r="W13" t="s">
        <v>6094</v>
      </c>
      <c r="AC13" s="16" t="s">
        <v>66</v>
      </c>
      <c r="AD13" t="str">
        <f>IFERROR(GETPIVOTDATA("Claim_ID",$AC$4,"Claim_Status","Pending","Renewal_Status","Not Renewed"),"0")</f>
        <v>0</v>
      </c>
      <c r="AE13" t="str">
        <f>IFERROR(GETPIVOTDATA("Claim_ID",$AC$4,"Claim_Status","Pending","Renewal_Status","Pending Renewal"),"0")</f>
        <v>0</v>
      </c>
      <c r="AF13" t="str">
        <f>IFERROR(GETPIVOTDATA("Claim_ID",$AC$4,"Claim_Status","Pending","Renewal_Status","Renewed"),"0")</f>
        <v>0</v>
      </c>
    </row>
    <row r="14" spans="1:33" x14ac:dyDescent="0.25">
      <c r="R14" s="16" t="s">
        <v>6090</v>
      </c>
      <c r="S14" s="27"/>
      <c r="AC14" s="16" t="s">
        <v>31</v>
      </c>
      <c r="AD14">
        <f>IFERROR(GETPIVOTDATA("Claim_ID",$AC$4,"Claim_Status","Rejected","Renewal_Status","Not Renewed"),"0")</f>
        <v>88</v>
      </c>
      <c r="AE14">
        <f>IFERROR(GETPIVOTDATA("Claim_ID",$AC$4,"Claim_Status","Rejected","Renewal_Status","Pending Renewal"),"0")</f>
        <v>98</v>
      </c>
      <c r="AF14">
        <f>IFERROR(GETPIVOTDATA("Claim_ID",$AC$4,"Claim_Status","Rejected","Renewal_Status","Renewed"),"0")</f>
        <v>86</v>
      </c>
    </row>
    <row r="15" spans="1:33" x14ac:dyDescent="0.25">
      <c r="O15" s="25">
        <f>GETPIVOTDATA("Claim_ID",$O$4,"Fraud_Flag","Yes")/GETPIVOTDATA("Claim_ID",$O$4)</f>
        <v>5.1470588235294115E-2</v>
      </c>
      <c r="R15" s="16" t="s">
        <v>6089</v>
      </c>
      <c r="S15" s="27"/>
      <c r="U15" s="19"/>
      <c r="W15" s="15" t="s">
        <v>6064</v>
      </c>
      <c r="X15" t="s">
        <v>6095</v>
      </c>
    </row>
    <row r="16" spans="1:33" x14ac:dyDescent="0.25">
      <c r="R16" s="16" t="s">
        <v>6087</v>
      </c>
      <c r="S16" s="27"/>
      <c r="W16" s="16" t="s">
        <v>28</v>
      </c>
      <c r="X16">
        <v>81</v>
      </c>
    </row>
    <row r="17" spans="11:24" x14ac:dyDescent="0.25">
      <c r="K17" s="15" t="s">
        <v>6064</v>
      </c>
      <c r="L17" t="s">
        <v>6068</v>
      </c>
      <c r="R17" s="16" t="s">
        <v>6086</v>
      </c>
      <c r="S17" s="27"/>
      <c r="W17" s="16" t="s">
        <v>5</v>
      </c>
      <c r="X17">
        <v>99</v>
      </c>
    </row>
    <row r="18" spans="11:24" x14ac:dyDescent="0.25">
      <c r="K18" s="16" t="s">
        <v>58</v>
      </c>
      <c r="L18" s="17">
        <v>33743.26470588235</v>
      </c>
      <c r="R18" s="16" t="s">
        <v>6091</v>
      </c>
      <c r="S18" s="27"/>
      <c r="W18" s="16" t="s">
        <v>57</v>
      </c>
      <c r="X18">
        <v>92</v>
      </c>
    </row>
    <row r="19" spans="11:24" x14ac:dyDescent="0.25">
      <c r="K19" s="16" t="s">
        <v>93</v>
      </c>
      <c r="L19" s="17">
        <v>25359.666666666668</v>
      </c>
      <c r="R19" s="16" t="s">
        <v>6088</v>
      </c>
      <c r="S19" s="27"/>
      <c r="W19" s="16" t="s">
        <v>6065</v>
      </c>
      <c r="X19">
        <v>272</v>
      </c>
    </row>
    <row r="20" spans="11:24" x14ac:dyDescent="0.25">
      <c r="K20" s="16" t="s">
        <v>39</v>
      </c>
      <c r="L20" s="17">
        <v>24964.514285714286</v>
      </c>
      <c r="R20" s="28" t="s">
        <v>6065</v>
      </c>
      <c r="S20" s="27"/>
    </row>
    <row r="21" spans="11:24" x14ac:dyDescent="0.25">
      <c r="K21" s="16" t="s">
        <v>29</v>
      </c>
      <c r="L21" s="17">
        <v>34343.914285714287</v>
      </c>
    </row>
    <row r="22" spans="11:24" x14ac:dyDescent="0.25">
      <c r="K22" s="16" t="s">
        <v>72</v>
      </c>
      <c r="L22" s="17">
        <v>27284.740740740741</v>
      </c>
    </row>
    <row r="23" spans="11:24" x14ac:dyDescent="0.25">
      <c r="K23" s="16" t="s">
        <v>88</v>
      </c>
      <c r="L23" s="17">
        <v>30517.8125</v>
      </c>
    </row>
    <row r="24" spans="11:24" x14ac:dyDescent="0.25">
      <c r="K24" s="16" t="s">
        <v>118</v>
      </c>
      <c r="L24" s="17">
        <v>35872.183673469386</v>
      </c>
    </row>
    <row r="25" spans="11:24" x14ac:dyDescent="0.25">
      <c r="K25" s="16" t="s">
        <v>161</v>
      </c>
      <c r="L25" s="17">
        <v>29078.454545454544</v>
      </c>
    </row>
    <row r="26" spans="11:24" x14ac:dyDescent="0.25">
      <c r="K26" s="16" t="s">
        <v>6065</v>
      </c>
      <c r="L26" s="17">
        <v>30655.738970588234</v>
      </c>
    </row>
    <row r="28" spans="11:24" x14ac:dyDescent="0.25">
      <c r="K28" s="16" t="s">
        <v>58</v>
      </c>
      <c r="L28" s="24">
        <f>IFERROR(GETPIVOTDATA("Claim_Amount_AED",$K$17,"Claim_Reason","Accident"),"0")</f>
        <v>33743.26470588235</v>
      </c>
      <c r="M28" s="24"/>
    </row>
    <row r="29" spans="11:24" x14ac:dyDescent="0.25">
      <c r="K29" s="16" t="s">
        <v>93</v>
      </c>
      <c r="L29" s="24">
        <f>IFERROR(GETPIVOTDATA("Claim_Amount_AED",$K$17,"Claim_Reason","Fire Damage"),"0")</f>
        <v>25359.666666666668</v>
      </c>
      <c r="M29" s="24"/>
    </row>
    <row r="30" spans="11:24" x14ac:dyDescent="0.25">
      <c r="K30" s="16" t="s">
        <v>39</v>
      </c>
      <c r="L30" s="24">
        <f>IFERROR(GETPIVOTDATA("Claim_Amount_AED",$K$17,"Claim_Reason","Hospitalization"),"0")</f>
        <v>24964.514285714286</v>
      </c>
      <c r="M30" s="24"/>
    </row>
    <row r="31" spans="11:24" x14ac:dyDescent="0.25">
      <c r="K31" s="16" t="s">
        <v>29</v>
      </c>
      <c r="L31" s="24">
        <f>IFERROR(GETPIVOTDATA("Claim_Amount_AED",$K$17,"Claim_Reason","Medical Treatment"),"0")</f>
        <v>34343.914285714287</v>
      </c>
      <c r="M31" s="24"/>
    </row>
    <row r="32" spans="11:24" x14ac:dyDescent="0.25">
      <c r="K32" s="16" t="s">
        <v>72</v>
      </c>
      <c r="L32" s="24">
        <f>IFERROR(GETPIVOTDATA("Claim_Amount_AED",$K$17,"Claim_Reason","Property Damage"),"0")</f>
        <v>27284.740740740741</v>
      </c>
      <c r="M32" s="24"/>
    </row>
    <row r="33" spans="11:13" x14ac:dyDescent="0.25">
      <c r="K33" s="16" t="s">
        <v>88</v>
      </c>
      <c r="L33" s="24">
        <f>IFERROR(GETPIVOTDATA("Claim_Amount_AED",$K$17,"Claim_Reason","Theft"),"0")</f>
        <v>30517.8125</v>
      </c>
      <c r="M33" s="24"/>
    </row>
    <row r="34" spans="11:13" x14ac:dyDescent="0.25">
      <c r="K34" s="16" t="s">
        <v>118</v>
      </c>
      <c r="L34" s="24">
        <f>IFERROR(GETPIVOTDATA("Claim_Amount_AED",$K$17,"Claim_Reason","Travel Cancellation"),"0")</f>
        <v>35872.183673469386</v>
      </c>
      <c r="M34" s="24"/>
    </row>
    <row r="35" spans="11:13" x14ac:dyDescent="0.25">
      <c r="K35" s="16" t="s">
        <v>161</v>
      </c>
      <c r="L35" s="24">
        <f>IFERROR(GETPIVOTDATA("Claim_Amount_AED",$K$17,"Claim_Reason","Vehicle Damage"),"0")</f>
        <v>29078.454545454544</v>
      </c>
      <c r="M35" s="24"/>
    </row>
  </sheetData>
  <customSheetViews>
    <customSheetView guid="{35C3927A-F048-4142-A0D5-925A5B340B74}">
      <selection activeCell="K10" sqref="K10"/>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1FA34-7D1C-4304-8D7B-76C7D9325142}">
  <dimension ref="A1:L13"/>
  <sheetViews>
    <sheetView workbookViewId="0">
      <selection activeCell="K7" sqref="K7"/>
    </sheetView>
  </sheetViews>
  <sheetFormatPr defaultRowHeight="15" x14ac:dyDescent="0.25"/>
  <cols>
    <col min="1" max="1" width="26.7109375" bestFit="1" customWidth="1"/>
    <col min="2" max="2" width="16.28515625" bestFit="1" customWidth="1"/>
    <col min="3" max="3" width="7" bestFit="1" customWidth="1"/>
    <col min="4" max="4" width="11.42578125" bestFit="1" customWidth="1"/>
    <col min="5" max="5" width="11.28515625" bestFit="1" customWidth="1"/>
    <col min="8" max="8" width="13.140625" bestFit="1" customWidth="1"/>
    <col min="9" max="9" width="26.7109375" bestFit="1" customWidth="1"/>
    <col min="10" max="10" width="16.28515625" bestFit="1" customWidth="1"/>
    <col min="11" max="11" width="13.140625" bestFit="1" customWidth="1"/>
    <col min="12" max="12" width="17" bestFit="1" customWidth="1"/>
    <col min="13" max="13" width="26.7109375" bestFit="1" customWidth="1"/>
    <col min="14" max="14" width="17" bestFit="1" customWidth="1"/>
    <col min="15" max="15" width="31.7109375" bestFit="1" customWidth="1"/>
    <col min="16" max="16" width="22.140625" bestFit="1" customWidth="1"/>
  </cols>
  <sheetData>
    <row r="1" spans="1:12" x14ac:dyDescent="0.25">
      <c r="A1" t="s">
        <v>6082</v>
      </c>
      <c r="G1" t="s">
        <v>6082</v>
      </c>
      <c r="K1" t="s">
        <v>6093</v>
      </c>
    </row>
    <row r="2" spans="1:12" x14ac:dyDescent="0.25">
      <c r="A2" t="s">
        <v>6074</v>
      </c>
      <c r="G2" t="s">
        <v>6076</v>
      </c>
    </row>
    <row r="3" spans="1:12" x14ac:dyDescent="0.25">
      <c r="A3" s="15" t="s">
        <v>11</v>
      </c>
      <c r="B3" t="s">
        <v>59</v>
      </c>
      <c r="H3" s="15" t="s">
        <v>11</v>
      </c>
      <c r="I3" t="s">
        <v>59</v>
      </c>
      <c r="K3" s="15" t="s">
        <v>17</v>
      </c>
      <c r="L3" t="s">
        <v>94</v>
      </c>
    </row>
    <row r="5" spans="1:12" x14ac:dyDescent="0.25">
      <c r="A5" s="15" t="s">
        <v>6075</v>
      </c>
      <c r="B5" s="15" t="s">
        <v>6071</v>
      </c>
      <c r="H5" s="15" t="s">
        <v>6064</v>
      </c>
      <c r="I5" s="20" t="s">
        <v>6075</v>
      </c>
      <c r="K5" s="15" t="s">
        <v>6064</v>
      </c>
      <c r="L5" t="s">
        <v>6067</v>
      </c>
    </row>
    <row r="6" spans="1:12" x14ac:dyDescent="0.25">
      <c r="A6" s="15" t="s">
        <v>6064</v>
      </c>
      <c r="B6" s="20" t="s">
        <v>28</v>
      </c>
      <c r="C6" s="20" t="s">
        <v>5</v>
      </c>
      <c r="D6" s="20" t="s">
        <v>57</v>
      </c>
      <c r="E6" s="20" t="s">
        <v>6065</v>
      </c>
      <c r="H6" s="16" t="s">
        <v>33</v>
      </c>
      <c r="I6" s="20">
        <v>23.610594795539033</v>
      </c>
      <c r="K6" s="16" t="s">
        <v>59</v>
      </c>
      <c r="L6">
        <v>99</v>
      </c>
    </row>
    <row r="7" spans="1:12" x14ac:dyDescent="0.25">
      <c r="A7" s="16" t="s">
        <v>6090</v>
      </c>
      <c r="B7" s="20">
        <v>23.552238805970148</v>
      </c>
      <c r="C7" s="20">
        <v>23.341463414634145</v>
      </c>
      <c r="D7" s="20">
        <v>21.592920353982301</v>
      </c>
      <c r="E7" s="20">
        <v>22.883783783783784</v>
      </c>
      <c r="H7" s="16" t="s">
        <v>94</v>
      </c>
      <c r="I7" s="20">
        <v>22.556910569105693</v>
      </c>
      <c r="K7" s="16" t="s">
        <v>66</v>
      </c>
      <c r="L7">
        <v>15</v>
      </c>
    </row>
    <row r="8" spans="1:12" x14ac:dyDescent="0.25">
      <c r="A8" s="16" t="s">
        <v>6089</v>
      </c>
      <c r="B8" s="20">
        <v>23.586206896551722</v>
      </c>
      <c r="C8" s="20">
        <v>23.901639344262296</v>
      </c>
      <c r="D8" s="20">
        <v>22.584905660377359</v>
      </c>
      <c r="E8" s="20">
        <v>23.34965034965035</v>
      </c>
      <c r="H8" s="16" t="s">
        <v>6065</v>
      </c>
      <c r="I8" s="20">
        <v>23.414523449319212</v>
      </c>
      <c r="K8" s="16" t="s">
        <v>31</v>
      </c>
      <c r="L8">
        <v>25</v>
      </c>
    </row>
    <row r="9" spans="1:12" x14ac:dyDescent="0.25">
      <c r="A9" s="16" t="s">
        <v>6087</v>
      </c>
      <c r="B9" s="20">
        <v>24.50925925925926</v>
      </c>
      <c r="C9" s="20">
        <v>21.508620689655171</v>
      </c>
      <c r="D9" s="20">
        <v>23.582524271844662</v>
      </c>
      <c r="E9" s="20">
        <v>23.152905198776757</v>
      </c>
      <c r="K9" s="16" t="s">
        <v>6065</v>
      </c>
      <c r="L9">
        <v>139</v>
      </c>
    </row>
    <row r="10" spans="1:12" x14ac:dyDescent="0.25">
      <c r="A10" s="16" t="s">
        <v>6086</v>
      </c>
      <c r="B10" s="20">
        <v>25.805970149253731</v>
      </c>
      <c r="C10" s="20">
        <v>25.071428571428573</v>
      </c>
      <c r="D10" s="20">
        <v>20.157894736842106</v>
      </c>
      <c r="E10" s="20">
        <v>23.549295774647888</v>
      </c>
    </row>
    <row r="11" spans="1:12" x14ac:dyDescent="0.25">
      <c r="A11" s="16" t="s">
        <v>6091</v>
      </c>
      <c r="B11" s="20">
        <v>21.911111111111111</v>
      </c>
      <c r="C11" s="20">
        <v>24.857142857142858</v>
      </c>
      <c r="D11" s="20">
        <v>23.607142857142858</v>
      </c>
      <c r="E11" s="20">
        <v>23.44055944055944</v>
      </c>
    </row>
    <row r="12" spans="1:12" x14ac:dyDescent="0.25">
      <c r="A12" s="16" t="s">
        <v>6088</v>
      </c>
      <c r="B12" s="20">
        <v>24.375</v>
      </c>
      <c r="C12" s="20">
        <v>28</v>
      </c>
      <c r="D12" s="20">
        <v>24.448979591836736</v>
      </c>
      <c r="E12" s="20">
        <v>25.468253968253968</v>
      </c>
    </row>
    <row r="13" spans="1:12" x14ac:dyDescent="0.25">
      <c r="A13" s="16" t="s">
        <v>6065</v>
      </c>
      <c r="B13" s="20">
        <v>24.059101654846337</v>
      </c>
      <c r="C13" s="20">
        <v>23.739420935412028</v>
      </c>
      <c r="D13" s="20">
        <v>22.484444444444446</v>
      </c>
      <c r="E13" s="20">
        <v>23.414523449319212</v>
      </c>
    </row>
  </sheetData>
  <customSheetViews>
    <customSheetView guid="{35C3927A-F048-4142-A0D5-925A5B340B74}">
      <selection activeCell="K7" sqref="K7"/>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sheetPr>
  <dimension ref="A1:W2002"/>
  <sheetViews>
    <sheetView showGridLines="0" topLeftCell="E1" zoomScale="106" zoomScaleNormal="106" workbookViewId="0">
      <pane ySplit="83" topLeftCell="A1745" activePane="bottomLeft" state="frozen"/>
      <selection activeCell="E1" sqref="E1"/>
      <selection pane="bottomLeft" activeCell="F1" sqref="F1:F1048576"/>
    </sheetView>
  </sheetViews>
  <sheetFormatPr defaultColWidth="8.7109375" defaultRowHeight="15" x14ac:dyDescent="0.25"/>
  <cols>
    <col min="1" max="1" width="22" style="3" customWidth="1"/>
    <col min="2" max="4" width="20" style="3" customWidth="1"/>
    <col min="5" max="5" width="18" style="3" customWidth="1"/>
    <col min="6" max="7" width="16" style="3" customWidth="1"/>
    <col min="8" max="8" width="20" style="3" customWidth="1"/>
    <col min="9" max="9" width="18" style="3" customWidth="1"/>
    <col min="10" max="10" width="22" style="3" customWidth="1"/>
    <col min="11" max="12" width="14" style="3" customWidth="1"/>
    <col min="13" max="14" width="18" style="3" customWidth="1"/>
    <col min="15" max="16" width="20" style="3" customWidth="1"/>
    <col min="17" max="17" width="22" style="3" customWidth="1"/>
    <col min="18" max="18" width="12" style="3" customWidth="1"/>
    <col min="19" max="19" width="18" style="3" customWidth="1"/>
    <col min="20" max="20" width="12" style="3" customWidth="1"/>
    <col min="21" max="21" width="16" style="3" customWidth="1"/>
    <col min="22" max="22" width="12" style="3" customWidth="1"/>
    <col min="23" max="23" width="14" style="3" customWidth="1"/>
    <col min="24" max="16384" width="8.7109375" style="3"/>
  </cols>
  <sheetData>
    <row r="1" spans="1:23" ht="27.75" customHeight="1" x14ac:dyDescent="0.25">
      <c r="A1" s="1" t="s">
        <v>0</v>
      </c>
      <c r="B1" s="1" t="s">
        <v>1</v>
      </c>
      <c r="C1" s="1" t="s">
        <v>2</v>
      </c>
      <c r="D1" s="1" t="s">
        <v>3</v>
      </c>
      <c r="E1" s="1" t="s">
        <v>4</v>
      </c>
      <c r="F1" s="30"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row>
    <row r="2" spans="1:23" s="9" customFormat="1" ht="15.75" hidden="1" customHeight="1" x14ac:dyDescent="0.25">
      <c r="A2" s="4" t="s">
        <v>23</v>
      </c>
      <c r="B2" s="4" t="s">
        <v>24</v>
      </c>
      <c r="C2" s="4" t="s">
        <v>25</v>
      </c>
      <c r="D2" s="22" t="s">
        <v>6090</v>
      </c>
      <c r="E2" s="4" t="s">
        <v>26</v>
      </c>
      <c r="F2" s="4" t="s">
        <v>27</v>
      </c>
      <c r="G2" s="4" t="s">
        <v>28</v>
      </c>
      <c r="H2" s="4" t="s">
        <v>29</v>
      </c>
      <c r="I2" s="5">
        <v>45222</v>
      </c>
      <c r="J2" s="4" t="s">
        <v>30</v>
      </c>
      <c r="K2" s="5">
        <v>45342</v>
      </c>
      <c r="L2" s="4" t="s">
        <v>31</v>
      </c>
      <c r="M2" s="6">
        <v>47545</v>
      </c>
      <c r="N2" s="6">
        <v>7236</v>
      </c>
      <c r="O2" s="4" t="s">
        <v>32</v>
      </c>
      <c r="P2" s="4" t="s">
        <v>32</v>
      </c>
      <c r="Q2" s="4" t="s">
        <v>33</v>
      </c>
      <c r="R2" s="4" t="s">
        <v>33</v>
      </c>
      <c r="S2" s="4" t="s">
        <v>34</v>
      </c>
      <c r="T2" s="7">
        <v>6.5705999999999998</v>
      </c>
      <c r="U2" s="8">
        <v>120</v>
      </c>
      <c r="V2" s="8">
        <v>2024</v>
      </c>
      <c r="W2" s="4" t="s">
        <v>35</v>
      </c>
    </row>
    <row r="3" spans="1:23" s="9" customFormat="1" ht="15.75" hidden="1" customHeight="1" x14ac:dyDescent="0.25">
      <c r="A3" s="10" t="s">
        <v>36</v>
      </c>
      <c r="B3" s="10" t="s">
        <v>37</v>
      </c>
      <c r="C3" s="10" t="s">
        <v>38</v>
      </c>
      <c r="D3" s="22" t="s">
        <v>6090</v>
      </c>
      <c r="E3" s="10" t="s">
        <v>26</v>
      </c>
      <c r="F3" s="10" t="s">
        <v>27</v>
      </c>
      <c r="G3" s="10" t="s">
        <v>5</v>
      </c>
      <c r="H3" s="10" t="s">
        <v>39</v>
      </c>
      <c r="I3" s="11">
        <v>45154</v>
      </c>
      <c r="J3" s="10" t="s">
        <v>40</v>
      </c>
      <c r="K3" s="11">
        <v>45486</v>
      </c>
      <c r="L3" s="10" t="s">
        <v>31</v>
      </c>
      <c r="M3" s="12">
        <v>16168</v>
      </c>
      <c r="N3" s="12">
        <v>7951</v>
      </c>
      <c r="O3" s="10" t="s">
        <v>32</v>
      </c>
      <c r="P3" s="10" t="s">
        <v>32</v>
      </c>
      <c r="Q3" s="10" t="s">
        <v>33</v>
      </c>
      <c r="R3" s="10" t="s">
        <v>33</v>
      </c>
      <c r="S3" s="10" t="s">
        <v>41</v>
      </c>
      <c r="T3" s="13">
        <v>2.0335000000000001</v>
      </c>
      <c r="U3" s="14">
        <v>332</v>
      </c>
      <c r="V3" s="14">
        <v>2024</v>
      </c>
      <c r="W3" s="10" t="s">
        <v>42</v>
      </c>
    </row>
    <row r="4" spans="1:23" s="9" customFormat="1" ht="15.75" hidden="1" customHeight="1" x14ac:dyDescent="0.25">
      <c r="A4" s="4" t="s">
        <v>43</v>
      </c>
      <c r="B4" s="4" t="s">
        <v>44</v>
      </c>
      <c r="C4" s="4" t="s">
        <v>45</v>
      </c>
      <c r="D4" s="22" t="s">
        <v>6090</v>
      </c>
      <c r="E4" s="4" t="s">
        <v>26</v>
      </c>
      <c r="F4" s="4" t="s">
        <v>46</v>
      </c>
      <c r="G4" s="4" t="s">
        <v>5</v>
      </c>
      <c r="H4" s="4" t="s">
        <v>39</v>
      </c>
      <c r="I4" s="5">
        <v>45290</v>
      </c>
      <c r="J4" s="4" t="s">
        <v>40</v>
      </c>
      <c r="K4" s="5">
        <v>45401</v>
      </c>
      <c r="L4" s="4" t="s">
        <v>31</v>
      </c>
      <c r="M4" s="6">
        <v>11241</v>
      </c>
      <c r="N4" s="6">
        <v>3994</v>
      </c>
      <c r="O4" s="4" t="s">
        <v>32</v>
      </c>
      <c r="P4" s="4" t="s">
        <v>32</v>
      </c>
      <c r="Q4" s="4" t="s">
        <v>33</v>
      </c>
      <c r="R4" s="4" t="s">
        <v>33</v>
      </c>
      <c r="S4" s="4" t="s">
        <v>41</v>
      </c>
      <c r="T4" s="7">
        <v>2.8144999999999998</v>
      </c>
      <c r="U4" s="8">
        <v>111</v>
      </c>
      <c r="V4" s="8">
        <v>2024</v>
      </c>
      <c r="W4" s="4" t="s">
        <v>47</v>
      </c>
    </row>
    <row r="5" spans="1:23" s="9" customFormat="1" ht="15.75" hidden="1" customHeight="1" x14ac:dyDescent="0.25">
      <c r="A5" s="10" t="s">
        <v>48</v>
      </c>
      <c r="B5" s="10" t="s">
        <v>49</v>
      </c>
      <c r="C5" s="10" t="s">
        <v>50</v>
      </c>
      <c r="D5" s="21" t="s">
        <v>6089</v>
      </c>
      <c r="E5" s="10" t="s">
        <v>51</v>
      </c>
      <c r="F5" s="21" t="s">
        <v>6092</v>
      </c>
      <c r="G5" s="10" t="s">
        <v>28</v>
      </c>
      <c r="H5" s="10" t="s">
        <v>39</v>
      </c>
      <c r="I5" s="11">
        <v>45134</v>
      </c>
      <c r="J5" s="10" t="s">
        <v>40</v>
      </c>
      <c r="K5" s="11">
        <v>45428</v>
      </c>
      <c r="L5" s="10" t="s">
        <v>31</v>
      </c>
      <c r="M5" s="12">
        <v>38646</v>
      </c>
      <c r="N5" s="12">
        <v>5713</v>
      </c>
      <c r="O5" s="10" t="s">
        <v>32</v>
      </c>
      <c r="P5" s="10" t="s">
        <v>32</v>
      </c>
      <c r="Q5" s="10" t="s">
        <v>33</v>
      </c>
      <c r="R5" s="10" t="s">
        <v>33</v>
      </c>
      <c r="S5" s="10" t="s">
        <v>41</v>
      </c>
      <c r="T5" s="13">
        <v>6.7645999999999997</v>
      </c>
      <c r="U5" s="14">
        <v>294</v>
      </c>
      <c r="V5" s="14">
        <v>2024</v>
      </c>
      <c r="W5" s="10" t="s">
        <v>52</v>
      </c>
    </row>
    <row r="6" spans="1:23" s="9" customFormat="1" ht="15.75" hidden="1" customHeight="1" x14ac:dyDescent="0.25">
      <c r="A6" s="4" t="s">
        <v>53</v>
      </c>
      <c r="B6" s="4" t="s">
        <v>54</v>
      </c>
      <c r="C6" s="4" t="s">
        <v>55</v>
      </c>
      <c r="D6" s="22" t="s">
        <v>6087</v>
      </c>
      <c r="E6" s="4" t="s">
        <v>26</v>
      </c>
      <c r="F6" s="4" t="s">
        <v>56</v>
      </c>
      <c r="G6" s="4" t="s">
        <v>57</v>
      </c>
      <c r="H6" s="4" t="s">
        <v>58</v>
      </c>
      <c r="I6" s="5">
        <v>45534</v>
      </c>
      <c r="J6" s="4" t="s">
        <v>30</v>
      </c>
      <c r="K6" s="5">
        <v>45604</v>
      </c>
      <c r="L6" s="4" t="s">
        <v>59</v>
      </c>
      <c r="M6" s="6">
        <v>21352</v>
      </c>
      <c r="N6" s="6">
        <v>3680</v>
      </c>
      <c r="O6" s="4">
        <v>13</v>
      </c>
      <c r="P6" s="5">
        <v>45617</v>
      </c>
      <c r="Q6" s="4" t="s">
        <v>33</v>
      </c>
      <c r="R6" s="4" t="s">
        <v>33</v>
      </c>
      <c r="S6" s="4" t="s">
        <v>60</v>
      </c>
      <c r="T6" s="7">
        <v>5.8022</v>
      </c>
      <c r="U6" s="8">
        <v>70</v>
      </c>
      <c r="V6" s="8">
        <v>2024</v>
      </c>
      <c r="W6" s="4" t="s">
        <v>61</v>
      </c>
    </row>
    <row r="7" spans="1:23" s="9" customFormat="1" ht="15.75" hidden="1" customHeight="1" x14ac:dyDescent="0.25">
      <c r="A7" s="10" t="s">
        <v>62</v>
      </c>
      <c r="B7" s="10" t="s">
        <v>63</v>
      </c>
      <c r="C7" s="10" t="s">
        <v>64</v>
      </c>
      <c r="D7" s="21" t="s">
        <v>6086</v>
      </c>
      <c r="E7" s="10" t="s">
        <v>26</v>
      </c>
      <c r="F7" s="10" t="s">
        <v>65</v>
      </c>
      <c r="G7" s="10" t="s">
        <v>5</v>
      </c>
      <c r="H7" s="10" t="s">
        <v>58</v>
      </c>
      <c r="I7" s="11">
        <v>45415</v>
      </c>
      <c r="J7" s="10" t="s">
        <v>40</v>
      </c>
      <c r="K7" s="11">
        <v>45466</v>
      </c>
      <c r="L7" s="10" t="s">
        <v>66</v>
      </c>
      <c r="M7" s="12">
        <v>89458</v>
      </c>
      <c r="N7" s="12">
        <v>6003</v>
      </c>
      <c r="O7" s="10" t="s">
        <v>32</v>
      </c>
      <c r="P7" s="10" t="s">
        <v>32</v>
      </c>
      <c r="Q7" s="10" t="s">
        <v>33</v>
      </c>
      <c r="R7" s="10" t="s">
        <v>33</v>
      </c>
      <c r="S7" s="10" t="s">
        <v>34</v>
      </c>
      <c r="T7" s="13">
        <v>14.902200000000001</v>
      </c>
      <c r="U7" s="14">
        <v>51</v>
      </c>
      <c r="V7" s="14">
        <v>2024</v>
      </c>
      <c r="W7" s="10" t="s">
        <v>67</v>
      </c>
    </row>
    <row r="8" spans="1:23" s="9" customFormat="1" ht="15.75" hidden="1" customHeight="1" x14ac:dyDescent="0.25">
      <c r="A8" s="4" t="s">
        <v>68</v>
      </c>
      <c r="B8" s="4" t="s">
        <v>69</v>
      </c>
      <c r="C8" s="4" t="s">
        <v>70</v>
      </c>
      <c r="D8" s="22" t="s">
        <v>6087</v>
      </c>
      <c r="E8" s="4" t="s">
        <v>51</v>
      </c>
      <c r="F8" s="4" t="s">
        <v>71</v>
      </c>
      <c r="G8" s="4" t="s">
        <v>28</v>
      </c>
      <c r="H8" s="4" t="s">
        <v>72</v>
      </c>
      <c r="I8" s="5">
        <v>45171</v>
      </c>
      <c r="J8" s="4" t="s">
        <v>30</v>
      </c>
      <c r="K8" s="5">
        <v>45320</v>
      </c>
      <c r="L8" s="4" t="s">
        <v>59</v>
      </c>
      <c r="M8" s="6">
        <v>5049</v>
      </c>
      <c r="N8" s="6">
        <v>4328</v>
      </c>
      <c r="O8" s="4">
        <v>17</v>
      </c>
      <c r="P8" s="5">
        <v>45337</v>
      </c>
      <c r="Q8" s="4" t="s">
        <v>33</v>
      </c>
      <c r="R8" s="4" t="s">
        <v>33</v>
      </c>
      <c r="S8" s="4" t="s">
        <v>60</v>
      </c>
      <c r="T8" s="7">
        <v>1.1666000000000001</v>
      </c>
      <c r="U8" s="8">
        <v>149</v>
      </c>
      <c r="V8" s="8">
        <v>2024</v>
      </c>
      <c r="W8" s="4" t="s">
        <v>73</v>
      </c>
    </row>
    <row r="9" spans="1:23" s="9" customFormat="1" ht="15.75" hidden="1" customHeight="1" x14ac:dyDescent="0.25">
      <c r="A9" s="10" t="s">
        <v>74</v>
      </c>
      <c r="B9" s="10" t="s">
        <v>75</v>
      </c>
      <c r="C9" s="10" t="s">
        <v>76</v>
      </c>
      <c r="D9" s="21" t="s">
        <v>6091</v>
      </c>
      <c r="E9" s="10" t="s">
        <v>51</v>
      </c>
      <c r="F9" s="10" t="s">
        <v>46</v>
      </c>
      <c r="G9" s="10" t="s">
        <v>57</v>
      </c>
      <c r="H9" s="10" t="s">
        <v>39</v>
      </c>
      <c r="I9" s="11">
        <v>45257</v>
      </c>
      <c r="J9" s="10" t="s">
        <v>40</v>
      </c>
      <c r="K9" s="11">
        <v>45369</v>
      </c>
      <c r="L9" s="10" t="s">
        <v>59</v>
      </c>
      <c r="M9" s="12">
        <v>5338</v>
      </c>
      <c r="N9" s="12">
        <v>2720</v>
      </c>
      <c r="O9" s="10">
        <v>6</v>
      </c>
      <c r="P9" s="11">
        <v>45375</v>
      </c>
      <c r="Q9" s="10" t="s">
        <v>33</v>
      </c>
      <c r="R9" s="10" t="s">
        <v>33</v>
      </c>
      <c r="S9" s="10" t="s">
        <v>41</v>
      </c>
      <c r="T9" s="13">
        <v>1.9624999999999999</v>
      </c>
      <c r="U9" s="14">
        <v>112</v>
      </c>
      <c r="V9" s="14">
        <v>2024</v>
      </c>
      <c r="W9" s="10" t="s">
        <v>77</v>
      </c>
    </row>
    <row r="10" spans="1:23" s="9" customFormat="1" ht="15.75" hidden="1" customHeight="1" x14ac:dyDescent="0.25">
      <c r="A10" s="4" t="s">
        <v>78</v>
      </c>
      <c r="B10" s="4" t="s">
        <v>79</v>
      </c>
      <c r="C10" s="4" t="s">
        <v>80</v>
      </c>
      <c r="D10" s="22" t="s">
        <v>6090</v>
      </c>
      <c r="E10" s="4" t="s">
        <v>26</v>
      </c>
      <c r="F10" s="21" t="s">
        <v>6092</v>
      </c>
      <c r="G10" s="4" t="s">
        <v>5</v>
      </c>
      <c r="H10" s="4" t="s">
        <v>72</v>
      </c>
      <c r="I10" s="5">
        <v>45360</v>
      </c>
      <c r="J10" s="4" t="s">
        <v>30</v>
      </c>
      <c r="K10" s="5">
        <v>45453</v>
      </c>
      <c r="L10" s="4" t="s">
        <v>59</v>
      </c>
      <c r="M10" s="6">
        <v>19024</v>
      </c>
      <c r="N10" s="6">
        <v>8647</v>
      </c>
      <c r="O10" s="4">
        <v>18</v>
      </c>
      <c r="P10" s="5">
        <v>45471</v>
      </c>
      <c r="Q10" s="4" t="s">
        <v>33</v>
      </c>
      <c r="R10" s="4" t="s">
        <v>33</v>
      </c>
      <c r="S10" s="4" t="s">
        <v>60</v>
      </c>
      <c r="T10" s="7">
        <v>2.2000999999999999</v>
      </c>
      <c r="U10" s="8">
        <v>93</v>
      </c>
      <c r="V10" s="8">
        <v>2024</v>
      </c>
      <c r="W10" s="4" t="s">
        <v>67</v>
      </c>
    </row>
    <row r="11" spans="1:23" s="9" customFormat="1" ht="15.75" hidden="1" customHeight="1" x14ac:dyDescent="0.25">
      <c r="A11" s="10" t="s">
        <v>81</v>
      </c>
      <c r="B11" s="10" t="s">
        <v>82</v>
      </c>
      <c r="C11" s="10" t="s">
        <v>83</v>
      </c>
      <c r="D11" s="21" t="s">
        <v>6088</v>
      </c>
      <c r="E11" s="10" t="s">
        <v>26</v>
      </c>
      <c r="F11" s="10" t="s">
        <v>71</v>
      </c>
      <c r="G11" s="10" t="s">
        <v>57</v>
      </c>
      <c r="H11" s="10" t="s">
        <v>39</v>
      </c>
      <c r="I11" s="11">
        <v>45079</v>
      </c>
      <c r="J11" s="10" t="s">
        <v>30</v>
      </c>
      <c r="K11" s="11">
        <v>45343</v>
      </c>
      <c r="L11" s="10" t="s">
        <v>66</v>
      </c>
      <c r="M11" s="12">
        <v>62465</v>
      </c>
      <c r="N11" s="12">
        <v>2661</v>
      </c>
      <c r="O11" s="10" t="s">
        <v>32</v>
      </c>
      <c r="P11" s="10" t="s">
        <v>32</v>
      </c>
      <c r="Q11" s="10" t="s">
        <v>33</v>
      </c>
      <c r="R11" s="10" t="s">
        <v>33</v>
      </c>
      <c r="S11" s="10" t="s">
        <v>60</v>
      </c>
      <c r="T11" s="13">
        <v>23.474299999999999</v>
      </c>
      <c r="U11" s="14">
        <v>264</v>
      </c>
      <c r="V11" s="14">
        <v>2024</v>
      </c>
      <c r="W11" s="10" t="s">
        <v>35</v>
      </c>
    </row>
    <row r="12" spans="1:23" s="9" customFormat="1" ht="15.75" hidden="1" customHeight="1" x14ac:dyDescent="0.25">
      <c r="A12" s="4" t="s">
        <v>84</v>
      </c>
      <c r="B12" s="4" t="s">
        <v>85</v>
      </c>
      <c r="C12" s="4" t="s">
        <v>86</v>
      </c>
      <c r="D12" s="22" t="s">
        <v>6090</v>
      </c>
      <c r="E12" s="4" t="s">
        <v>87</v>
      </c>
      <c r="F12" s="4" t="s">
        <v>71</v>
      </c>
      <c r="G12" s="4" t="s">
        <v>57</v>
      </c>
      <c r="H12" s="4" t="s">
        <v>88</v>
      </c>
      <c r="I12" s="5">
        <v>45395</v>
      </c>
      <c r="J12" s="4" t="s">
        <v>40</v>
      </c>
      <c r="K12" s="5">
        <v>45645</v>
      </c>
      <c r="L12" s="4" t="s">
        <v>59</v>
      </c>
      <c r="M12" s="6">
        <v>41147</v>
      </c>
      <c r="N12" s="6">
        <v>7954</v>
      </c>
      <c r="O12" s="4">
        <v>23</v>
      </c>
      <c r="P12" s="5">
        <v>45668</v>
      </c>
      <c r="Q12" s="4" t="s">
        <v>33</v>
      </c>
      <c r="R12" s="4" t="s">
        <v>33</v>
      </c>
      <c r="S12" s="4" t="s">
        <v>41</v>
      </c>
      <c r="T12" s="7">
        <v>5.1730999999999998</v>
      </c>
      <c r="U12" s="8">
        <v>250</v>
      </c>
      <c r="V12" s="8">
        <v>2024</v>
      </c>
      <c r="W12" s="4" t="s">
        <v>89</v>
      </c>
    </row>
    <row r="13" spans="1:23" s="9" customFormat="1" ht="15.75" hidden="1" customHeight="1" x14ac:dyDescent="0.25">
      <c r="A13" s="10" t="s">
        <v>90</v>
      </c>
      <c r="B13" s="10" t="s">
        <v>91</v>
      </c>
      <c r="C13" s="10" t="s">
        <v>92</v>
      </c>
      <c r="D13" s="21" t="s">
        <v>6086</v>
      </c>
      <c r="E13" s="10" t="s">
        <v>51</v>
      </c>
      <c r="F13" s="10" t="s">
        <v>46</v>
      </c>
      <c r="G13" s="10" t="s">
        <v>5</v>
      </c>
      <c r="H13" s="10" t="s">
        <v>93</v>
      </c>
      <c r="I13" s="11">
        <v>45528</v>
      </c>
      <c r="J13" s="10" t="s">
        <v>40</v>
      </c>
      <c r="K13" s="11">
        <v>45575</v>
      </c>
      <c r="L13" s="10" t="s">
        <v>59</v>
      </c>
      <c r="M13" s="12">
        <v>67525</v>
      </c>
      <c r="N13" s="12">
        <v>7043</v>
      </c>
      <c r="O13" s="10">
        <v>5</v>
      </c>
      <c r="P13" s="11">
        <v>45580</v>
      </c>
      <c r="Q13" s="10" t="s">
        <v>94</v>
      </c>
      <c r="R13" s="10" t="s">
        <v>94</v>
      </c>
      <c r="S13" s="10" t="s">
        <v>41</v>
      </c>
      <c r="T13" s="13">
        <v>9.5875000000000004</v>
      </c>
      <c r="U13" s="14">
        <v>47</v>
      </c>
      <c r="V13" s="14">
        <v>2024</v>
      </c>
      <c r="W13" s="10" t="s">
        <v>95</v>
      </c>
    </row>
    <row r="14" spans="1:23" s="9" customFormat="1" ht="15.75" hidden="1" customHeight="1" x14ac:dyDescent="0.25">
      <c r="A14" s="4" t="s">
        <v>96</v>
      </c>
      <c r="B14" s="4" t="s">
        <v>97</v>
      </c>
      <c r="C14" s="4" t="s">
        <v>98</v>
      </c>
      <c r="D14" s="22" t="s">
        <v>6087</v>
      </c>
      <c r="E14" s="4" t="s">
        <v>26</v>
      </c>
      <c r="F14" s="4" t="s">
        <v>46</v>
      </c>
      <c r="G14" s="4" t="s">
        <v>5</v>
      </c>
      <c r="H14" s="4" t="s">
        <v>88</v>
      </c>
      <c r="I14" s="5">
        <v>45036</v>
      </c>
      <c r="J14" s="4" t="s">
        <v>30</v>
      </c>
      <c r="K14" s="5">
        <v>45328</v>
      </c>
      <c r="L14" s="4" t="s">
        <v>59</v>
      </c>
      <c r="M14" s="6">
        <v>11229</v>
      </c>
      <c r="N14" s="6">
        <v>3878</v>
      </c>
      <c r="O14" s="4">
        <v>40</v>
      </c>
      <c r="P14" s="5">
        <v>45368</v>
      </c>
      <c r="Q14" s="4" t="s">
        <v>33</v>
      </c>
      <c r="R14" s="4" t="s">
        <v>33</v>
      </c>
      <c r="S14" s="4" t="s">
        <v>41</v>
      </c>
      <c r="T14" s="7">
        <v>2.8956</v>
      </c>
      <c r="U14" s="8">
        <v>292</v>
      </c>
      <c r="V14" s="8">
        <v>2024</v>
      </c>
      <c r="W14" s="4" t="s">
        <v>35</v>
      </c>
    </row>
    <row r="15" spans="1:23" s="9" customFormat="1" ht="15.75" hidden="1" customHeight="1" x14ac:dyDescent="0.25">
      <c r="A15" s="10" t="s">
        <v>99</v>
      </c>
      <c r="B15" s="10" t="s">
        <v>100</v>
      </c>
      <c r="C15" s="10" t="s">
        <v>101</v>
      </c>
      <c r="D15" s="21" t="s">
        <v>6086</v>
      </c>
      <c r="E15" s="10" t="s">
        <v>51</v>
      </c>
      <c r="F15" s="10" t="s">
        <v>46</v>
      </c>
      <c r="G15" s="10" t="s">
        <v>57</v>
      </c>
      <c r="H15" s="10" t="s">
        <v>29</v>
      </c>
      <c r="I15" s="11">
        <v>45178</v>
      </c>
      <c r="J15" s="10" t="s">
        <v>40</v>
      </c>
      <c r="K15" s="11">
        <v>45361</v>
      </c>
      <c r="L15" s="10" t="s">
        <v>59</v>
      </c>
      <c r="M15" s="12">
        <v>77481</v>
      </c>
      <c r="N15" s="12">
        <v>4241</v>
      </c>
      <c r="O15" s="10">
        <v>21</v>
      </c>
      <c r="P15" s="11">
        <v>45382</v>
      </c>
      <c r="Q15" s="10" t="s">
        <v>33</v>
      </c>
      <c r="R15" s="10" t="s">
        <v>33</v>
      </c>
      <c r="S15" s="10" t="s">
        <v>34</v>
      </c>
      <c r="T15" s="13">
        <v>18.269500000000001</v>
      </c>
      <c r="U15" s="14">
        <v>183</v>
      </c>
      <c r="V15" s="14">
        <v>2024</v>
      </c>
      <c r="W15" s="10" t="s">
        <v>77</v>
      </c>
    </row>
    <row r="16" spans="1:23" s="9" customFormat="1" ht="15.75" hidden="1" customHeight="1" x14ac:dyDescent="0.25">
      <c r="A16" s="4" t="s">
        <v>102</v>
      </c>
      <c r="B16" s="4" t="s">
        <v>103</v>
      </c>
      <c r="C16" s="4" t="s">
        <v>104</v>
      </c>
      <c r="D16" s="21" t="s">
        <v>6091</v>
      </c>
      <c r="E16" s="4" t="s">
        <v>26</v>
      </c>
      <c r="F16" s="4" t="s">
        <v>65</v>
      </c>
      <c r="G16" s="4" t="s">
        <v>5</v>
      </c>
      <c r="H16" s="4" t="s">
        <v>39</v>
      </c>
      <c r="I16" s="5">
        <v>45384</v>
      </c>
      <c r="J16" s="4" t="s">
        <v>40</v>
      </c>
      <c r="K16" s="5">
        <v>45485</v>
      </c>
      <c r="L16" s="4" t="s">
        <v>31</v>
      </c>
      <c r="M16" s="6">
        <v>4682</v>
      </c>
      <c r="N16" s="6">
        <v>7664</v>
      </c>
      <c r="O16" s="4" t="s">
        <v>32</v>
      </c>
      <c r="P16" s="4" t="s">
        <v>32</v>
      </c>
      <c r="Q16" s="4" t="s">
        <v>33</v>
      </c>
      <c r="R16" s="4" t="s">
        <v>33</v>
      </c>
      <c r="S16" s="4" t="s">
        <v>34</v>
      </c>
      <c r="T16" s="7">
        <v>0.6109</v>
      </c>
      <c r="U16" s="8">
        <v>101</v>
      </c>
      <c r="V16" s="8">
        <v>2024</v>
      </c>
      <c r="W16" s="4" t="s">
        <v>42</v>
      </c>
    </row>
    <row r="17" spans="1:23" s="9" customFormat="1" ht="15.75" hidden="1" customHeight="1" x14ac:dyDescent="0.25">
      <c r="A17" s="10" t="s">
        <v>105</v>
      </c>
      <c r="B17" s="10" t="s">
        <v>106</v>
      </c>
      <c r="C17" s="10" t="s">
        <v>107</v>
      </c>
      <c r="D17" s="21" t="s">
        <v>6091</v>
      </c>
      <c r="E17" s="10" t="s">
        <v>51</v>
      </c>
      <c r="F17" s="21" t="s">
        <v>6092</v>
      </c>
      <c r="G17" s="10" t="s">
        <v>57</v>
      </c>
      <c r="H17" s="10" t="s">
        <v>88</v>
      </c>
      <c r="I17" s="11">
        <v>45026</v>
      </c>
      <c r="J17" s="10" t="s">
        <v>40</v>
      </c>
      <c r="K17" s="11">
        <v>45333</v>
      </c>
      <c r="L17" s="10" t="s">
        <v>59</v>
      </c>
      <c r="M17" s="12">
        <v>16256</v>
      </c>
      <c r="N17" s="12">
        <v>1164</v>
      </c>
      <c r="O17" s="10">
        <v>29</v>
      </c>
      <c r="P17" s="11">
        <v>45362</v>
      </c>
      <c r="Q17" s="10" t="s">
        <v>33</v>
      </c>
      <c r="R17" s="10" t="s">
        <v>33</v>
      </c>
      <c r="S17" s="10" t="s">
        <v>60</v>
      </c>
      <c r="T17" s="13">
        <v>13.9656</v>
      </c>
      <c r="U17" s="14">
        <v>307</v>
      </c>
      <c r="V17" s="14">
        <v>2024</v>
      </c>
      <c r="W17" s="10" t="s">
        <v>35</v>
      </c>
    </row>
    <row r="18" spans="1:23" s="9" customFormat="1" ht="15.75" hidden="1" customHeight="1" x14ac:dyDescent="0.25">
      <c r="A18" s="4" t="s">
        <v>108</v>
      </c>
      <c r="B18" s="4" t="s">
        <v>109</v>
      </c>
      <c r="C18" s="4" t="s">
        <v>110</v>
      </c>
      <c r="D18" s="22" t="s">
        <v>6090</v>
      </c>
      <c r="E18" s="4" t="s">
        <v>51</v>
      </c>
      <c r="F18" s="4" t="s">
        <v>46</v>
      </c>
      <c r="G18" s="4" t="s">
        <v>57</v>
      </c>
      <c r="H18" s="4" t="s">
        <v>93</v>
      </c>
      <c r="I18" s="5">
        <v>45272</v>
      </c>
      <c r="J18" s="4" t="s">
        <v>40</v>
      </c>
      <c r="K18" s="5">
        <v>45629</v>
      </c>
      <c r="L18" s="4" t="s">
        <v>59</v>
      </c>
      <c r="M18" s="6">
        <v>54402</v>
      </c>
      <c r="N18" s="6">
        <v>7846</v>
      </c>
      <c r="O18" s="4">
        <v>5</v>
      </c>
      <c r="P18" s="5">
        <v>45634</v>
      </c>
      <c r="Q18" s="4" t="s">
        <v>33</v>
      </c>
      <c r="R18" s="4" t="s">
        <v>33</v>
      </c>
      <c r="S18" s="4" t="s">
        <v>41</v>
      </c>
      <c r="T18" s="7">
        <v>6.9337</v>
      </c>
      <c r="U18" s="8">
        <v>357</v>
      </c>
      <c r="V18" s="8">
        <v>2024</v>
      </c>
      <c r="W18" s="4" t="s">
        <v>89</v>
      </c>
    </row>
    <row r="19" spans="1:23" s="9" customFormat="1" ht="15.75" hidden="1" customHeight="1" x14ac:dyDescent="0.25">
      <c r="A19" s="10" t="s">
        <v>111</v>
      </c>
      <c r="B19" s="10" t="s">
        <v>112</v>
      </c>
      <c r="C19" s="10" t="s">
        <v>113</v>
      </c>
      <c r="D19" s="22" t="s">
        <v>6090</v>
      </c>
      <c r="E19" s="10" t="s">
        <v>26</v>
      </c>
      <c r="F19" s="21" t="s">
        <v>6092</v>
      </c>
      <c r="G19" s="10" t="s">
        <v>57</v>
      </c>
      <c r="H19" s="10" t="s">
        <v>29</v>
      </c>
      <c r="I19" s="11">
        <v>45236</v>
      </c>
      <c r="J19" s="10" t="s">
        <v>30</v>
      </c>
      <c r="K19" s="11">
        <v>45531</v>
      </c>
      <c r="L19" s="10" t="s">
        <v>59</v>
      </c>
      <c r="M19" s="12">
        <v>49517</v>
      </c>
      <c r="N19" s="12">
        <v>4760</v>
      </c>
      <c r="O19" s="10">
        <v>6</v>
      </c>
      <c r="P19" s="11">
        <v>45537</v>
      </c>
      <c r="Q19" s="10" t="s">
        <v>33</v>
      </c>
      <c r="R19" s="10" t="s">
        <v>33</v>
      </c>
      <c r="S19" s="10" t="s">
        <v>41</v>
      </c>
      <c r="T19" s="13">
        <v>10.402699999999999</v>
      </c>
      <c r="U19" s="14">
        <v>295</v>
      </c>
      <c r="V19" s="14">
        <v>2024</v>
      </c>
      <c r="W19" s="10" t="s">
        <v>114</v>
      </c>
    </row>
    <row r="20" spans="1:23" s="9" customFormat="1" ht="15.75" hidden="1" customHeight="1" x14ac:dyDescent="0.25">
      <c r="A20" s="4" t="s">
        <v>115</v>
      </c>
      <c r="B20" s="4" t="s">
        <v>116</v>
      </c>
      <c r="C20" s="4" t="s">
        <v>117</v>
      </c>
      <c r="D20" s="21" t="s">
        <v>6086</v>
      </c>
      <c r="E20" s="4" t="s">
        <v>51</v>
      </c>
      <c r="F20" s="4" t="s">
        <v>56</v>
      </c>
      <c r="G20" s="4" t="s">
        <v>57</v>
      </c>
      <c r="H20" s="4" t="s">
        <v>118</v>
      </c>
      <c r="I20" s="5">
        <v>45237</v>
      </c>
      <c r="J20" s="4" t="s">
        <v>30</v>
      </c>
      <c r="K20" s="5">
        <v>45373</v>
      </c>
      <c r="L20" s="4" t="s">
        <v>59</v>
      </c>
      <c r="M20" s="6">
        <v>82377</v>
      </c>
      <c r="N20" s="6">
        <v>1029</v>
      </c>
      <c r="O20" s="4">
        <v>3</v>
      </c>
      <c r="P20" s="5">
        <v>45376</v>
      </c>
      <c r="Q20" s="4" t="s">
        <v>94</v>
      </c>
      <c r="R20" s="4" t="s">
        <v>94</v>
      </c>
      <c r="S20" s="4" t="s">
        <v>34</v>
      </c>
      <c r="T20" s="7">
        <v>80.055400000000006</v>
      </c>
      <c r="U20" s="8">
        <v>136</v>
      </c>
      <c r="V20" s="8">
        <v>2024</v>
      </c>
      <c r="W20" s="4" t="s">
        <v>77</v>
      </c>
    </row>
    <row r="21" spans="1:23" s="9" customFormat="1" ht="15.75" hidden="1" customHeight="1" x14ac:dyDescent="0.25">
      <c r="A21" s="10" t="s">
        <v>119</v>
      </c>
      <c r="B21" s="10" t="s">
        <v>120</v>
      </c>
      <c r="C21" s="10" t="s">
        <v>121</v>
      </c>
      <c r="D21" s="22" t="s">
        <v>6090</v>
      </c>
      <c r="E21" s="10" t="s">
        <v>87</v>
      </c>
      <c r="F21" s="10" t="s">
        <v>46</v>
      </c>
      <c r="G21" s="10" t="s">
        <v>5</v>
      </c>
      <c r="H21" s="10" t="s">
        <v>93</v>
      </c>
      <c r="I21" s="11">
        <v>45264</v>
      </c>
      <c r="J21" s="10" t="s">
        <v>40</v>
      </c>
      <c r="K21" s="11">
        <v>45364</v>
      </c>
      <c r="L21" s="10" t="s">
        <v>66</v>
      </c>
      <c r="M21" s="12">
        <v>42101</v>
      </c>
      <c r="N21" s="12">
        <v>5922</v>
      </c>
      <c r="O21" s="10" t="s">
        <v>32</v>
      </c>
      <c r="P21" s="10" t="s">
        <v>32</v>
      </c>
      <c r="Q21" s="10" t="s">
        <v>33</v>
      </c>
      <c r="R21" s="10" t="s">
        <v>33</v>
      </c>
      <c r="S21" s="10" t="s">
        <v>34</v>
      </c>
      <c r="T21" s="13">
        <v>7.1093000000000002</v>
      </c>
      <c r="U21" s="14">
        <v>100</v>
      </c>
      <c r="V21" s="14">
        <v>2024</v>
      </c>
      <c r="W21" s="10" t="s">
        <v>77</v>
      </c>
    </row>
    <row r="22" spans="1:23" s="9" customFormat="1" ht="15.75" hidden="1" customHeight="1" x14ac:dyDescent="0.25">
      <c r="A22" s="4" t="s">
        <v>122</v>
      </c>
      <c r="B22" s="4" t="s">
        <v>123</v>
      </c>
      <c r="C22" s="4" t="s">
        <v>124</v>
      </c>
      <c r="D22" s="21" t="s">
        <v>6089</v>
      </c>
      <c r="E22" s="4" t="s">
        <v>87</v>
      </c>
      <c r="F22" s="4" t="s">
        <v>27</v>
      </c>
      <c r="G22" s="4" t="s">
        <v>5</v>
      </c>
      <c r="H22" s="4" t="s">
        <v>118</v>
      </c>
      <c r="I22" s="5">
        <v>45077</v>
      </c>
      <c r="J22" s="4" t="s">
        <v>40</v>
      </c>
      <c r="K22" s="5">
        <v>45328</v>
      </c>
      <c r="L22" s="4" t="s">
        <v>59</v>
      </c>
      <c r="M22" s="6">
        <v>11147</v>
      </c>
      <c r="N22" s="6">
        <v>7383</v>
      </c>
      <c r="O22" s="4">
        <v>28</v>
      </c>
      <c r="P22" s="5">
        <v>45356</v>
      </c>
      <c r="Q22" s="4" t="s">
        <v>33</v>
      </c>
      <c r="R22" s="4" t="s">
        <v>33</v>
      </c>
      <c r="S22" s="4" t="s">
        <v>34</v>
      </c>
      <c r="T22" s="7">
        <v>1.5098</v>
      </c>
      <c r="U22" s="8">
        <v>251</v>
      </c>
      <c r="V22" s="8">
        <v>2024</v>
      </c>
      <c r="W22" s="4" t="s">
        <v>35</v>
      </c>
    </row>
    <row r="23" spans="1:23" s="9" customFormat="1" ht="15.75" hidden="1" customHeight="1" x14ac:dyDescent="0.25">
      <c r="A23" s="10" t="s">
        <v>125</v>
      </c>
      <c r="B23" s="10" t="s">
        <v>126</v>
      </c>
      <c r="C23" s="10" t="s">
        <v>127</v>
      </c>
      <c r="D23" s="21" t="s">
        <v>6086</v>
      </c>
      <c r="E23" s="10" t="s">
        <v>87</v>
      </c>
      <c r="F23" s="10" t="s">
        <v>46</v>
      </c>
      <c r="G23" s="10" t="s">
        <v>5</v>
      </c>
      <c r="H23" s="10" t="s">
        <v>118</v>
      </c>
      <c r="I23" s="11">
        <v>45260</v>
      </c>
      <c r="J23" s="10" t="s">
        <v>40</v>
      </c>
      <c r="K23" s="11">
        <v>45399</v>
      </c>
      <c r="L23" s="10" t="s">
        <v>59</v>
      </c>
      <c r="M23" s="12">
        <v>40242</v>
      </c>
      <c r="N23" s="12">
        <v>3268</v>
      </c>
      <c r="O23" s="10">
        <v>42</v>
      </c>
      <c r="P23" s="11">
        <v>45441</v>
      </c>
      <c r="Q23" s="10" t="s">
        <v>33</v>
      </c>
      <c r="R23" s="10" t="s">
        <v>33</v>
      </c>
      <c r="S23" s="10" t="s">
        <v>41</v>
      </c>
      <c r="T23" s="13">
        <v>12.314</v>
      </c>
      <c r="U23" s="14">
        <v>139</v>
      </c>
      <c r="V23" s="14">
        <v>2024</v>
      </c>
      <c r="W23" s="10" t="s">
        <v>47</v>
      </c>
    </row>
    <row r="24" spans="1:23" s="9" customFormat="1" ht="15.75" hidden="1" customHeight="1" x14ac:dyDescent="0.25">
      <c r="A24" s="4" t="s">
        <v>128</v>
      </c>
      <c r="B24" s="4" t="s">
        <v>129</v>
      </c>
      <c r="C24" s="4" t="s">
        <v>130</v>
      </c>
      <c r="D24" s="22" t="s">
        <v>6090</v>
      </c>
      <c r="E24" s="4" t="s">
        <v>51</v>
      </c>
      <c r="F24" s="4" t="s">
        <v>27</v>
      </c>
      <c r="G24" s="4" t="s">
        <v>5</v>
      </c>
      <c r="H24" s="4" t="s">
        <v>93</v>
      </c>
      <c r="I24" s="5">
        <v>45311</v>
      </c>
      <c r="J24" s="4" t="s">
        <v>30</v>
      </c>
      <c r="K24" s="5">
        <v>45570</v>
      </c>
      <c r="L24" s="4" t="s">
        <v>59</v>
      </c>
      <c r="M24" s="6">
        <v>4747</v>
      </c>
      <c r="N24" s="6">
        <v>4656</v>
      </c>
      <c r="O24" s="4">
        <v>31</v>
      </c>
      <c r="P24" s="5">
        <v>45601</v>
      </c>
      <c r="Q24" s="4" t="s">
        <v>33</v>
      </c>
      <c r="R24" s="4" t="s">
        <v>33</v>
      </c>
      <c r="S24" s="4" t="s">
        <v>60</v>
      </c>
      <c r="T24" s="7">
        <v>1.0195000000000001</v>
      </c>
      <c r="U24" s="8">
        <v>259</v>
      </c>
      <c r="V24" s="8">
        <v>2024</v>
      </c>
      <c r="W24" s="4" t="s">
        <v>95</v>
      </c>
    </row>
    <row r="25" spans="1:23" s="9" customFormat="1" ht="15.75" hidden="1" customHeight="1" x14ac:dyDescent="0.25">
      <c r="A25" s="10" t="s">
        <v>131</v>
      </c>
      <c r="B25" s="10" t="s">
        <v>132</v>
      </c>
      <c r="C25" s="10" t="s">
        <v>133</v>
      </c>
      <c r="D25" s="22" t="s">
        <v>6090</v>
      </c>
      <c r="E25" s="10" t="s">
        <v>87</v>
      </c>
      <c r="F25" s="10" t="s">
        <v>46</v>
      </c>
      <c r="G25" s="10" t="s">
        <v>5</v>
      </c>
      <c r="H25" s="10" t="s">
        <v>118</v>
      </c>
      <c r="I25" s="11">
        <v>45233</v>
      </c>
      <c r="J25" s="10" t="s">
        <v>30</v>
      </c>
      <c r="K25" s="11">
        <v>45426</v>
      </c>
      <c r="L25" s="10" t="s">
        <v>59</v>
      </c>
      <c r="M25" s="12">
        <v>10392</v>
      </c>
      <c r="N25" s="12">
        <v>1407</v>
      </c>
      <c r="O25" s="10">
        <v>10</v>
      </c>
      <c r="P25" s="11">
        <v>45436</v>
      </c>
      <c r="Q25" s="10" t="s">
        <v>94</v>
      </c>
      <c r="R25" s="10" t="s">
        <v>33</v>
      </c>
      <c r="S25" s="10" t="s">
        <v>34</v>
      </c>
      <c r="T25" s="13">
        <v>7.3859000000000004</v>
      </c>
      <c r="U25" s="14">
        <v>193</v>
      </c>
      <c r="V25" s="14">
        <v>2024</v>
      </c>
      <c r="W25" s="10" t="s">
        <v>52</v>
      </c>
    </row>
    <row r="26" spans="1:23" s="9" customFormat="1" ht="15.75" hidden="1" customHeight="1" x14ac:dyDescent="0.25">
      <c r="A26" s="4" t="s">
        <v>134</v>
      </c>
      <c r="B26" s="4" t="s">
        <v>135</v>
      </c>
      <c r="C26" s="4" t="s">
        <v>136</v>
      </c>
      <c r="D26" s="21" t="s">
        <v>6089</v>
      </c>
      <c r="E26" s="4" t="s">
        <v>26</v>
      </c>
      <c r="F26" s="4" t="s">
        <v>65</v>
      </c>
      <c r="G26" s="4" t="s">
        <v>57</v>
      </c>
      <c r="H26" s="4" t="s">
        <v>72</v>
      </c>
      <c r="I26" s="5">
        <v>45272</v>
      </c>
      <c r="J26" s="4" t="s">
        <v>40</v>
      </c>
      <c r="K26" s="5">
        <v>45341</v>
      </c>
      <c r="L26" s="4" t="s">
        <v>31</v>
      </c>
      <c r="M26" s="6">
        <v>41494</v>
      </c>
      <c r="N26" s="6">
        <v>7628</v>
      </c>
      <c r="O26" s="4" t="s">
        <v>32</v>
      </c>
      <c r="P26" s="4" t="s">
        <v>32</v>
      </c>
      <c r="Q26" s="4" t="s">
        <v>33</v>
      </c>
      <c r="R26" s="4" t="s">
        <v>33</v>
      </c>
      <c r="S26" s="4" t="s">
        <v>41</v>
      </c>
      <c r="T26" s="7">
        <v>5.4397000000000002</v>
      </c>
      <c r="U26" s="8">
        <v>69</v>
      </c>
      <c r="V26" s="8">
        <v>2024</v>
      </c>
      <c r="W26" s="4" t="s">
        <v>35</v>
      </c>
    </row>
    <row r="27" spans="1:23" s="9" customFormat="1" ht="15.75" hidden="1" customHeight="1" x14ac:dyDescent="0.25">
      <c r="A27" s="10" t="s">
        <v>137</v>
      </c>
      <c r="B27" s="10" t="s">
        <v>138</v>
      </c>
      <c r="C27" s="10" t="s">
        <v>139</v>
      </c>
      <c r="D27" s="21" t="s">
        <v>6086</v>
      </c>
      <c r="E27" s="10" t="s">
        <v>51</v>
      </c>
      <c r="F27" s="10" t="s">
        <v>56</v>
      </c>
      <c r="G27" s="10" t="s">
        <v>57</v>
      </c>
      <c r="H27" s="10" t="s">
        <v>93</v>
      </c>
      <c r="I27" s="11">
        <v>45007</v>
      </c>
      <c r="J27" s="10" t="s">
        <v>40</v>
      </c>
      <c r="K27" s="11">
        <v>45311</v>
      </c>
      <c r="L27" s="10" t="s">
        <v>59</v>
      </c>
      <c r="M27" s="12">
        <v>64241</v>
      </c>
      <c r="N27" s="12">
        <v>3733</v>
      </c>
      <c r="O27" s="10">
        <v>11</v>
      </c>
      <c r="P27" s="11">
        <v>45322</v>
      </c>
      <c r="Q27" s="10" t="s">
        <v>33</v>
      </c>
      <c r="R27" s="10" t="s">
        <v>33</v>
      </c>
      <c r="S27" s="10" t="s">
        <v>34</v>
      </c>
      <c r="T27" s="13">
        <v>17.2089</v>
      </c>
      <c r="U27" s="14">
        <v>304</v>
      </c>
      <c r="V27" s="14">
        <v>2024</v>
      </c>
      <c r="W27" s="10" t="s">
        <v>73</v>
      </c>
    </row>
    <row r="28" spans="1:23" s="9" customFormat="1" ht="15.75" hidden="1" customHeight="1" x14ac:dyDescent="0.25">
      <c r="A28" s="4" t="s">
        <v>140</v>
      </c>
      <c r="B28" s="4" t="s">
        <v>141</v>
      </c>
      <c r="C28" s="4" t="s">
        <v>142</v>
      </c>
      <c r="D28" s="22" t="s">
        <v>6087</v>
      </c>
      <c r="E28" s="4" t="s">
        <v>51</v>
      </c>
      <c r="F28" s="21" t="s">
        <v>6092</v>
      </c>
      <c r="G28" s="4" t="s">
        <v>28</v>
      </c>
      <c r="H28" s="4" t="s">
        <v>72</v>
      </c>
      <c r="I28" s="5">
        <v>45182</v>
      </c>
      <c r="J28" s="4" t="s">
        <v>30</v>
      </c>
      <c r="K28" s="5">
        <v>45306</v>
      </c>
      <c r="L28" s="4" t="s">
        <v>59</v>
      </c>
      <c r="M28" s="6">
        <v>24668</v>
      </c>
      <c r="N28" s="6">
        <v>1358</v>
      </c>
      <c r="O28" s="4">
        <v>5</v>
      </c>
      <c r="P28" s="5">
        <v>45311</v>
      </c>
      <c r="Q28" s="4" t="s">
        <v>94</v>
      </c>
      <c r="R28" s="4" t="s">
        <v>33</v>
      </c>
      <c r="S28" s="4" t="s">
        <v>60</v>
      </c>
      <c r="T28" s="7">
        <v>18.164899999999999</v>
      </c>
      <c r="U28" s="8">
        <v>124</v>
      </c>
      <c r="V28" s="8">
        <v>2024</v>
      </c>
      <c r="W28" s="4" t="s">
        <v>73</v>
      </c>
    </row>
    <row r="29" spans="1:23" s="9" customFormat="1" ht="15.75" hidden="1" customHeight="1" x14ac:dyDescent="0.25">
      <c r="A29" s="10" t="s">
        <v>143</v>
      </c>
      <c r="B29" s="10" t="s">
        <v>144</v>
      </c>
      <c r="C29" s="10" t="s">
        <v>145</v>
      </c>
      <c r="D29" s="21" t="s">
        <v>6086</v>
      </c>
      <c r="E29" s="10" t="s">
        <v>26</v>
      </c>
      <c r="F29" s="10" t="s">
        <v>27</v>
      </c>
      <c r="G29" s="10" t="s">
        <v>5</v>
      </c>
      <c r="H29" s="10" t="s">
        <v>58</v>
      </c>
      <c r="I29" s="11">
        <v>45315</v>
      </c>
      <c r="J29" s="10" t="s">
        <v>40</v>
      </c>
      <c r="K29" s="11">
        <v>45535</v>
      </c>
      <c r="L29" s="10" t="s">
        <v>31</v>
      </c>
      <c r="M29" s="12">
        <v>24893</v>
      </c>
      <c r="N29" s="12">
        <v>6643</v>
      </c>
      <c r="O29" s="10" t="s">
        <v>32</v>
      </c>
      <c r="P29" s="10" t="s">
        <v>32</v>
      </c>
      <c r="Q29" s="10" t="s">
        <v>33</v>
      </c>
      <c r="R29" s="10" t="s">
        <v>33</v>
      </c>
      <c r="S29" s="10" t="s">
        <v>41</v>
      </c>
      <c r="T29" s="13">
        <v>3.7473000000000001</v>
      </c>
      <c r="U29" s="14">
        <v>220</v>
      </c>
      <c r="V29" s="14">
        <v>2024</v>
      </c>
      <c r="W29" s="10" t="s">
        <v>114</v>
      </c>
    </row>
    <row r="30" spans="1:23" s="9" customFormat="1" ht="15.75" hidden="1" customHeight="1" x14ac:dyDescent="0.25">
      <c r="A30" s="4" t="s">
        <v>146</v>
      </c>
      <c r="B30" s="4" t="s">
        <v>147</v>
      </c>
      <c r="C30" s="4" t="s">
        <v>148</v>
      </c>
      <c r="D30" s="22" t="s">
        <v>6087</v>
      </c>
      <c r="E30" s="4" t="s">
        <v>26</v>
      </c>
      <c r="F30" s="4" t="s">
        <v>56</v>
      </c>
      <c r="G30" s="4" t="s">
        <v>57</v>
      </c>
      <c r="H30" s="4" t="s">
        <v>58</v>
      </c>
      <c r="I30" s="5">
        <v>45120</v>
      </c>
      <c r="J30" s="4" t="s">
        <v>40</v>
      </c>
      <c r="K30" s="5">
        <v>45474</v>
      </c>
      <c r="L30" s="4" t="s">
        <v>31</v>
      </c>
      <c r="M30" s="6">
        <v>3981</v>
      </c>
      <c r="N30" s="6">
        <v>6469</v>
      </c>
      <c r="O30" s="4" t="s">
        <v>32</v>
      </c>
      <c r="P30" s="4" t="s">
        <v>32</v>
      </c>
      <c r="Q30" s="4" t="s">
        <v>94</v>
      </c>
      <c r="R30" s="4" t="s">
        <v>33</v>
      </c>
      <c r="S30" s="4" t="s">
        <v>34</v>
      </c>
      <c r="T30" s="7">
        <v>0.61539999999999995</v>
      </c>
      <c r="U30" s="8">
        <v>354</v>
      </c>
      <c r="V30" s="8">
        <v>2024</v>
      </c>
      <c r="W30" s="4" t="s">
        <v>42</v>
      </c>
    </row>
    <row r="31" spans="1:23" s="9" customFormat="1" ht="15.75" hidden="1" customHeight="1" x14ac:dyDescent="0.25">
      <c r="A31" s="10" t="s">
        <v>149</v>
      </c>
      <c r="B31" s="10" t="s">
        <v>150</v>
      </c>
      <c r="C31" s="10" t="s">
        <v>151</v>
      </c>
      <c r="D31" s="21" t="s">
        <v>6088</v>
      </c>
      <c r="E31" s="10" t="s">
        <v>51</v>
      </c>
      <c r="F31" s="10" t="s">
        <v>65</v>
      </c>
      <c r="G31" s="10" t="s">
        <v>57</v>
      </c>
      <c r="H31" s="10" t="s">
        <v>88</v>
      </c>
      <c r="I31" s="11">
        <v>45572</v>
      </c>
      <c r="J31" s="10" t="s">
        <v>40</v>
      </c>
      <c r="K31" s="11">
        <v>45643</v>
      </c>
      <c r="L31" s="10" t="s">
        <v>59</v>
      </c>
      <c r="M31" s="12">
        <v>11115</v>
      </c>
      <c r="N31" s="12">
        <v>8137</v>
      </c>
      <c r="O31" s="10">
        <v>35</v>
      </c>
      <c r="P31" s="11">
        <v>45678</v>
      </c>
      <c r="Q31" s="10" t="s">
        <v>33</v>
      </c>
      <c r="R31" s="10" t="s">
        <v>33</v>
      </c>
      <c r="S31" s="10" t="s">
        <v>41</v>
      </c>
      <c r="T31" s="13">
        <v>1.3660000000000001</v>
      </c>
      <c r="U31" s="14">
        <v>71</v>
      </c>
      <c r="V31" s="14">
        <v>2024</v>
      </c>
      <c r="W31" s="10" t="s">
        <v>89</v>
      </c>
    </row>
    <row r="32" spans="1:23" s="9" customFormat="1" ht="15.75" hidden="1" customHeight="1" x14ac:dyDescent="0.25">
      <c r="A32" s="4" t="s">
        <v>152</v>
      </c>
      <c r="B32" s="4" t="s">
        <v>153</v>
      </c>
      <c r="C32" s="4" t="s">
        <v>154</v>
      </c>
      <c r="D32" s="21" t="s">
        <v>6086</v>
      </c>
      <c r="E32" s="4" t="s">
        <v>51</v>
      </c>
      <c r="F32" s="4" t="s">
        <v>27</v>
      </c>
      <c r="G32" s="4" t="s">
        <v>28</v>
      </c>
      <c r="H32" s="4" t="s">
        <v>72</v>
      </c>
      <c r="I32" s="5">
        <v>45381</v>
      </c>
      <c r="J32" s="4" t="s">
        <v>30</v>
      </c>
      <c r="K32" s="5">
        <v>45641</v>
      </c>
      <c r="L32" s="4" t="s">
        <v>59</v>
      </c>
      <c r="M32" s="6">
        <v>65322</v>
      </c>
      <c r="N32" s="6">
        <v>7378</v>
      </c>
      <c r="O32" s="4">
        <v>24</v>
      </c>
      <c r="P32" s="5">
        <v>45665</v>
      </c>
      <c r="Q32" s="4" t="s">
        <v>33</v>
      </c>
      <c r="R32" s="4" t="s">
        <v>33</v>
      </c>
      <c r="S32" s="4" t="s">
        <v>34</v>
      </c>
      <c r="T32" s="7">
        <v>8.8536000000000001</v>
      </c>
      <c r="U32" s="8">
        <v>260</v>
      </c>
      <c r="V32" s="8">
        <v>2024</v>
      </c>
      <c r="W32" s="4" t="s">
        <v>89</v>
      </c>
    </row>
    <row r="33" spans="1:23" s="9" customFormat="1" ht="15.75" hidden="1" customHeight="1" x14ac:dyDescent="0.25">
      <c r="A33" s="10" t="s">
        <v>155</v>
      </c>
      <c r="B33" s="10" t="s">
        <v>156</v>
      </c>
      <c r="C33" s="10" t="s">
        <v>157</v>
      </c>
      <c r="D33" s="21" t="s">
        <v>6086</v>
      </c>
      <c r="E33" s="10" t="s">
        <v>87</v>
      </c>
      <c r="F33" s="10" t="s">
        <v>71</v>
      </c>
      <c r="G33" s="10" t="s">
        <v>5</v>
      </c>
      <c r="H33" s="10" t="s">
        <v>29</v>
      </c>
      <c r="I33" s="11">
        <v>45365</v>
      </c>
      <c r="J33" s="10" t="s">
        <v>30</v>
      </c>
      <c r="K33" s="11">
        <v>45570</v>
      </c>
      <c r="L33" s="10" t="s">
        <v>59</v>
      </c>
      <c r="M33" s="12">
        <v>36612</v>
      </c>
      <c r="N33" s="12">
        <v>7777</v>
      </c>
      <c r="O33" s="10">
        <v>38</v>
      </c>
      <c r="P33" s="11">
        <v>45608</v>
      </c>
      <c r="Q33" s="10" t="s">
        <v>33</v>
      </c>
      <c r="R33" s="10" t="s">
        <v>33</v>
      </c>
      <c r="S33" s="10" t="s">
        <v>34</v>
      </c>
      <c r="T33" s="13">
        <v>4.7077</v>
      </c>
      <c r="U33" s="14">
        <v>205</v>
      </c>
      <c r="V33" s="14">
        <v>2024</v>
      </c>
      <c r="W33" s="10" t="s">
        <v>95</v>
      </c>
    </row>
    <row r="34" spans="1:23" s="9" customFormat="1" ht="15.75" hidden="1" customHeight="1" x14ac:dyDescent="0.25">
      <c r="A34" s="4" t="s">
        <v>158</v>
      </c>
      <c r="B34" s="4" t="s">
        <v>159</v>
      </c>
      <c r="C34" s="4" t="s">
        <v>160</v>
      </c>
      <c r="D34" s="22" t="s">
        <v>6087</v>
      </c>
      <c r="E34" s="4" t="s">
        <v>51</v>
      </c>
      <c r="F34" s="4" t="s">
        <v>71</v>
      </c>
      <c r="G34" s="4" t="s">
        <v>5</v>
      </c>
      <c r="H34" s="4" t="s">
        <v>161</v>
      </c>
      <c r="I34" s="5">
        <v>45265</v>
      </c>
      <c r="J34" s="4" t="s">
        <v>40</v>
      </c>
      <c r="K34" s="5">
        <v>45406</v>
      </c>
      <c r="L34" s="4" t="s">
        <v>59</v>
      </c>
      <c r="M34" s="6">
        <v>26506</v>
      </c>
      <c r="N34" s="6">
        <v>1192</v>
      </c>
      <c r="O34" s="4">
        <v>13</v>
      </c>
      <c r="P34" s="5">
        <v>45419</v>
      </c>
      <c r="Q34" s="4" t="s">
        <v>33</v>
      </c>
      <c r="R34" s="4" t="s">
        <v>33</v>
      </c>
      <c r="S34" s="4" t="s">
        <v>41</v>
      </c>
      <c r="T34" s="7">
        <v>22.236599999999999</v>
      </c>
      <c r="U34" s="8">
        <v>141</v>
      </c>
      <c r="V34" s="8">
        <v>2024</v>
      </c>
      <c r="W34" s="4" t="s">
        <v>47</v>
      </c>
    </row>
    <row r="35" spans="1:23" s="9" customFormat="1" ht="15.75" hidden="1" customHeight="1" x14ac:dyDescent="0.25">
      <c r="A35" s="10" t="s">
        <v>162</v>
      </c>
      <c r="B35" s="10" t="s">
        <v>163</v>
      </c>
      <c r="C35" s="10" t="s">
        <v>164</v>
      </c>
      <c r="D35" s="22" t="s">
        <v>6090</v>
      </c>
      <c r="E35" s="10" t="s">
        <v>26</v>
      </c>
      <c r="F35" s="10" t="s">
        <v>71</v>
      </c>
      <c r="G35" s="10" t="s">
        <v>28</v>
      </c>
      <c r="H35" s="10" t="s">
        <v>161</v>
      </c>
      <c r="I35" s="11">
        <v>45118</v>
      </c>
      <c r="J35" s="10" t="s">
        <v>30</v>
      </c>
      <c r="K35" s="11">
        <v>45320</v>
      </c>
      <c r="L35" s="10" t="s">
        <v>31</v>
      </c>
      <c r="M35" s="12">
        <v>54352</v>
      </c>
      <c r="N35" s="12">
        <v>660</v>
      </c>
      <c r="O35" s="10" t="s">
        <v>32</v>
      </c>
      <c r="P35" s="10" t="s">
        <v>32</v>
      </c>
      <c r="Q35" s="10" t="s">
        <v>94</v>
      </c>
      <c r="R35" s="10" t="s">
        <v>33</v>
      </c>
      <c r="S35" s="10" t="s">
        <v>34</v>
      </c>
      <c r="T35" s="13">
        <v>82.351500000000001</v>
      </c>
      <c r="U35" s="14">
        <v>202</v>
      </c>
      <c r="V35" s="14">
        <v>2024</v>
      </c>
      <c r="W35" s="10" t="s">
        <v>73</v>
      </c>
    </row>
    <row r="36" spans="1:23" s="9" customFormat="1" ht="15.75" hidden="1" customHeight="1" x14ac:dyDescent="0.25">
      <c r="A36" s="4" t="s">
        <v>165</v>
      </c>
      <c r="B36" s="4" t="s">
        <v>166</v>
      </c>
      <c r="C36" s="4" t="s">
        <v>167</v>
      </c>
      <c r="D36" s="22" t="s">
        <v>6087</v>
      </c>
      <c r="E36" s="4" t="s">
        <v>26</v>
      </c>
      <c r="F36" s="21" t="s">
        <v>6092</v>
      </c>
      <c r="G36" s="4" t="s">
        <v>57</v>
      </c>
      <c r="H36" s="4" t="s">
        <v>161</v>
      </c>
      <c r="I36" s="5">
        <v>45215</v>
      </c>
      <c r="J36" s="4" t="s">
        <v>30</v>
      </c>
      <c r="K36" s="5">
        <v>45559</v>
      </c>
      <c r="L36" s="4" t="s">
        <v>66</v>
      </c>
      <c r="M36" s="6">
        <v>39981</v>
      </c>
      <c r="N36" s="6">
        <v>1526</v>
      </c>
      <c r="O36" s="4" t="s">
        <v>32</v>
      </c>
      <c r="P36" s="4" t="s">
        <v>32</v>
      </c>
      <c r="Q36" s="4" t="s">
        <v>33</v>
      </c>
      <c r="R36" s="4" t="s">
        <v>33</v>
      </c>
      <c r="S36" s="4" t="s">
        <v>41</v>
      </c>
      <c r="T36" s="7">
        <v>26.1999</v>
      </c>
      <c r="U36" s="8">
        <v>344</v>
      </c>
      <c r="V36" s="8">
        <v>2024</v>
      </c>
      <c r="W36" s="4" t="s">
        <v>168</v>
      </c>
    </row>
    <row r="37" spans="1:23" s="9" customFormat="1" ht="15.75" hidden="1" customHeight="1" x14ac:dyDescent="0.25">
      <c r="A37" s="10" t="s">
        <v>169</v>
      </c>
      <c r="B37" s="10" t="s">
        <v>170</v>
      </c>
      <c r="C37" s="10" t="s">
        <v>171</v>
      </c>
      <c r="D37" s="21" t="s">
        <v>6086</v>
      </c>
      <c r="E37" s="10" t="s">
        <v>26</v>
      </c>
      <c r="F37" s="10" t="s">
        <v>71</v>
      </c>
      <c r="G37" s="10" t="s">
        <v>28</v>
      </c>
      <c r="H37" s="10" t="s">
        <v>88</v>
      </c>
      <c r="I37" s="11">
        <v>45323</v>
      </c>
      <c r="J37" s="10" t="s">
        <v>30</v>
      </c>
      <c r="K37" s="11">
        <v>45553</v>
      </c>
      <c r="L37" s="10" t="s">
        <v>66</v>
      </c>
      <c r="M37" s="12">
        <v>77033</v>
      </c>
      <c r="N37" s="12">
        <v>7040</v>
      </c>
      <c r="O37" s="10" t="s">
        <v>32</v>
      </c>
      <c r="P37" s="10" t="s">
        <v>32</v>
      </c>
      <c r="Q37" s="10" t="s">
        <v>33</v>
      </c>
      <c r="R37" s="10" t="s">
        <v>33</v>
      </c>
      <c r="S37" s="10" t="s">
        <v>41</v>
      </c>
      <c r="T37" s="13">
        <v>10.9422</v>
      </c>
      <c r="U37" s="14">
        <v>230</v>
      </c>
      <c r="V37" s="14">
        <v>2024</v>
      </c>
      <c r="W37" s="10" t="s">
        <v>168</v>
      </c>
    </row>
    <row r="38" spans="1:23" s="9" customFormat="1" ht="15.75" hidden="1" customHeight="1" x14ac:dyDescent="0.25">
      <c r="A38" s="4" t="s">
        <v>172</v>
      </c>
      <c r="B38" s="4" t="s">
        <v>173</v>
      </c>
      <c r="C38" s="4" t="s">
        <v>174</v>
      </c>
      <c r="D38" s="22" t="s">
        <v>6090</v>
      </c>
      <c r="E38" s="4" t="s">
        <v>26</v>
      </c>
      <c r="F38" s="4" t="s">
        <v>56</v>
      </c>
      <c r="G38" s="4" t="s">
        <v>28</v>
      </c>
      <c r="H38" s="4" t="s">
        <v>161</v>
      </c>
      <c r="I38" s="5">
        <v>45360</v>
      </c>
      <c r="J38" s="4" t="s">
        <v>40</v>
      </c>
      <c r="K38" s="5">
        <v>45549</v>
      </c>
      <c r="L38" s="4" t="s">
        <v>59</v>
      </c>
      <c r="M38" s="6">
        <v>48839</v>
      </c>
      <c r="N38" s="6">
        <v>5318</v>
      </c>
      <c r="O38" s="4">
        <v>15</v>
      </c>
      <c r="P38" s="5">
        <v>45564</v>
      </c>
      <c r="Q38" s="4" t="s">
        <v>33</v>
      </c>
      <c r="R38" s="4" t="s">
        <v>33</v>
      </c>
      <c r="S38" s="4" t="s">
        <v>60</v>
      </c>
      <c r="T38" s="7">
        <v>9.1837</v>
      </c>
      <c r="U38" s="8">
        <v>189</v>
      </c>
      <c r="V38" s="8">
        <v>2024</v>
      </c>
      <c r="W38" s="4" t="s">
        <v>168</v>
      </c>
    </row>
    <row r="39" spans="1:23" s="9" customFormat="1" ht="15.75" hidden="1" customHeight="1" x14ac:dyDescent="0.25">
      <c r="A39" s="10" t="s">
        <v>175</v>
      </c>
      <c r="B39" s="10" t="s">
        <v>176</v>
      </c>
      <c r="C39" s="10" t="s">
        <v>177</v>
      </c>
      <c r="D39" s="22" t="s">
        <v>6087</v>
      </c>
      <c r="E39" s="10" t="s">
        <v>51</v>
      </c>
      <c r="F39" s="10" t="s">
        <v>56</v>
      </c>
      <c r="G39" s="10" t="s">
        <v>28</v>
      </c>
      <c r="H39" s="10" t="s">
        <v>88</v>
      </c>
      <c r="I39" s="11">
        <v>45540</v>
      </c>
      <c r="J39" s="10" t="s">
        <v>40</v>
      </c>
      <c r="K39" s="11">
        <v>45643</v>
      </c>
      <c r="L39" s="10" t="s">
        <v>59</v>
      </c>
      <c r="M39" s="12">
        <v>31354</v>
      </c>
      <c r="N39" s="12">
        <v>2080</v>
      </c>
      <c r="O39" s="10">
        <v>45</v>
      </c>
      <c r="P39" s="11">
        <v>45688</v>
      </c>
      <c r="Q39" s="10" t="s">
        <v>33</v>
      </c>
      <c r="R39" s="10" t="s">
        <v>33</v>
      </c>
      <c r="S39" s="10" t="s">
        <v>41</v>
      </c>
      <c r="T39" s="13">
        <v>15.074</v>
      </c>
      <c r="U39" s="14">
        <v>103</v>
      </c>
      <c r="V39" s="14">
        <v>2024</v>
      </c>
      <c r="W39" s="10" t="s">
        <v>89</v>
      </c>
    </row>
    <row r="40" spans="1:23" s="9" customFormat="1" ht="15.75" hidden="1" customHeight="1" x14ac:dyDescent="0.25">
      <c r="A40" s="4" t="s">
        <v>178</v>
      </c>
      <c r="B40" s="4" t="s">
        <v>179</v>
      </c>
      <c r="C40" s="4" t="s">
        <v>180</v>
      </c>
      <c r="D40" s="22" t="s">
        <v>6090</v>
      </c>
      <c r="E40" s="4" t="s">
        <v>26</v>
      </c>
      <c r="F40" s="4" t="s">
        <v>65</v>
      </c>
      <c r="G40" s="4" t="s">
        <v>57</v>
      </c>
      <c r="H40" s="4" t="s">
        <v>161</v>
      </c>
      <c r="I40" s="5">
        <v>45285</v>
      </c>
      <c r="J40" s="4" t="s">
        <v>40</v>
      </c>
      <c r="K40" s="5">
        <v>45523</v>
      </c>
      <c r="L40" s="4" t="s">
        <v>66</v>
      </c>
      <c r="M40" s="6">
        <v>56470</v>
      </c>
      <c r="N40" s="6">
        <v>3722</v>
      </c>
      <c r="O40" s="4" t="s">
        <v>32</v>
      </c>
      <c r="P40" s="4" t="s">
        <v>32</v>
      </c>
      <c r="Q40" s="4" t="s">
        <v>33</v>
      </c>
      <c r="R40" s="4" t="s">
        <v>33</v>
      </c>
      <c r="S40" s="4" t="s">
        <v>41</v>
      </c>
      <c r="T40" s="7">
        <v>15.172000000000001</v>
      </c>
      <c r="U40" s="8">
        <v>238</v>
      </c>
      <c r="V40" s="8">
        <v>2024</v>
      </c>
      <c r="W40" s="4" t="s">
        <v>114</v>
      </c>
    </row>
    <row r="41" spans="1:23" s="9" customFormat="1" ht="15.75" hidden="1" customHeight="1" x14ac:dyDescent="0.25">
      <c r="A41" s="10" t="s">
        <v>181</v>
      </c>
      <c r="B41" s="10" t="s">
        <v>182</v>
      </c>
      <c r="C41" s="10" t="s">
        <v>183</v>
      </c>
      <c r="D41" s="22" t="s">
        <v>6090</v>
      </c>
      <c r="E41" s="10" t="s">
        <v>26</v>
      </c>
      <c r="F41" s="21" t="s">
        <v>6092</v>
      </c>
      <c r="G41" s="10" t="s">
        <v>5</v>
      </c>
      <c r="H41" s="10" t="s">
        <v>161</v>
      </c>
      <c r="I41" s="11">
        <v>45449</v>
      </c>
      <c r="J41" s="10" t="s">
        <v>30</v>
      </c>
      <c r="K41" s="11">
        <v>45623</v>
      </c>
      <c r="L41" s="10" t="s">
        <v>59</v>
      </c>
      <c r="M41" s="12">
        <v>13436</v>
      </c>
      <c r="N41" s="12">
        <v>4567</v>
      </c>
      <c r="O41" s="10">
        <v>35</v>
      </c>
      <c r="P41" s="11">
        <v>45658</v>
      </c>
      <c r="Q41" s="10" t="s">
        <v>33</v>
      </c>
      <c r="R41" s="10" t="s">
        <v>33</v>
      </c>
      <c r="S41" s="10" t="s">
        <v>41</v>
      </c>
      <c r="T41" s="13">
        <v>2.9420000000000002</v>
      </c>
      <c r="U41" s="14">
        <v>174</v>
      </c>
      <c r="V41" s="14">
        <v>2024</v>
      </c>
      <c r="W41" s="10" t="s">
        <v>61</v>
      </c>
    </row>
    <row r="42" spans="1:23" s="9" customFormat="1" ht="15.75" hidden="1" customHeight="1" x14ac:dyDescent="0.25">
      <c r="A42" s="4" t="s">
        <v>184</v>
      </c>
      <c r="B42" s="4" t="s">
        <v>185</v>
      </c>
      <c r="C42" s="4" t="s">
        <v>186</v>
      </c>
      <c r="D42" s="21" t="s">
        <v>6086</v>
      </c>
      <c r="E42" s="4" t="s">
        <v>87</v>
      </c>
      <c r="F42" s="4" t="s">
        <v>71</v>
      </c>
      <c r="G42" s="4" t="s">
        <v>57</v>
      </c>
      <c r="H42" s="4" t="s">
        <v>72</v>
      </c>
      <c r="I42" s="5">
        <v>45313</v>
      </c>
      <c r="J42" s="4" t="s">
        <v>40</v>
      </c>
      <c r="K42" s="5">
        <v>45555</v>
      </c>
      <c r="L42" s="4" t="s">
        <v>31</v>
      </c>
      <c r="M42" s="6">
        <v>32947</v>
      </c>
      <c r="N42" s="6">
        <v>6225</v>
      </c>
      <c r="O42" s="4" t="s">
        <v>32</v>
      </c>
      <c r="P42" s="4" t="s">
        <v>32</v>
      </c>
      <c r="Q42" s="4" t="s">
        <v>33</v>
      </c>
      <c r="R42" s="4" t="s">
        <v>33</v>
      </c>
      <c r="S42" s="4" t="s">
        <v>41</v>
      </c>
      <c r="T42" s="7">
        <v>5.2927</v>
      </c>
      <c r="U42" s="8">
        <v>242</v>
      </c>
      <c r="V42" s="8">
        <v>2024</v>
      </c>
      <c r="W42" s="4" t="s">
        <v>168</v>
      </c>
    </row>
    <row r="43" spans="1:23" s="9" customFormat="1" ht="15.75" hidden="1" customHeight="1" x14ac:dyDescent="0.25">
      <c r="A43" s="10" t="s">
        <v>187</v>
      </c>
      <c r="B43" s="10" t="s">
        <v>188</v>
      </c>
      <c r="C43" s="10" t="s">
        <v>189</v>
      </c>
      <c r="D43" s="21" t="s">
        <v>6086</v>
      </c>
      <c r="E43" s="10" t="s">
        <v>51</v>
      </c>
      <c r="F43" s="10" t="s">
        <v>71</v>
      </c>
      <c r="G43" s="10" t="s">
        <v>57</v>
      </c>
      <c r="H43" s="10" t="s">
        <v>118</v>
      </c>
      <c r="I43" s="11">
        <v>45109</v>
      </c>
      <c r="J43" s="10" t="s">
        <v>30</v>
      </c>
      <c r="K43" s="11">
        <v>45350</v>
      </c>
      <c r="L43" s="10" t="s">
        <v>59</v>
      </c>
      <c r="M43" s="12">
        <v>70198</v>
      </c>
      <c r="N43" s="12">
        <v>7646</v>
      </c>
      <c r="O43" s="10">
        <v>3</v>
      </c>
      <c r="P43" s="11">
        <v>45353</v>
      </c>
      <c r="Q43" s="10" t="s">
        <v>94</v>
      </c>
      <c r="R43" s="10" t="s">
        <v>33</v>
      </c>
      <c r="S43" s="10" t="s">
        <v>34</v>
      </c>
      <c r="T43" s="13">
        <v>9.1809999999999992</v>
      </c>
      <c r="U43" s="14">
        <v>241</v>
      </c>
      <c r="V43" s="14">
        <v>2024</v>
      </c>
      <c r="W43" s="10" t="s">
        <v>35</v>
      </c>
    </row>
    <row r="44" spans="1:23" s="9" customFormat="1" ht="15.75" hidden="1" customHeight="1" x14ac:dyDescent="0.25">
      <c r="A44" s="4" t="s">
        <v>190</v>
      </c>
      <c r="B44" s="4" t="s">
        <v>191</v>
      </c>
      <c r="C44" s="4" t="s">
        <v>192</v>
      </c>
      <c r="D44" s="22" t="s">
        <v>6090</v>
      </c>
      <c r="E44" s="4" t="s">
        <v>51</v>
      </c>
      <c r="F44" s="4" t="s">
        <v>65</v>
      </c>
      <c r="G44" s="4" t="s">
        <v>28</v>
      </c>
      <c r="H44" s="4" t="s">
        <v>118</v>
      </c>
      <c r="I44" s="5">
        <v>45045</v>
      </c>
      <c r="J44" s="4" t="s">
        <v>40</v>
      </c>
      <c r="K44" s="5">
        <v>45318</v>
      </c>
      <c r="L44" s="4" t="s">
        <v>59</v>
      </c>
      <c r="M44" s="6">
        <v>51423</v>
      </c>
      <c r="N44" s="6">
        <v>1280</v>
      </c>
      <c r="O44" s="4">
        <v>8</v>
      </c>
      <c r="P44" s="5">
        <v>45326</v>
      </c>
      <c r="Q44" s="4" t="s">
        <v>33</v>
      </c>
      <c r="R44" s="4" t="s">
        <v>33</v>
      </c>
      <c r="S44" s="4" t="s">
        <v>60</v>
      </c>
      <c r="T44" s="7">
        <v>40.174199999999999</v>
      </c>
      <c r="U44" s="8">
        <v>273</v>
      </c>
      <c r="V44" s="8">
        <v>2024</v>
      </c>
      <c r="W44" s="4" t="s">
        <v>73</v>
      </c>
    </row>
    <row r="45" spans="1:23" s="9" customFormat="1" ht="15.75" hidden="1" customHeight="1" x14ac:dyDescent="0.25">
      <c r="A45" s="10" t="s">
        <v>193</v>
      </c>
      <c r="B45" s="10" t="s">
        <v>194</v>
      </c>
      <c r="C45" s="10" t="s">
        <v>195</v>
      </c>
      <c r="D45" s="22" t="s">
        <v>6090</v>
      </c>
      <c r="E45" s="10" t="s">
        <v>87</v>
      </c>
      <c r="F45" s="10" t="s">
        <v>65</v>
      </c>
      <c r="G45" s="10" t="s">
        <v>57</v>
      </c>
      <c r="H45" s="10" t="s">
        <v>58</v>
      </c>
      <c r="I45" s="11">
        <v>45257</v>
      </c>
      <c r="J45" s="10" t="s">
        <v>40</v>
      </c>
      <c r="K45" s="11">
        <v>45311</v>
      </c>
      <c r="L45" s="10" t="s">
        <v>66</v>
      </c>
      <c r="M45" s="12">
        <v>46362</v>
      </c>
      <c r="N45" s="12">
        <v>6102</v>
      </c>
      <c r="O45" s="10" t="s">
        <v>32</v>
      </c>
      <c r="P45" s="10" t="s">
        <v>32</v>
      </c>
      <c r="Q45" s="10" t="s">
        <v>33</v>
      </c>
      <c r="R45" s="10" t="s">
        <v>33</v>
      </c>
      <c r="S45" s="10" t="s">
        <v>41</v>
      </c>
      <c r="T45" s="13">
        <v>7.5978000000000003</v>
      </c>
      <c r="U45" s="14">
        <v>54</v>
      </c>
      <c r="V45" s="14">
        <v>2024</v>
      </c>
      <c r="W45" s="10" t="s">
        <v>73</v>
      </c>
    </row>
    <row r="46" spans="1:23" s="9" customFormat="1" ht="15.75" hidden="1" customHeight="1" x14ac:dyDescent="0.25">
      <c r="A46" s="4" t="s">
        <v>196</v>
      </c>
      <c r="B46" s="4" t="s">
        <v>197</v>
      </c>
      <c r="C46" s="4" t="s">
        <v>198</v>
      </c>
      <c r="D46" s="21" t="s">
        <v>6091</v>
      </c>
      <c r="E46" s="4" t="s">
        <v>51</v>
      </c>
      <c r="F46" s="4" t="s">
        <v>65</v>
      </c>
      <c r="G46" s="4" t="s">
        <v>28</v>
      </c>
      <c r="H46" s="4" t="s">
        <v>39</v>
      </c>
      <c r="I46" s="5">
        <v>45312</v>
      </c>
      <c r="J46" s="4" t="s">
        <v>30</v>
      </c>
      <c r="K46" s="5">
        <v>45434</v>
      </c>
      <c r="L46" s="4" t="s">
        <v>31</v>
      </c>
      <c r="M46" s="6">
        <v>12413</v>
      </c>
      <c r="N46" s="6">
        <v>5251</v>
      </c>
      <c r="O46" s="4" t="s">
        <v>32</v>
      </c>
      <c r="P46" s="4" t="s">
        <v>32</v>
      </c>
      <c r="Q46" s="4" t="s">
        <v>33</v>
      </c>
      <c r="R46" s="4" t="s">
        <v>33</v>
      </c>
      <c r="S46" s="4" t="s">
        <v>41</v>
      </c>
      <c r="T46" s="7">
        <v>2.3639000000000001</v>
      </c>
      <c r="U46" s="8">
        <v>122</v>
      </c>
      <c r="V46" s="8">
        <v>2024</v>
      </c>
      <c r="W46" s="4" t="s">
        <v>52</v>
      </c>
    </row>
    <row r="47" spans="1:23" s="9" customFormat="1" ht="15.75" hidden="1" customHeight="1" x14ac:dyDescent="0.25">
      <c r="A47" s="10" t="s">
        <v>199</v>
      </c>
      <c r="B47" s="10" t="s">
        <v>200</v>
      </c>
      <c r="C47" s="10" t="s">
        <v>201</v>
      </c>
      <c r="D47" s="22" t="s">
        <v>6087</v>
      </c>
      <c r="E47" s="10" t="s">
        <v>51</v>
      </c>
      <c r="F47" s="10" t="s">
        <v>65</v>
      </c>
      <c r="G47" s="10" t="s">
        <v>28</v>
      </c>
      <c r="H47" s="10" t="s">
        <v>161</v>
      </c>
      <c r="I47" s="11">
        <v>45088</v>
      </c>
      <c r="J47" s="10" t="s">
        <v>40</v>
      </c>
      <c r="K47" s="11">
        <v>45323</v>
      </c>
      <c r="L47" s="10" t="s">
        <v>59</v>
      </c>
      <c r="M47" s="12">
        <v>4404</v>
      </c>
      <c r="N47" s="12">
        <v>1197</v>
      </c>
      <c r="O47" s="10">
        <v>42</v>
      </c>
      <c r="P47" s="11">
        <v>45365</v>
      </c>
      <c r="Q47" s="10" t="s">
        <v>33</v>
      </c>
      <c r="R47" s="10" t="s">
        <v>33</v>
      </c>
      <c r="S47" s="10" t="s">
        <v>34</v>
      </c>
      <c r="T47" s="13">
        <v>3.6791999999999998</v>
      </c>
      <c r="U47" s="14">
        <v>235</v>
      </c>
      <c r="V47" s="14">
        <v>2024</v>
      </c>
      <c r="W47" s="10" t="s">
        <v>35</v>
      </c>
    </row>
    <row r="48" spans="1:23" s="9" customFormat="1" ht="15.75" hidden="1" customHeight="1" x14ac:dyDescent="0.25">
      <c r="A48" s="4" t="s">
        <v>202</v>
      </c>
      <c r="B48" s="4" t="s">
        <v>203</v>
      </c>
      <c r="C48" s="4" t="s">
        <v>204</v>
      </c>
      <c r="D48" s="21" t="s">
        <v>6086</v>
      </c>
      <c r="E48" s="4" t="s">
        <v>26</v>
      </c>
      <c r="F48" s="4" t="s">
        <v>46</v>
      </c>
      <c r="G48" s="4" t="s">
        <v>28</v>
      </c>
      <c r="H48" s="4" t="s">
        <v>39</v>
      </c>
      <c r="I48" s="5">
        <v>45130</v>
      </c>
      <c r="J48" s="4" t="s">
        <v>30</v>
      </c>
      <c r="K48" s="5">
        <v>45493</v>
      </c>
      <c r="L48" s="4" t="s">
        <v>59</v>
      </c>
      <c r="M48" s="6">
        <v>70242</v>
      </c>
      <c r="N48" s="6">
        <v>1932</v>
      </c>
      <c r="O48" s="4">
        <v>45</v>
      </c>
      <c r="P48" s="5">
        <v>45538</v>
      </c>
      <c r="Q48" s="4" t="s">
        <v>94</v>
      </c>
      <c r="R48" s="4" t="s">
        <v>94</v>
      </c>
      <c r="S48" s="4" t="s">
        <v>60</v>
      </c>
      <c r="T48" s="7">
        <v>36.357100000000003</v>
      </c>
      <c r="U48" s="8">
        <v>363</v>
      </c>
      <c r="V48" s="8">
        <v>2024</v>
      </c>
      <c r="W48" s="4" t="s">
        <v>42</v>
      </c>
    </row>
    <row r="49" spans="1:23" s="9" customFormat="1" ht="15.75" hidden="1" customHeight="1" x14ac:dyDescent="0.25">
      <c r="A49" s="10" t="s">
        <v>205</v>
      </c>
      <c r="B49" s="10" t="s">
        <v>206</v>
      </c>
      <c r="C49" s="10" t="s">
        <v>207</v>
      </c>
      <c r="D49" s="21" t="s">
        <v>6088</v>
      </c>
      <c r="E49" s="10" t="s">
        <v>51</v>
      </c>
      <c r="F49" s="10" t="s">
        <v>27</v>
      </c>
      <c r="G49" s="10" t="s">
        <v>28</v>
      </c>
      <c r="H49" s="10" t="s">
        <v>29</v>
      </c>
      <c r="I49" s="11">
        <v>45515</v>
      </c>
      <c r="J49" s="10" t="s">
        <v>30</v>
      </c>
      <c r="K49" s="11">
        <v>45629</v>
      </c>
      <c r="L49" s="10" t="s">
        <v>59</v>
      </c>
      <c r="M49" s="12">
        <v>48941</v>
      </c>
      <c r="N49" s="12">
        <v>4706</v>
      </c>
      <c r="O49" s="10">
        <v>33</v>
      </c>
      <c r="P49" s="11">
        <v>45662</v>
      </c>
      <c r="Q49" s="10" t="s">
        <v>94</v>
      </c>
      <c r="R49" s="10" t="s">
        <v>33</v>
      </c>
      <c r="S49" s="10" t="s">
        <v>41</v>
      </c>
      <c r="T49" s="13">
        <v>10.399699999999999</v>
      </c>
      <c r="U49" s="14">
        <v>114</v>
      </c>
      <c r="V49" s="14">
        <v>2024</v>
      </c>
      <c r="W49" s="10" t="s">
        <v>89</v>
      </c>
    </row>
    <row r="50" spans="1:23" s="9" customFormat="1" ht="15.75" hidden="1" customHeight="1" x14ac:dyDescent="0.25">
      <c r="A50" s="4" t="s">
        <v>208</v>
      </c>
      <c r="B50" s="4" t="s">
        <v>209</v>
      </c>
      <c r="C50" s="4" t="s">
        <v>210</v>
      </c>
      <c r="D50" s="22" t="s">
        <v>6090</v>
      </c>
      <c r="E50" s="4" t="s">
        <v>51</v>
      </c>
      <c r="F50" s="4" t="s">
        <v>46</v>
      </c>
      <c r="G50" s="4" t="s">
        <v>57</v>
      </c>
      <c r="H50" s="4" t="s">
        <v>39</v>
      </c>
      <c r="I50" s="5">
        <v>45187</v>
      </c>
      <c r="J50" s="4" t="s">
        <v>30</v>
      </c>
      <c r="K50" s="5">
        <v>45534</v>
      </c>
      <c r="L50" s="4" t="s">
        <v>59</v>
      </c>
      <c r="M50" s="6">
        <v>39697</v>
      </c>
      <c r="N50" s="6">
        <v>4160</v>
      </c>
      <c r="O50" s="4">
        <v>30</v>
      </c>
      <c r="P50" s="5">
        <v>45564</v>
      </c>
      <c r="Q50" s="4" t="s">
        <v>33</v>
      </c>
      <c r="R50" s="4" t="s">
        <v>33</v>
      </c>
      <c r="S50" s="4" t="s">
        <v>60</v>
      </c>
      <c r="T50" s="7">
        <v>9.5425000000000004</v>
      </c>
      <c r="U50" s="8">
        <v>347</v>
      </c>
      <c r="V50" s="8">
        <v>2024</v>
      </c>
      <c r="W50" s="4" t="s">
        <v>114</v>
      </c>
    </row>
    <row r="51" spans="1:23" s="9" customFormat="1" ht="15.75" hidden="1" customHeight="1" x14ac:dyDescent="0.25">
      <c r="A51" s="10" t="s">
        <v>211</v>
      </c>
      <c r="B51" s="10" t="s">
        <v>212</v>
      </c>
      <c r="C51" s="10" t="s">
        <v>213</v>
      </c>
      <c r="D51" s="21" t="s">
        <v>6086</v>
      </c>
      <c r="E51" s="10" t="s">
        <v>51</v>
      </c>
      <c r="F51" s="10" t="s">
        <v>46</v>
      </c>
      <c r="G51" s="10" t="s">
        <v>57</v>
      </c>
      <c r="H51" s="10" t="s">
        <v>93</v>
      </c>
      <c r="I51" s="11">
        <v>45432</v>
      </c>
      <c r="J51" s="10" t="s">
        <v>40</v>
      </c>
      <c r="K51" s="11">
        <v>45504</v>
      </c>
      <c r="L51" s="10" t="s">
        <v>59</v>
      </c>
      <c r="M51" s="12">
        <v>38420</v>
      </c>
      <c r="N51" s="12">
        <v>8333</v>
      </c>
      <c r="O51" s="10">
        <v>14</v>
      </c>
      <c r="P51" s="11">
        <v>45518</v>
      </c>
      <c r="Q51" s="10" t="s">
        <v>33</v>
      </c>
      <c r="R51" s="10" t="s">
        <v>33</v>
      </c>
      <c r="S51" s="10" t="s">
        <v>41</v>
      </c>
      <c r="T51" s="13">
        <v>4.6105999999999998</v>
      </c>
      <c r="U51" s="14">
        <v>72</v>
      </c>
      <c r="V51" s="14">
        <v>2024</v>
      </c>
      <c r="W51" s="10" t="s">
        <v>42</v>
      </c>
    </row>
    <row r="52" spans="1:23" s="9" customFormat="1" ht="15.75" hidden="1" customHeight="1" x14ac:dyDescent="0.25">
      <c r="A52" s="4" t="s">
        <v>214</v>
      </c>
      <c r="B52" s="4" t="s">
        <v>215</v>
      </c>
      <c r="C52" s="4" t="s">
        <v>216</v>
      </c>
      <c r="D52" s="22" t="s">
        <v>6087</v>
      </c>
      <c r="E52" s="4" t="s">
        <v>51</v>
      </c>
      <c r="F52" s="4" t="s">
        <v>46</v>
      </c>
      <c r="G52" s="4" t="s">
        <v>5</v>
      </c>
      <c r="H52" s="4" t="s">
        <v>58</v>
      </c>
      <c r="I52" s="5">
        <v>45445</v>
      </c>
      <c r="J52" s="4" t="s">
        <v>40</v>
      </c>
      <c r="K52" s="5">
        <v>45647</v>
      </c>
      <c r="L52" s="4" t="s">
        <v>59</v>
      </c>
      <c r="M52" s="6">
        <v>19286</v>
      </c>
      <c r="N52" s="6">
        <v>779</v>
      </c>
      <c r="O52" s="4">
        <v>3</v>
      </c>
      <c r="P52" s="5">
        <v>45650</v>
      </c>
      <c r="Q52" s="4" t="s">
        <v>33</v>
      </c>
      <c r="R52" s="4" t="s">
        <v>33</v>
      </c>
      <c r="S52" s="4" t="s">
        <v>60</v>
      </c>
      <c r="T52" s="7">
        <v>24.757400000000001</v>
      </c>
      <c r="U52" s="8">
        <v>202</v>
      </c>
      <c r="V52" s="8">
        <v>2024</v>
      </c>
      <c r="W52" s="4" t="s">
        <v>89</v>
      </c>
    </row>
    <row r="53" spans="1:23" s="9" customFormat="1" ht="15.75" hidden="1" customHeight="1" x14ac:dyDescent="0.25">
      <c r="A53" s="10" t="s">
        <v>217</v>
      </c>
      <c r="B53" s="10" t="s">
        <v>218</v>
      </c>
      <c r="C53" s="10" t="s">
        <v>219</v>
      </c>
      <c r="D53" s="22" t="s">
        <v>6087</v>
      </c>
      <c r="E53" s="10" t="s">
        <v>26</v>
      </c>
      <c r="F53" s="10" t="s">
        <v>27</v>
      </c>
      <c r="G53" s="10" t="s">
        <v>57</v>
      </c>
      <c r="H53" s="10" t="s">
        <v>29</v>
      </c>
      <c r="I53" s="11">
        <v>45253</v>
      </c>
      <c r="J53" s="10" t="s">
        <v>30</v>
      </c>
      <c r="K53" s="11">
        <v>45372</v>
      </c>
      <c r="L53" s="10" t="s">
        <v>59</v>
      </c>
      <c r="M53" s="12">
        <v>35613</v>
      </c>
      <c r="N53" s="12">
        <v>4155</v>
      </c>
      <c r="O53" s="10">
        <v>39</v>
      </c>
      <c r="P53" s="11">
        <v>45411</v>
      </c>
      <c r="Q53" s="10" t="s">
        <v>33</v>
      </c>
      <c r="R53" s="10" t="s">
        <v>33</v>
      </c>
      <c r="S53" s="10" t="s">
        <v>41</v>
      </c>
      <c r="T53" s="13">
        <v>8.5710999999999995</v>
      </c>
      <c r="U53" s="14">
        <v>119</v>
      </c>
      <c r="V53" s="14">
        <v>2024</v>
      </c>
      <c r="W53" s="10" t="s">
        <v>77</v>
      </c>
    </row>
    <row r="54" spans="1:23" s="9" customFormat="1" ht="15.75" hidden="1" customHeight="1" x14ac:dyDescent="0.25">
      <c r="A54" s="4" t="s">
        <v>220</v>
      </c>
      <c r="B54" s="4" t="s">
        <v>221</v>
      </c>
      <c r="C54" s="4" t="s">
        <v>222</v>
      </c>
      <c r="D54" s="21" t="s">
        <v>6086</v>
      </c>
      <c r="E54" s="4" t="s">
        <v>51</v>
      </c>
      <c r="F54" s="4" t="s">
        <v>71</v>
      </c>
      <c r="G54" s="4" t="s">
        <v>5</v>
      </c>
      <c r="H54" s="4" t="s">
        <v>39</v>
      </c>
      <c r="I54" s="5">
        <v>45274</v>
      </c>
      <c r="J54" s="4" t="s">
        <v>40</v>
      </c>
      <c r="K54" s="5">
        <v>45521</v>
      </c>
      <c r="L54" s="4" t="s">
        <v>31</v>
      </c>
      <c r="M54" s="6">
        <v>60429</v>
      </c>
      <c r="N54" s="6">
        <v>1454</v>
      </c>
      <c r="O54" s="4" t="s">
        <v>32</v>
      </c>
      <c r="P54" s="4" t="s">
        <v>32</v>
      </c>
      <c r="Q54" s="4" t="s">
        <v>33</v>
      </c>
      <c r="R54" s="4" t="s">
        <v>33</v>
      </c>
      <c r="S54" s="4" t="s">
        <v>41</v>
      </c>
      <c r="T54" s="7">
        <v>41.560499999999998</v>
      </c>
      <c r="U54" s="8">
        <v>247</v>
      </c>
      <c r="V54" s="8">
        <v>2024</v>
      </c>
      <c r="W54" s="4" t="s">
        <v>114</v>
      </c>
    </row>
    <row r="55" spans="1:23" s="9" customFormat="1" ht="15.75" hidden="1" customHeight="1" x14ac:dyDescent="0.25">
      <c r="A55" s="10" t="s">
        <v>223</v>
      </c>
      <c r="B55" s="10" t="s">
        <v>224</v>
      </c>
      <c r="C55" s="10" t="s">
        <v>225</v>
      </c>
      <c r="D55" s="22" t="s">
        <v>6090</v>
      </c>
      <c r="E55" s="10" t="s">
        <v>87</v>
      </c>
      <c r="F55" s="10" t="s">
        <v>27</v>
      </c>
      <c r="G55" s="10" t="s">
        <v>5</v>
      </c>
      <c r="H55" s="10" t="s">
        <v>72</v>
      </c>
      <c r="I55" s="11">
        <v>45210</v>
      </c>
      <c r="J55" s="10" t="s">
        <v>40</v>
      </c>
      <c r="K55" s="11">
        <v>45296</v>
      </c>
      <c r="L55" s="10" t="s">
        <v>59</v>
      </c>
      <c r="M55" s="12">
        <v>35009</v>
      </c>
      <c r="N55" s="12">
        <v>7919</v>
      </c>
      <c r="O55" s="10">
        <v>20</v>
      </c>
      <c r="P55" s="11">
        <v>45316</v>
      </c>
      <c r="Q55" s="10" t="s">
        <v>33</v>
      </c>
      <c r="R55" s="10" t="s">
        <v>33</v>
      </c>
      <c r="S55" s="10" t="s">
        <v>60</v>
      </c>
      <c r="T55" s="13">
        <v>4.4208999999999996</v>
      </c>
      <c r="U55" s="14">
        <v>86</v>
      </c>
      <c r="V55" s="14">
        <v>2024</v>
      </c>
      <c r="W55" s="10" t="s">
        <v>73</v>
      </c>
    </row>
    <row r="56" spans="1:23" s="9" customFormat="1" ht="15.75" hidden="1" customHeight="1" x14ac:dyDescent="0.25">
      <c r="A56" s="4" t="s">
        <v>226</v>
      </c>
      <c r="B56" s="4" t="s">
        <v>227</v>
      </c>
      <c r="C56" s="4" t="s">
        <v>228</v>
      </c>
      <c r="D56" s="21" t="s">
        <v>6086</v>
      </c>
      <c r="E56" s="4" t="s">
        <v>26</v>
      </c>
      <c r="F56" s="4" t="s">
        <v>27</v>
      </c>
      <c r="G56" s="4" t="s">
        <v>5</v>
      </c>
      <c r="H56" s="4" t="s">
        <v>118</v>
      </c>
      <c r="I56" s="5">
        <v>45321</v>
      </c>
      <c r="J56" s="4" t="s">
        <v>40</v>
      </c>
      <c r="K56" s="5">
        <v>45599</v>
      </c>
      <c r="L56" s="4" t="s">
        <v>31</v>
      </c>
      <c r="M56" s="6">
        <v>36620</v>
      </c>
      <c r="N56" s="6">
        <v>1200</v>
      </c>
      <c r="O56" s="4" t="s">
        <v>32</v>
      </c>
      <c r="P56" s="4" t="s">
        <v>32</v>
      </c>
      <c r="Q56" s="4" t="s">
        <v>33</v>
      </c>
      <c r="R56" s="4" t="s">
        <v>33</v>
      </c>
      <c r="S56" s="4" t="s">
        <v>41</v>
      </c>
      <c r="T56" s="7">
        <v>30.5167</v>
      </c>
      <c r="U56" s="8">
        <v>278</v>
      </c>
      <c r="V56" s="8">
        <v>2024</v>
      </c>
      <c r="W56" s="4" t="s">
        <v>61</v>
      </c>
    </row>
    <row r="57" spans="1:23" s="9" customFormat="1" ht="15.75" hidden="1" customHeight="1" x14ac:dyDescent="0.25">
      <c r="A57" s="10" t="s">
        <v>229</v>
      </c>
      <c r="B57" s="10" t="s">
        <v>230</v>
      </c>
      <c r="C57" s="10" t="s">
        <v>231</v>
      </c>
      <c r="D57" s="22" t="s">
        <v>6090</v>
      </c>
      <c r="E57" s="10" t="s">
        <v>51</v>
      </c>
      <c r="F57" s="10" t="s">
        <v>27</v>
      </c>
      <c r="G57" s="10" t="s">
        <v>57</v>
      </c>
      <c r="H57" s="10" t="s">
        <v>29</v>
      </c>
      <c r="I57" s="11">
        <v>45092</v>
      </c>
      <c r="J57" s="10" t="s">
        <v>40</v>
      </c>
      <c r="K57" s="11">
        <v>45324</v>
      </c>
      <c r="L57" s="10" t="s">
        <v>31</v>
      </c>
      <c r="M57" s="12">
        <v>33849</v>
      </c>
      <c r="N57" s="12">
        <v>4020</v>
      </c>
      <c r="O57" s="10" t="s">
        <v>32</v>
      </c>
      <c r="P57" s="10" t="s">
        <v>32</v>
      </c>
      <c r="Q57" s="10" t="s">
        <v>94</v>
      </c>
      <c r="R57" s="10" t="s">
        <v>94</v>
      </c>
      <c r="S57" s="10" t="s">
        <v>60</v>
      </c>
      <c r="T57" s="13">
        <v>8.4200999999999997</v>
      </c>
      <c r="U57" s="14">
        <v>232</v>
      </c>
      <c r="V57" s="14">
        <v>2024</v>
      </c>
      <c r="W57" s="10" t="s">
        <v>35</v>
      </c>
    </row>
    <row r="58" spans="1:23" s="9" customFormat="1" ht="15.75" hidden="1" customHeight="1" x14ac:dyDescent="0.25">
      <c r="A58" s="4" t="s">
        <v>232</v>
      </c>
      <c r="B58" s="4" t="s">
        <v>233</v>
      </c>
      <c r="C58" s="4" t="s">
        <v>234</v>
      </c>
      <c r="D58" s="21" t="s">
        <v>6086</v>
      </c>
      <c r="E58" s="4" t="s">
        <v>87</v>
      </c>
      <c r="F58" s="4" t="s">
        <v>65</v>
      </c>
      <c r="G58" s="4" t="s">
        <v>5</v>
      </c>
      <c r="H58" s="4" t="s">
        <v>161</v>
      </c>
      <c r="I58" s="5">
        <v>45105</v>
      </c>
      <c r="J58" s="4" t="s">
        <v>30</v>
      </c>
      <c r="K58" s="5">
        <v>45402</v>
      </c>
      <c r="L58" s="4" t="s">
        <v>59</v>
      </c>
      <c r="M58" s="6">
        <v>27458</v>
      </c>
      <c r="N58" s="6">
        <v>4944</v>
      </c>
      <c r="O58" s="4">
        <v>31</v>
      </c>
      <c r="P58" s="5">
        <v>45433</v>
      </c>
      <c r="Q58" s="4" t="s">
        <v>33</v>
      </c>
      <c r="R58" s="4" t="s">
        <v>33</v>
      </c>
      <c r="S58" s="4" t="s">
        <v>60</v>
      </c>
      <c r="T58" s="7">
        <v>5.5537999999999998</v>
      </c>
      <c r="U58" s="8">
        <v>297</v>
      </c>
      <c r="V58" s="8">
        <v>2024</v>
      </c>
      <c r="W58" s="4" t="s">
        <v>47</v>
      </c>
    </row>
    <row r="59" spans="1:23" s="9" customFormat="1" ht="15.75" hidden="1" customHeight="1" x14ac:dyDescent="0.25">
      <c r="A59" s="10" t="s">
        <v>235</v>
      </c>
      <c r="B59" s="10" t="s">
        <v>236</v>
      </c>
      <c r="C59" s="10" t="s">
        <v>237</v>
      </c>
      <c r="D59" s="21" t="s">
        <v>6089</v>
      </c>
      <c r="E59" s="10" t="s">
        <v>26</v>
      </c>
      <c r="F59" s="10" t="s">
        <v>71</v>
      </c>
      <c r="G59" s="10" t="s">
        <v>5</v>
      </c>
      <c r="H59" s="10" t="s">
        <v>29</v>
      </c>
      <c r="I59" s="11">
        <v>45196</v>
      </c>
      <c r="J59" s="10" t="s">
        <v>40</v>
      </c>
      <c r="K59" s="11">
        <v>45438</v>
      </c>
      <c r="L59" s="10" t="s">
        <v>59</v>
      </c>
      <c r="M59" s="12">
        <v>46655</v>
      </c>
      <c r="N59" s="12">
        <v>3391</v>
      </c>
      <c r="O59" s="10">
        <v>20</v>
      </c>
      <c r="P59" s="11">
        <v>45458</v>
      </c>
      <c r="Q59" s="10" t="s">
        <v>33</v>
      </c>
      <c r="R59" s="10" t="s">
        <v>33</v>
      </c>
      <c r="S59" s="10" t="s">
        <v>41</v>
      </c>
      <c r="T59" s="13">
        <v>13.7585</v>
      </c>
      <c r="U59" s="14">
        <v>242</v>
      </c>
      <c r="V59" s="14">
        <v>2024</v>
      </c>
      <c r="W59" s="10" t="s">
        <v>52</v>
      </c>
    </row>
    <row r="60" spans="1:23" s="9" customFormat="1" ht="15.75" hidden="1" customHeight="1" x14ac:dyDescent="0.25">
      <c r="A60" s="4" t="s">
        <v>238</v>
      </c>
      <c r="B60" s="4" t="s">
        <v>239</v>
      </c>
      <c r="C60" s="4" t="s">
        <v>240</v>
      </c>
      <c r="D60" s="22" t="s">
        <v>6090</v>
      </c>
      <c r="E60" s="4" t="s">
        <v>26</v>
      </c>
      <c r="F60" s="4" t="s">
        <v>46</v>
      </c>
      <c r="G60" s="4" t="s">
        <v>57</v>
      </c>
      <c r="H60" s="4" t="s">
        <v>88</v>
      </c>
      <c r="I60" s="5">
        <v>45190</v>
      </c>
      <c r="J60" s="4" t="s">
        <v>30</v>
      </c>
      <c r="K60" s="5">
        <v>45347</v>
      </c>
      <c r="L60" s="4" t="s">
        <v>66</v>
      </c>
      <c r="M60" s="6">
        <v>50954</v>
      </c>
      <c r="N60" s="6">
        <v>7072</v>
      </c>
      <c r="O60" s="4" t="s">
        <v>32</v>
      </c>
      <c r="P60" s="4" t="s">
        <v>32</v>
      </c>
      <c r="Q60" s="4" t="s">
        <v>33</v>
      </c>
      <c r="R60" s="4" t="s">
        <v>33</v>
      </c>
      <c r="S60" s="4" t="s">
        <v>60</v>
      </c>
      <c r="T60" s="7">
        <v>7.2050000000000001</v>
      </c>
      <c r="U60" s="8">
        <v>157</v>
      </c>
      <c r="V60" s="8">
        <v>2024</v>
      </c>
      <c r="W60" s="4" t="s">
        <v>35</v>
      </c>
    </row>
    <row r="61" spans="1:23" s="9" customFormat="1" ht="15.75" hidden="1" customHeight="1" x14ac:dyDescent="0.25">
      <c r="A61" s="10" t="s">
        <v>241</v>
      </c>
      <c r="B61" s="10" t="s">
        <v>242</v>
      </c>
      <c r="C61" s="10" t="s">
        <v>243</v>
      </c>
      <c r="D61" s="22" t="s">
        <v>6087</v>
      </c>
      <c r="E61" s="10" t="s">
        <v>87</v>
      </c>
      <c r="F61" s="21" t="s">
        <v>6092</v>
      </c>
      <c r="G61" s="10" t="s">
        <v>57</v>
      </c>
      <c r="H61" s="10" t="s">
        <v>58</v>
      </c>
      <c r="I61" s="11">
        <v>45200</v>
      </c>
      <c r="J61" s="10" t="s">
        <v>40</v>
      </c>
      <c r="K61" s="11">
        <v>45446</v>
      </c>
      <c r="L61" s="10" t="s">
        <v>59</v>
      </c>
      <c r="M61" s="12">
        <v>7475</v>
      </c>
      <c r="N61" s="12">
        <v>5933</v>
      </c>
      <c r="O61" s="10">
        <v>37</v>
      </c>
      <c r="P61" s="11">
        <v>45483</v>
      </c>
      <c r="Q61" s="10" t="s">
        <v>33</v>
      </c>
      <c r="R61" s="10" t="s">
        <v>33</v>
      </c>
      <c r="S61" s="10" t="s">
        <v>60</v>
      </c>
      <c r="T61" s="13">
        <v>1.2599</v>
      </c>
      <c r="U61" s="14">
        <v>246</v>
      </c>
      <c r="V61" s="14">
        <v>2024</v>
      </c>
      <c r="W61" s="10" t="s">
        <v>67</v>
      </c>
    </row>
    <row r="62" spans="1:23" s="9" customFormat="1" ht="15.75" hidden="1" customHeight="1" x14ac:dyDescent="0.25">
      <c r="A62" s="4" t="s">
        <v>244</v>
      </c>
      <c r="B62" s="4" t="s">
        <v>245</v>
      </c>
      <c r="C62" s="4" t="s">
        <v>246</v>
      </c>
      <c r="D62" s="21" t="s">
        <v>6088</v>
      </c>
      <c r="E62" s="4" t="s">
        <v>26</v>
      </c>
      <c r="F62" s="21" t="s">
        <v>6092</v>
      </c>
      <c r="G62" s="4" t="s">
        <v>28</v>
      </c>
      <c r="H62" s="4" t="s">
        <v>29</v>
      </c>
      <c r="I62" s="5">
        <v>45464</v>
      </c>
      <c r="J62" s="4" t="s">
        <v>30</v>
      </c>
      <c r="K62" s="5">
        <v>45545</v>
      </c>
      <c r="L62" s="4" t="s">
        <v>59</v>
      </c>
      <c r="M62" s="6">
        <v>69609</v>
      </c>
      <c r="N62" s="6">
        <v>4662</v>
      </c>
      <c r="O62" s="4">
        <v>6</v>
      </c>
      <c r="P62" s="5">
        <v>45551</v>
      </c>
      <c r="Q62" s="4" t="s">
        <v>33</v>
      </c>
      <c r="R62" s="4" t="s">
        <v>33</v>
      </c>
      <c r="S62" s="4" t="s">
        <v>41</v>
      </c>
      <c r="T62" s="7">
        <v>14.931100000000001</v>
      </c>
      <c r="U62" s="8">
        <v>81</v>
      </c>
      <c r="V62" s="8">
        <v>2024</v>
      </c>
      <c r="W62" s="4" t="s">
        <v>168</v>
      </c>
    </row>
    <row r="63" spans="1:23" s="9" customFormat="1" ht="15.75" hidden="1" customHeight="1" x14ac:dyDescent="0.25">
      <c r="A63" s="10" t="s">
        <v>247</v>
      </c>
      <c r="B63" s="10" t="s">
        <v>248</v>
      </c>
      <c r="C63" s="10" t="s">
        <v>249</v>
      </c>
      <c r="D63" s="21" t="s">
        <v>6088</v>
      </c>
      <c r="E63" s="10" t="s">
        <v>87</v>
      </c>
      <c r="F63" s="10" t="s">
        <v>27</v>
      </c>
      <c r="G63" s="10" t="s">
        <v>5</v>
      </c>
      <c r="H63" s="10" t="s">
        <v>93</v>
      </c>
      <c r="I63" s="11">
        <v>45270</v>
      </c>
      <c r="J63" s="10" t="s">
        <v>30</v>
      </c>
      <c r="K63" s="11">
        <v>45511</v>
      </c>
      <c r="L63" s="10" t="s">
        <v>31</v>
      </c>
      <c r="M63" s="12">
        <v>71031</v>
      </c>
      <c r="N63" s="12">
        <v>2069</v>
      </c>
      <c r="O63" s="10" t="s">
        <v>32</v>
      </c>
      <c r="P63" s="10" t="s">
        <v>32</v>
      </c>
      <c r="Q63" s="10" t="s">
        <v>94</v>
      </c>
      <c r="R63" s="10" t="s">
        <v>33</v>
      </c>
      <c r="S63" s="10" t="s">
        <v>41</v>
      </c>
      <c r="T63" s="13">
        <v>34.331099999999999</v>
      </c>
      <c r="U63" s="14">
        <v>241</v>
      </c>
      <c r="V63" s="14">
        <v>2024</v>
      </c>
      <c r="W63" s="10" t="s">
        <v>114</v>
      </c>
    </row>
    <row r="64" spans="1:23" s="9" customFormat="1" ht="15.75" hidden="1" customHeight="1" x14ac:dyDescent="0.25">
      <c r="A64" s="4" t="s">
        <v>250</v>
      </c>
      <c r="B64" s="4" t="s">
        <v>251</v>
      </c>
      <c r="C64" s="4" t="s">
        <v>252</v>
      </c>
      <c r="D64" s="22" t="s">
        <v>6090</v>
      </c>
      <c r="E64" s="4" t="s">
        <v>26</v>
      </c>
      <c r="F64" s="4" t="s">
        <v>65</v>
      </c>
      <c r="G64" s="4" t="s">
        <v>5</v>
      </c>
      <c r="H64" s="4" t="s">
        <v>29</v>
      </c>
      <c r="I64" s="5">
        <v>45103</v>
      </c>
      <c r="J64" s="4" t="s">
        <v>30</v>
      </c>
      <c r="K64" s="5">
        <v>45446</v>
      </c>
      <c r="L64" s="4" t="s">
        <v>31</v>
      </c>
      <c r="M64" s="6">
        <v>49633</v>
      </c>
      <c r="N64" s="6">
        <v>5166</v>
      </c>
      <c r="O64" s="4" t="s">
        <v>32</v>
      </c>
      <c r="P64" s="4" t="s">
        <v>32</v>
      </c>
      <c r="Q64" s="4" t="s">
        <v>33</v>
      </c>
      <c r="R64" s="4" t="s">
        <v>33</v>
      </c>
      <c r="S64" s="4" t="s">
        <v>34</v>
      </c>
      <c r="T64" s="7">
        <v>9.6075999999999997</v>
      </c>
      <c r="U64" s="8">
        <v>343</v>
      </c>
      <c r="V64" s="8">
        <v>2024</v>
      </c>
      <c r="W64" s="4" t="s">
        <v>67</v>
      </c>
    </row>
    <row r="65" spans="1:23" s="9" customFormat="1" ht="15.75" hidden="1" customHeight="1" x14ac:dyDescent="0.25">
      <c r="A65" s="10" t="s">
        <v>253</v>
      </c>
      <c r="B65" s="10" t="s">
        <v>254</v>
      </c>
      <c r="C65" s="10" t="s">
        <v>255</v>
      </c>
      <c r="D65" s="21" t="s">
        <v>6086</v>
      </c>
      <c r="E65" s="10" t="s">
        <v>51</v>
      </c>
      <c r="F65" s="10" t="s">
        <v>27</v>
      </c>
      <c r="G65" s="10" t="s">
        <v>28</v>
      </c>
      <c r="H65" s="10" t="s">
        <v>118</v>
      </c>
      <c r="I65" s="11">
        <v>45552</v>
      </c>
      <c r="J65" s="10" t="s">
        <v>30</v>
      </c>
      <c r="K65" s="11">
        <v>45657</v>
      </c>
      <c r="L65" s="10" t="s">
        <v>59</v>
      </c>
      <c r="M65" s="12">
        <v>15985</v>
      </c>
      <c r="N65" s="12">
        <v>6008</v>
      </c>
      <c r="O65" s="10">
        <v>32</v>
      </c>
      <c r="P65" s="11">
        <v>45689</v>
      </c>
      <c r="Q65" s="10" t="s">
        <v>33</v>
      </c>
      <c r="R65" s="10" t="s">
        <v>33</v>
      </c>
      <c r="S65" s="10" t="s">
        <v>60</v>
      </c>
      <c r="T65" s="13">
        <v>2.6606000000000001</v>
      </c>
      <c r="U65" s="14">
        <v>105</v>
      </c>
      <c r="V65" s="14">
        <v>2024</v>
      </c>
      <c r="W65" s="10" t="s">
        <v>89</v>
      </c>
    </row>
    <row r="66" spans="1:23" s="9" customFormat="1" ht="15.75" hidden="1" customHeight="1" x14ac:dyDescent="0.25">
      <c r="A66" s="4" t="s">
        <v>256</v>
      </c>
      <c r="B66" s="4" t="s">
        <v>257</v>
      </c>
      <c r="C66" s="4" t="s">
        <v>258</v>
      </c>
      <c r="D66" s="22" t="s">
        <v>6087</v>
      </c>
      <c r="E66" s="4" t="s">
        <v>51</v>
      </c>
      <c r="F66" s="4" t="s">
        <v>27</v>
      </c>
      <c r="G66" s="4" t="s">
        <v>5</v>
      </c>
      <c r="H66" s="4" t="s">
        <v>29</v>
      </c>
      <c r="I66" s="5">
        <v>45357</v>
      </c>
      <c r="J66" s="4" t="s">
        <v>30</v>
      </c>
      <c r="K66" s="5">
        <v>45496</v>
      </c>
      <c r="L66" s="4" t="s">
        <v>59</v>
      </c>
      <c r="M66" s="6">
        <v>37561</v>
      </c>
      <c r="N66" s="6">
        <v>3103</v>
      </c>
      <c r="O66" s="4">
        <v>18</v>
      </c>
      <c r="P66" s="5">
        <v>45514</v>
      </c>
      <c r="Q66" s="4" t="s">
        <v>94</v>
      </c>
      <c r="R66" s="4" t="s">
        <v>33</v>
      </c>
      <c r="S66" s="4" t="s">
        <v>41</v>
      </c>
      <c r="T66" s="7">
        <v>12.104699999999999</v>
      </c>
      <c r="U66" s="8">
        <v>139</v>
      </c>
      <c r="V66" s="8">
        <v>2024</v>
      </c>
      <c r="W66" s="4" t="s">
        <v>42</v>
      </c>
    </row>
    <row r="67" spans="1:23" s="9" customFormat="1" ht="15.75" hidden="1" customHeight="1" x14ac:dyDescent="0.25">
      <c r="A67" s="10" t="s">
        <v>259</v>
      </c>
      <c r="B67" s="10" t="s">
        <v>260</v>
      </c>
      <c r="C67" s="10" t="s">
        <v>261</v>
      </c>
      <c r="D67" s="22" t="s">
        <v>6090</v>
      </c>
      <c r="E67" s="10" t="s">
        <v>26</v>
      </c>
      <c r="F67" s="10" t="s">
        <v>46</v>
      </c>
      <c r="G67" s="10" t="s">
        <v>57</v>
      </c>
      <c r="H67" s="10" t="s">
        <v>118</v>
      </c>
      <c r="I67" s="11">
        <v>45004</v>
      </c>
      <c r="J67" s="10" t="s">
        <v>30</v>
      </c>
      <c r="K67" s="11">
        <v>45355</v>
      </c>
      <c r="L67" s="10" t="s">
        <v>31</v>
      </c>
      <c r="M67" s="12">
        <v>47939</v>
      </c>
      <c r="N67" s="12">
        <v>7746</v>
      </c>
      <c r="O67" s="10" t="s">
        <v>32</v>
      </c>
      <c r="P67" s="10" t="s">
        <v>32</v>
      </c>
      <c r="Q67" s="10" t="s">
        <v>33</v>
      </c>
      <c r="R67" s="10" t="s">
        <v>33</v>
      </c>
      <c r="S67" s="10" t="s">
        <v>41</v>
      </c>
      <c r="T67" s="13">
        <v>6.1889000000000003</v>
      </c>
      <c r="U67" s="14">
        <v>351</v>
      </c>
      <c r="V67" s="14">
        <v>2024</v>
      </c>
      <c r="W67" s="10" t="s">
        <v>77</v>
      </c>
    </row>
    <row r="68" spans="1:23" s="9" customFormat="1" ht="15.75" hidden="1" customHeight="1" x14ac:dyDescent="0.25">
      <c r="A68" s="4" t="s">
        <v>262</v>
      </c>
      <c r="B68" s="4" t="s">
        <v>263</v>
      </c>
      <c r="C68" s="4" t="s">
        <v>264</v>
      </c>
      <c r="D68" s="21" t="s">
        <v>6089</v>
      </c>
      <c r="E68" s="4" t="s">
        <v>87</v>
      </c>
      <c r="F68" s="21" t="s">
        <v>6092</v>
      </c>
      <c r="G68" s="4" t="s">
        <v>57</v>
      </c>
      <c r="H68" s="4" t="s">
        <v>118</v>
      </c>
      <c r="I68" s="5">
        <v>45317</v>
      </c>
      <c r="J68" s="4" t="s">
        <v>30</v>
      </c>
      <c r="K68" s="5">
        <v>45558</v>
      </c>
      <c r="L68" s="4" t="s">
        <v>31</v>
      </c>
      <c r="M68" s="6">
        <v>37829</v>
      </c>
      <c r="N68" s="6">
        <v>8682</v>
      </c>
      <c r="O68" s="4" t="s">
        <v>32</v>
      </c>
      <c r="P68" s="4" t="s">
        <v>32</v>
      </c>
      <c r="Q68" s="4" t="s">
        <v>33</v>
      </c>
      <c r="R68" s="4" t="s">
        <v>33</v>
      </c>
      <c r="S68" s="4" t="s">
        <v>34</v>
      </c>
      <c r="T68" s="7">
        <v>4.3571999999999997</v>
      </c>
      <c r="U68" s="8">
        <v>241</v>
      </c>
      <c r="V68" s="8">
        <v>2024</v>
      </c>
      <c r="W68" s="4" t="s">
        <v>168</v>
      </c>
    </row>
    <row r="69" spans="1:23" s="9" customFormat="1" ht="15.75" hidden="1" customHeight="1" x14ac:dyDescent="0.25">
      <c r="A69" s="10" t="s">
        <v>265</v>
      </c>
      <c r="B69" s="10" t="s">
        <v>266</v>
      </c>
      <c r="C69" s="10" t="s">
        <v>267</v>
      </c>
      <c r="D69" s="21" t="s">
        <v>6091</v>
      </c>
      <c r="E69" s="10" t="s">
        <v>87</v>
      </c>
      <c r="F69" s="10" t="s">
        <v>27</v>
      </c>
      <c r="G69" s="10" t="s">
        <v>57</v>
      </c>
      <c r="H69" s="10" t="s">
        <v>161</v>
      </c>
      <c r="I69" s="11">
        <v>45304</v>
      </c>
      <c r="J69" s="10" t="s">
        <v>40</v>
      </c>
      <c r="K69" s="11">
        <v>45485</v>
      </c>
      <c r="L69" s="10" t="s">
        <v>31</v>
      </c>
      <c r="M69" s="12">
        <v>13938</v>
      </c>
      <c r="N69" s="12">
        <v>1986</v>
      </c>
      <c r="O69" s="10" t="s">
        <v>32</v>
      </c>
      <c r="P69" s="10" t="s">
        <v>32</v>
      </c>
      <c r="Q69" s="10" t="s">
        <v>94</v>
      </c>
      <c r="R69" s="10" t="s">
        <v>33</v>
      </c>
      <c r="S69" s="10" t="s">
        <v>60</v>
      </c>
      <c r="T69" s="13">
        <v>7.0180999999999996</v>
      </c>
      <c r="U69" s="14">
        <v>181</v>
      </c>
      <c r="V69" s="14">
        <v>2024</v>
      </c>
      <c r="W69" s="10" t="s">
        <v>42</v>
      </c>
    </row>
    <row r="70" spans="1:23" s="9" customFormat="1" ht="15.75" hidden="1" customHeight="1" x14ac:dyDescent="0.25">
      <c r="A70" s="4" t="s">
        <v>268</v>
      </c>
      <c r="B70" s="4" t="s">
        <v>269</v>
      </c>
      <c r="C70" s="4" t="s">
        <v>270</v>
      </c>
      <c r="D70" s="22" t="s">
        <v>6090</v>
      </c>
      <c r="E70" s="4" t="s">
        <v>26</v>
      </c>
      <c r="F70" s="21" t="s">
        <v>6092</v>
      </c>
      <c r="G70" s="4" t="s">
        <v>57</v>
      </c>
      <c r="H70" s="4" t="s">
        <v>72</v>
      </c>
      <c r="I70" s="5">
        <v>45076</v>
      </c>
      <c r="J70" s="4" t="s">
        <v>30</v>
      </c>
      <c r="K70" s="5">
        <v>45297</v>
      </c>
      <c r="L70" s="4" t="s">
        <v>66</v>
      </c>
      <c r="M70" s="6">
        <v>36041</v>
      </c>
      <c r="N70" s="6">
        <v>8591</v>
      </c>
      <c r="O70" s="4" t="s">
        <v>32</v>
      </c>
      <c r="P70" s="4" t="s">
        <v>32</v>
      </c>
      <c r="Q70" s="4" t="s">
        <v>33</v>
      </c>
      <c r="R70" s="4" t="s">
        <v>33</v>
      </c>
      <c r="S70" s="4" t="s">
        <v>60</v>
      </c>
      <c r="T70" s="7">
        <v>4.1951999999999998</v>
      </c>
      <c r="U70" s="8">
        <v>221</v>
      </c>
      <c r="V70" s="8">
        <v>2024</v>
      </c>
      <c r="W70" s="4" t="s">
        <v>73</v>
      </c>
    </row>
    <row r="71" spans="1:23" s="9" customFormat="1" ht="15.75" hidden="1" customHeight="1" x14ac:dyDescent="0.25">
      <c r="A71" s="10" t="s">
        <v>271</v>
      </c>
      <c r="B71" s="10" t="s">
        <v>272</v>
      </c>
      <c r="C71" s="10" t="s">
        <v>273</v>
      </c>
      <c r="D71" s="21" t="s">
        <v>6088</v>
      </c>
      <c r="E71" s="10" t="s">
        <v>87</v>
      </c>
      <c r="F71" s="21" t="s">
        <v>6092</v>
      </c>
      <c r="G71" s="10" t="s">
        <v>57</v>
      </c>
      <c r="H71" s="10" t="s">
        <v>161</v>
      </c>
      <c r="I71" s="11">
        <v>45260</v>
      </c>
      <c r="J71" s="10" t="s">
        <v>30</v>
      </c>
      <c r="K71" s="11">
        <v>45437</v>
      </c>
      <c r="L71" s="10" t="s">
        <v>59</v>
      </c>
      <c r="M71" s="12">
        <v>23237</v>
      </c>
      <c r="N71" s="12">
        <v>3866</v>
      </c>
      <c r="O71" s="10">
        <v>45</v>
      </c>
      <c r="P71" s="11">
        <v>45482</v>
      </c>
      <c r="Q71" s="10" t="s">
        <v>33</v>
      </c>
      <c r="R71" s="10" t="s">
        <v>33</v>
      </c>
      <c r="S71" s="10" t="s">
        <v>41</v>
      </c>
      <c r="T71" s="13">
        <v>6.0106000000000002</v>
      </c>
      <c r="U71" s="14">
        <v>177</v>
      </c>
      <c r="V71" s="14">
        <v>2024</v>
      </c>
      <c r="W71" s="10" t="s">
        <v>52</v>
      </c>
    </row>
    <row r="72" spans="1:23" s="9" customFormat="1" ht="15.75" hidden="1" customHeight="1" x14ac:dyDescent="0.25">
      <c r="A72" s="4" t="s">
        <v>274</v>
      </c>
      <c r="B72" s="4" t="s">
        <v>275</v>
      </c>
      <c r="C72" s="4" t="s">
        <v>276</v>
      </c>
      <c r="D72" s="21" t="s">
        <v>6086</v>
      </c>
      <c r="E72" s="4" t="s">
        <v>51</v>
      </c>
      <c r="F72" s="4" t="s">
        <v>27</v>
      </c>
      <c r="G72" s="4" t="s">
        <v>28</v>
      </c>
      <c r="H72" s="4" t="s">
        <v>118</v>
      </c>
      <c r="I72" s="5">
        <v>45187</v>
      </c>
      <c r="J72" s="4" t="s">
        <v>30</v>
      </c>
      <c r="K72" s="5">
        <v>45422</v>
      </c>
      <c r="L72" s="4" t="s">
        <v>66</v>
      </c>
      <c r="M72" s="6">
        <v>17418</v>
      </c>
      <c r="N72" s="6">
        <v>2264</v>
      </c>
      <c r="O72" s="4" t="s">
        <v>32</v>
      </c>
      <c r="P72" s="4" t="s">
        <v>32</v>
      </c>
      <c r="Q72" s="4" t="s">
        <v>33</v>
      </c>
      <c r="R72" s="4" t="s">
        <v>33</v>
      </c>
      <c r="S72" s="4" t="s">
        <v>41</v>
      </c>
      <c r="T72" s="7">
        <v>7.6935000000000002</v>
      </c>
      <c r="U72" s="8">
        <v>235</v>
      </c>
      <c r="V72" s="8">
        <v>2024</v>
      </c>
      <c r="W72" s="4" t="s">
        <v>52</v>
      </c>
    </row>
    <row r="73" spans="1:23" s="9" customFormat="1" ht="15.75" hidden="1" customHeight="1" x14ac:dyDescent="0.25">
      <c r="A73" s="10" t="s">
        <v>277</v>
      </c>
      <c r="B73" s="10" t="s">
        <v>278</v>
      </c>
      <c r="C73" s="10" t="s">
        <v>279</v>
      </c>
      <c r="D73" s="21" t="s">
        <v>6091</v>
      </c>
      <c r="E73" s="10" t="s">
        <v>51</v>
      </c>
      <c r="F73" s="10" t="s">
        <v>56</v>
      </c>
      <c r="G73" s="10" t="s">
        <v>57</v>
      </c>
      <c r="H73" s="10" t="s">
        <v>88</v>
      </c>
      <c r="I73" s="11">
        <v>45249</v>
      </c>
      <c r="J73" s="10" t="s">
        <v>40</v>
      </c>
      <c r="K73" s="11">
        <v>45392</v>
      </c>
      <c r="L73" s="10" t="s">
        <v>59</v>
      </c>
      <c r="M73" s="12">
        <v>19756</v>
      </c>
      <c r="N73" s="12">
        <v>2087</v>
      </c>
      <c r="O73" s="10">
        <v>23</v>
      </c>
      <c r="P73" s="11">
        <v>45415</v>
      </c>
      <c r="Q73" s="10" t="s">
        <v>94</v>
      </c>
      <c r="R73" s="10" t="s">
        <v>33</v>
      </c>
      <c r="S73" s="10" t="s">
        <v>41</v>
      </c>
      <c r="T73" s="13">
        <v>9.4662000000000006</v>
      </c>
      <c r="U73" s="14">
        <v>143</v>
      </c>
      <c r="V73" s="14">
        <v>2024</v>
      </c>
      <c r="W73" s="10" t="s">
        <v>47</v>
      </c>
    </row>
    <row r="74" spans="1:23" s="9" customFormat="1" ht="15.75" hidden="1" customHeight="1" x14ac:dyDescent="0.25">
      <c r="A74" s="4" t="s">
        <v>280</v>
      </c>
      <c r="B74" s="4" t="s">
        <v>281</v>
      </c>
      <c r="C74" s="4" t="s">
        <v>282</v>
      </c>
      <c r="D74" s="21" t="s">
        <v>6089</v>
      </c>
      <c r="E74" s="4" t="s">
        <v>26</v>
      </c>
      <c r="F74" s="4" t="s">
        <v>27</v>
      </c>
      <c r="G74" s="4" t="s">
        <v>57</v>
      </c>
      <c r="H74" s="4" t="s">
        <v>161</v>
      </c>
      <c r="I74" s="5">
        <v>45290</v>
      </c>
      <c r="J74" s="4" t="s">
        <v>30</v>
      </c>
      <c r="K74" s="5">
        <v>45365</v>
      </c>
      <c r="L74" s="4" t="s">
        <v>59</v>
      </c>
      <c r="M74" s="6">
        <v>32786</v>
      </c>
      <c r="N74" s="6">
        <v>2648</v>
      </c>
      <c r="O74" s="4">
        <v>6</v>
      </c>
      <c r="P74" s="5">
        <v>45371</v>
      </c>
      <c r="Q74" s="4" t="s">
        <v>94</v>
      </c>
      <c r="R74" s="4" t="s">
        <v>94</v>
      </c>
      <c r="S74" s="4" t="s">
        <v>34</v>
      </c>
      <c r="T74" s="7">
        <v>12.381399999999999</v>
      </c>
      <c r="U74" s="8">
        <v>75</v>
      </c>
      <c r="V74" s="8">
        <v>2024</v>
      </c>
      <c r="W74" s="4" t="s">
        <v>77</v>
      </c>
    </row>
    <row r="75" spans="1:23" s="9" customFormat="1" ht="15.75" hidden="1" customHeight="1" x14ac:dyDescent="0.25">
      <c r="A75" s="10" t="s">
        <v>283</v>
      </c>
      <c r="B75" s="10" t="s">
        <v>284</v>
      </c>
      <c r="C75" s="10" t="s">
        <v>285</v>
      </c>
      <c r="D75" s="22" t="s">
        <v>6087</v>
      </c>
      <c r="E75" s="10" t="s">
        <v>87</v>
      </c>
      <c r="F75" s="10" t="s">
        <v>71</v>
      </c>
      <c r="G75" s="10" t="s">
        <v>28</v>
      </c>
      <c r="H75" s="10" t="s">
        <v>58</v>
      </c>
      <c r="I75" s="11">
        <v>45452</v>
      </c>
      <c r="J75" s="10" t="s">
        <v>30</v>
      </c>
      <c r="K75" s="11">
        <v>45601</v>
      </c>
      <c r="L75" s="10" t="s">
        <v>59</v>
      </c>
      <c r="M75" s="12">
        <v>5037</v>
      </c>
      <c r="N75" s="12">
        <v>8302</v>
      </c>
      <c r="O75" s="10">
        <v>5</v>
      </c>
      <c r="P75" s="11">
        <v>45606</v>
      </c>
      <c r="Q75" s="10" t="s">
        <v>33</v>
      </c>
      <c r="R75" s="10" t="s">
        <v>33</v>
      </c>
      <c r="S75" s="10" t="s">
        <v>34</v>
      </c>
      <c r="T75" s="13">
        <v>0.60670000000000002</v>
      </c>
      <c r="U75" s="14">
        <v>149</v>
      </c>
      <c r="V75" s="14">
        <v>2024</v>
      </c>
      <c r="W75" s="10" t="s">
        <v>61</v>
      </c>
    </row>
    <row r="76" spans="1:23" s="9" customFormat="1" ht="15.75" hidden="1" customHeight="1" x14ac:dyDescent="0.25">
      <c r="A76" s="4" t="s">
        <v>286</v>
      </c>
      <c r="B76" s="4" t="s">
        <v>287</v>
      </c>
      <c r="C76" s="4" t="s">
        <v>288</v>
      </c>
      <c r="D76" s="21" t="s">
        <v>6089</v>
      </c>
      <c r="E76" s="4" t="s">
        <v>26</v>
      </c>
      <c r="F76" s="4" t="s">
        <v>65</v>
      </c>
      <c r="G76" s="4" t="s">
        <v>5</v>
      </c>
      <c r="H76" s="4" t="s">
        <v>72</v>
      </c>
      <c r="I76" s="5">
        <v>44990</v>
      </c>
      <c r="J76" s="4" t="s">
        <v>30</v>
      </c>
      <c r="K76" s="5">
        <v>45327</v>
      </c>
      <c r="L76" s="4" t="s">
        <v>66</v>
      </c>
      <c r="M76" s="6">
        <v>62821</v>
      </c>
      <c r="N76" s="6">
        <v>8175</v>
      </c>
      <c r="O76" s="4" t="s">
        <v>32</v>
      </c>
      <c r="P76" s="4" t="s">
        <v>32</v>
      </c>
      <c r="Q76" s="4" t="s">
        <v>33</v>
      </c>
      <c r="R76" s="4" t="s">
        <v>33</v>
      </c>
      <c r="S76" s="4" t="s">
        <v>60</v>
      </c>
      <c r="T76" s="7">
        <v>7.6844999999999999</v>
      </c>
      <c r="U76" s="8">
        <v>337</v>
      </c>
      <c r="V76" s="8">
        <v>2024</v>
      </c>
      <c r="W76" s="4" t="s">
        <v>35</v>
      </c>
    </row>
    <row r="77" spans="1:23" s="9" customFormat="1" ht="15.75" hidden="1" customHeight="1" x14ac:dyDescent="0.25">
      <c r="A77" s="10" t="s">
        <v>289</v>
      </c>
      <c r="B77" s="10" t="s">
        <v>290</v>
      </c>
      <c r="C77" s="10" t="s">
        <v>291</v>
      </c>
      <c r="D77" s="22" t="s">
        <v>6087</v>
      </c>
      <c r="E77" s="10" t="s">
        <v>51</v>
      </c>
      <c r="F77" s="10" t="s">
        <v>65</v>
      </c>
      <c r="G77" s="10" t="s">
        <v>57</v>
      </c>
      <c r="H77" s="10" t="s">
        <v>39</v>
      </c>
      <c r="I77" s="11">
        <v>45321</v>
      </c>
      <c r="J77" s="10" t="s">
        <v>40</v>
      </c>
      <c r="K77" s="11">
        <v>45514</v>
      </c>
      <c r="L77" s="10" t="s">
        <v>59</v>
      </c>
      <c r="M77" s="12">
        <v>26310</v>
      </c>
      <c r="N77" s="12">
        <v>4000</v>
      </c>
      <c r="O77" s="10">
        <v>17</v>
      </c>
      <c r="P77" s="11">
        <v>45531</v>
      </c>
      <c r="Q77" s="10" t="s">
        <v>33</v>
      </c>
      <c r="R77" s="10" t="s">
        <v>33</v>
      </c>
      <c r="S77" s="10" t="s">
        <v>60</v>
      </c>
      <c r="T77" s="13">
        <v>6.5774999999999997</v>
      </c>
      <c r="U77" s="14">
        <v>193</v>
      </c>
      <c r="V77" s="14">
        <v>2024</v>
      </c>
      <c r="W77" s="10" t="s">
        <v>114</v>
      </c>
    </row>
    <row r="78" spans="1:23" s="9" customFormat="1" ht="15.75" hidden="1" customHeight="1" x14ac:dyDescent="0.25">
      <c r="A78" s="4" t="s">
        <v>292</v>
      </c>
      <c r="B78" s="4" t="s">
        <v>293</v>
      </c>
      <c r="C78" s="4" t="s">
        <v>294</v>
      </c>
      <c r="D78" s="21" t="s">
        <v>6088</v>
      </c>
      <c r="E78" s="4" t="s">
        <v>87</v>
      </c>
      <c r="F78" s="4" t="s">
        <v>65</v>
      </c>
      <c r="G78" s="4" t="s">
        <v>28</v>
      </c>
      <c r="H78" s="4" t="s">
        <v>39</v>
      </c>
      <c r="I78" s="5">
        <v>45181</v>
      </c>
      <c r="J78" s="4" t="s">
        <v>30</v>
      </c>
      <c r="K78" s="5">
        <v>45473</v>
      </c>
      <c r="L78" s="4" t="s">
        <v>59</v>
      </c>
      <c r="M78" s="6">
        <v>46366</v>
      </c>
      <c r="N78" s="6">
        <v>613</v>
      </c>
      <c r="O78" s="4">
        <v>9</v>
      </c>
      <c r="P78" s="5">
        <v>45482</v>
      </c>
      <c r="Q78" s="4" t="s">
        <v>33</v>
      </c>
      <c r="R78" s="4" t="s">
        <v>33</v>
      </c>
      <c r="S78" s="4" t="s">
        <v>34</v>
      </c>
      <c r="T78" s="7">
        <v>75.637799999999999</v>
      </c>
      <c r="U78" s="8">
        <v>292</v>
      </c>
      <c r="V78" s="8">
        <v>2024</v>
      </c>
      <c r="W78" s="4" t="s">
        <v>67</v>
      </c>
    </row>
    <row r="79" spans="1:23" s="9" customFormat="1" ht="15.75" hidden="1" customHeight="1" x14ac:dyDescent="0.25">
      <c r="A79" s="10" t="s">
        <v>295</v>
      </c>
      <c r="B79" s="10" t="s">
        <v>296</v>
      </c>
      <c r="C79" s="10" t="s">
        <v>297</v>
      </c>
      <c r="D79" s="22" t="s">
        <v>6087</v>
      </c>
      <c r="E79" s="10" t="s">
        <v>87</v>
      </c>
      <c r="F79" s="10" t="s">
        <v>71</v>
      </c>
      <c r="G79" s="10" t="s">
        <v>57</v>
      </c>
      <c r="H79" s="10" t="s">
        <v>39</v>
      </c>
      <c r="I79" s="11">
        <v>45208</v>
      </c>
      <c r="J79" s="10" t="s">
        <v>30</v>
      </c>
      <c r="K79" s="11">
        <v>45341</v>
      </c>
      <c r="L79" s="10" t="s">
        <v>59</v>
      </c>
      <c r="M79" s="12">
        <v>36362</v>
      </c>
      <c r="N79" s="12">
        <v>1902</v>
      </c>
      <c r="O79" s="10">
        <v>11</v>
      </c>
      <c r="P79" s="11">
        <v>45352</v>
      </c>
      <c r="Q79" s="10" t="s">
        <v>33</v>
      </c>
      <c r="R79" s="10" t="s">
        <v>33</v>
      </c>
      <c r="S79" s="10" t="s">
        <v>41</v>
      </c>
      <c r="T79" s="13">
        <v>19.117799999999999</v>
      </c>
      <c r="U79" s="14">
        <v>133</v>
      </c>
      <c r="V79" s="14">
        <v>2024</v>
      </c>
      <c r="W79" s="10" t="s">
        <v>35</v>
      </c>
    </row>
    <row r="80" spans="1:23" s="9" customFormat="1" ht="15.75" hidden="1" customHeight="1" x14ac:dyDescent="0.25">
      <c r="A80" s="4" t="s">
        <v>298</v>
      </c>
      <c r="B80" s="4" t="s">
        <v>299</v>
      </c>
      <c r="C80" s="4" t="s">
        <v>300</v>
      </c>
      <c r="D80" s="22" t="s">
        <v>6090</v>
      </c>
      <c r="E80" s="4" t="s">
        <v>51</v>
      </c>
      <c r="F80" s="21" t="s">
        <v>6092</v>
      </c>
      <c r="G80" s="4" t="s">
        <v>28</v>
      </c>
      <c r="H80" s="4" t="s">
        <v>29</v>
      </c>
      <c r="I80" s="5">
        <v>45186</v>
      </c>
      <c r="J80" s="4" t="s">
        <v>30</v>
      </c>
      <c r="K80" s="5">
        <v>45354</v>
      </c>
      <c r="L80" s="4" t="s">
        <v>31</v>
      </c>
      <c r="M80" s="6">
        <v>27328</v>
      </c>
      <c r="N80" s="6">
        <v>1183</v>
      </c>
      <c r="O80" s="4" t="s">
        <v>32</v>
      </c>
      <c r="P80" s="4" t="s">
        <v>32</v>
      </c>
      <c r="Q80" s="4" t="s">
        <v>33</v>
      </c>
      <c r="R80" s="4" t="s">
        <v>33</v>
      </c>
      <c r="S80" s="4" t="s">
        <v>41</v>
      </c>
      <c r="T80" s="7">
        <v>23.1006</v>
      </c>
      <c r="U80" s="8">
        <v>168</v>
      </c>
      <c r="V80" s="8">
        <v>2024</v>
      </c>
      <c r="W80" s="4" t="s">
        <v>77</v>
      </c>
    </row>
    <row r="81" spans="1:23" s="9" customFormat="1" ht="15.75" hidden="1" customHeight="1" x14ac:dyDescent="0.25">
      <c r="A81" s="10" t="s">
        <v>301</v>
      </c>
      <c r="B81" s="10" t="s">
        <v>302</v>
      </c>
      <c r="C81" s="10" t="s">
        <v>303</v>
      </c>
      <c r="D81" s="22" t="s">
        <v>6090</v>
      </c>
      <c r="E81" s="10" t="s">
        <v>51</v>
      </c>
      <c r="F81" s="10" t="s">
        <v>65</v>
      </c>
      <c r="G81" s="10" t="s">
        <v>28</v>
      </c>
      <c r="H81" s="10" t="s">
        <v>88</v>
      </c>
      <c r="I81" s="11">
        <v>45489</v>
      </c>
      <c r="J81" s="10" t="s">
        <v>30</v>
      </c>
      <c r="K81" s="11">
        <v>45633</v>
      </c>
      <c r="L81" s="10" t="s">
        <v>59</v>
      </c>
      <c r="M81" s="12">
        <v>38865</v>
      </c>
      <c r="N81" s="12">
        <v>3222</v>
      </c>
      <c r="O81" s="10">
        <v>29</v>
      </c>
      <c r="P81" s="11">
        <v>45662</v>
      </c>
      <c r="Q81" s="10" t="s">
        <v>33</v>
      </c>
      <c r="R81" s="10" t="s">
        <v>33</v>
      </c>
      <c r="S81" s="10" t="s">
        <v>60</v>
      </c>
      <c r="T81" s="13">
        <v>12.0624</v>
      </c>
      <c r="U81" s="14">
        <v>144</v>
      </c>
      <c r="V81" s="14">
        <v>2024</v>
      </c>
      <c r="W81" s="10" t="s">
        <v>89</v>
      </c>
    </row>
    <row r="82" spans="1:23" s="9" customFormat="1" ht="15.75" hidden="1" customHeight="1" x14ac:dyDescent="0.25">
      <c r="A82" s="4" t="s">
        <v>304</v>
      </c>
      <c r="B82" s="4" t="s">
        <v>305</v>
      </c>
      <c r="C82" s="4" t="s">
        <v>306</v>
      </c>
      <c r="D82" s="22" t="s">
        <v>6087</v>
      </c>
      <c r="E82" s="4" t="s">
        <v>87</v>
      </c>
      <c r="F82" s="4" t="s">
        <v>71</v>
      </c>
      <c r="G82" s="4" t="s">
        <v>28</v>
      </c>
      <c r="H82" s="4" t="s">
        <v>39</v>
      </c>
      <c r="I82" s="5">
        <v>45424</v>
      </c>
      <c r="J82" s="4" t="s">
        <v>40</v>
      </c>
      <c r="K82" s="5">
        <v>45517</v>
      </c>
      <c r="L82" s="4" t="s">
        <v>59</v>
      </c>
      <c r="M82" s="6">
        <v>15062</v>
      </c>
      <c r="N82" s="6">
        <v>622</v>
      </c>
      <c r="O82" s="4">
        <v>35</v>
      </c>
      <c r="P82" s="5">
        <v>45552</v>
      </c>
      <c r="Q82" s="4" t="s">
        <v>94</v>
      </c>
      <c r="R82" s="4" t="s">
        <v>94</v>
      </c>
      <c r="S82" s="4" t="s">
        <v>41</v>
      </c>
      <c r="T82" s="7">
        <v>24.215399999999999</v>
      </c>
      <c r="U82" s="8">
        <v>93</v>
      </c>
      <c r="V82" s="8">
        <v>2024</v>
      </c>
      <c r="W82" s="4" t="s">
        <v>114</v>
      </c>
    </row>
    <row r="83" spans="1:23" s="9" customFormat="1" ht="15.75" hidden="1" customHeight="1" x14ac:dyDescent="0.25">
      <c r="A83" s="10" t="s">
        <v>307</v>
      </c>
      <c r="B83" s="10" t="s">
        <v>308</v>
      </c>
      <c r="C83" s="10" t="s">
        <v>309</v>
      </c>
      <c r="D83" s="22" t="s">
        <v>6090</v>
      </c>
      <c r="E83" s="10" t="s">
        <v>51</v>
      </c>
      <c r="F83" s="10" t="s">
        <v>65</v>
      </c>
      <c r="G83" s="10" t="s">
        <v>57</v>
      </c>
      <c r="H83" s="10" t="s">
        <v>118</v>
      </c>
      <c r="I83" s="11">
        <v>45236</v>
      </c>
      <c r="J83" s="10" t="s">
        <v>30</v>
      </c>
      <c r="K83" s="11">
        <v>45299</v>
      </c>
      <c r="L83" s="10" t="s">
        <v>66</v>
      </c>
      <c r="M83" s="12">
        <v>15056</v>
      </c>
      <c r="N83" s="12">
        <v>7948</v>
      </c>
      <c r="O83" s="10" t="s">
        <v>32</v>
      </c>
      <c r="P83" s="10" t="s">
        <v>32</v>
      </c>
      <c r="Q83" s="10" t="s">
        <v>33</v>
      </c>
      <c r="R83" s="10" t="s">
        <v>33</v>
      </c>
      <c r="S83" s="10" t="s">
        <v>41</v>
      </c>
      <c r="T83" s="13">
        <v>1.8943000000000001</v>
      </c>
      <c r="U83" s="14">
        <v>63</v>
      </c>
      <c r="V83" s="14">
        <v>2024</v>
      </c>
      <c r="W83" s="10" t="s">
        <v>73</v>
      </c>
    </row>
    <row r="84" spans="1:23" s="9" customFormat="1" ht="27.75" customHeight="1" x14ac:dyDescent="0.25">
      <c r="A84" s="4" t="s">
        <v>310</v>
      </c>
      <c r="B84" s="4" t="s">
        <v>311</v>
      </c>
      <c r="C84" s="4" t="s">
        <v>312</v>
      </c>
      <c r="D84" s="21" t="s">
        <v>6086</v>
      </c>
      <c r="E84" s="4" t="s">
        <v>51</v>
      </c>
      <c r="F84" s="10" t="s">
        <v>6092</v>
      </c>
      <c r="G84" s="4" t="s">
        <v>28</v>
      </c>
      <c r="H84" s="4" t="s">
        <v>39</v>
      </c>
      <c r="I84" s="5">
        <v>45546</v>
      </c>
      <c r="J84" s="4" t="s">
        <v>40</v>
      </c>
      <c r="K84" s="5">
        <v>45587</v>
      </c>
      <c r="L84" s="4" t="s">
        <v>59</v>
      </c>
      <c r="M84" s="6">
        <v>60154</v>
      </c>
      <c r="N84" s="6">
        <v>4278</v>
      </c>
      <c r="O84" s="4">
        <v>13</v>
      </c>
      <c r="P84" s="5">
        <v>45600</v>
      </c>
      <c r="Q84" s="4" t="s">
        <v>94</v>
      </c>
      <c r="R84" s="4" t="s">
        <v>94</v>
      </c>
      <c r="S84" s="4" t="s">
        <v>41</v>
      </c>
      <c r="T84" s="7">
        <v>14.061199999999999</v>
      </c>
      <c r="U84" s="8">
        <v>41</v>
      </c>
      <c r="V84" s="8">
        <v>2024</v>
      </c>
      <c r="W84" s="4" t="s">
        <v>95</v>
      </c>
    </row>
    <row r="85" spans="1:23" s="9" customFormat="1" ht="15.75" hidden="1" customHeight="1" x14ac:dyDescent="0.25">
      <c r="A85" s="10" t="s">
        <v>313</v>
      </c>
      <c r="B85" s="10" t="s">
        <v>314</v>
      </c>
      <c r="C85" s="10" t="s">
        <v>315</v>
      </c>
      <c r="D85" s="22" t="s">
        <v>6090</v>
      </c>
      <c r="E85" s="10" t="s">
        <v>26</v>
      </c>
      <c r="F85" s="21" t="s">
        <v>6092</v>
      </c>
      <c r="G85" s="10" t="s">
        <v>5</v>
      </c>
      <c r="H85" s="10" t="s">
        <v>58</v>
      </c>
      <c r="I85" s="11">
        <v>45580</v>
      </c>
      <c r="J85" s="10" t="s">
        <v>40</v>
      </c>
      <c r="K85" s="11">
        <v>45622</v>
      </c>
      <c r="L85" s="10" t="s">
        <v>59</v>
      </c>
      <c r="M85" s="12">
        <v>47427</v>
      </c>
      <c r="N85" s="12">
        <v>5772</v>
      </c>
      <c r="O85" s="10">
        <v>32</v>
      </c>
      <c r="P85" s="11">
        <v>45654</v>
      </c>
      <c r="Q85" s="10" t="s">
        <v>33</v>
      </c>
      <c r="R85" s="10" t="s">
        <v>33</v>
      </c>
      <c r="S85" s="10" t="s">
        <v>60</v>
      </c>
      <c r="T85" s="13">
        <v>8.2166999999999994</v>
      </c>
      <c r="U85" s="14">
        <v>42</v>
      </c>
      <c r="V85" s="14">
        <v>2024</v>
      </c>
      <c r="W85" s="10" t="s">
        <v>61</v>
      </c>
    </row>
    <row r="86" spans="1:23" s="9" customFormat="1" ht="27.75" customHeight="1" x14ac:dyDescent="0.25">
      <c r="A86" s="4" t="s">
        <v>316</v>
      </c>
      <c r="B86" s="4" t="s">
        <v>317</v>
      </c>
      <c r="C86" s="4" t="s">
        <v>318</v>
      </c>
      <c r="D86" s="21" t="s">
        <v>6091</v>
      </c>
      <c r="E86" s="4" t="s">
        <v>51</v>
      </c>
      <c r="F86" s="10" t="s">
        <v>6092</v>
      </c>
      <c r="G86" s="4" t="s">
        <v>5</v>
      </c>
      <c r="H86" s="4" t="s">
        <v>58</v>
      </c>
      <c r="I86" s="5">
        <v>45311</v>
      </c>
      <c r="J86" s="4" t="s">
        <v>30</v>
      </c>
      <c r="K86" s="5">
        <v>45576</v>
      </c>
      <c r="L86" s="4" t="s">
        <v>59</v>
      </c>
      <c r="M86" s="6">
        <v>19614</v>
      </c>
      <c r="N86" s="6">
        <v>5139</v>
      </c>
      <c r="O86" s="4">
        <v>44</v>
      </c>
      <c r="P86" s="5">
        <v>45620</v>
      </c>
      <c r="Q86" s="4" t="s">
        <v>94</v>
      </c>
      <c r="R86" s="4" t="s">
        <v>94</v>
      </c>
      <c r="S86" s="4" t="s">
        <v>34</v>
      </c>
      <c r="T86" s="7">
        <v>3.8167</v>
      </c>
      <c r="U86" s="8">
        <v>265</v>
      </c>
      <c r="V86" s="8">
        <v>2024</v>
      </c>
      <c r="W86" s="4" t="s">
        <v>95</v>
      </c>
    </row>
    <row r="87" spans="1:23" s="9" customFormat="1" ht="15.75" hidden="1" customHeight="1" x14ac:dyDescent="0.25">
      <c r="A87" s="10" t="s">
        <v>319</v>
      </c>
      <c r="B87" s="10" t="s">
        <v>320</v>
      </c>
      <c r="C87" s="10" t="s">
        <v>321</v>
      </c>
      <c r="D87" s="21" t="s">
        <v>6088</v>
      </c>
      <c r="E87" s="10" t="s">
        <v>26</v>
      </c>
      <c r="F87" s="10" t="s">
        <v>56</v>
      </c>
      <c r="G87" s="10" t="s">
        <v>57</v>
      </c>
      <c r="H87" s="10" t="s">
        <v>39</v>
      </c>
      <c r="I87" s="11">
        <v>45178</v>
      </c>
      <c r="J87" s="10" t="s">
        <v>30</v>
      </c>
      <c r="K87" s="11">
        <v>45494</v>
      </c>
      <c r="L87" s="10" t="s">
        <v>66</v>
      </c>
      <c r="M87" s="12">
        <v>56540</v>
      </c>
      <c r="N87" s="12">
        <v>4821</v>
      </c>
      <c r="O87" s="10" t="s">
        <v>32</v>
      </c>
      <c r="P87" s="10" t="s">
        <v>32</v>
      </c>
      <c r="Q87" s="10" t="s">
        <v>33</v>
      </c>
      <c r="R87" s="10" t="s">
        <v>33</v>
      </c>
      <c r="S87" s="10" t="s">
        <v>41</v>
      </c>
      <c r="T87" s="13">
        <v>11.7279</v>
      </c>
      <c r="U87" s="14">
        <v>316</v>
      </c>
      <c r="V87" s="14">
        <v>2024</v>
      </c>
      <c r="W87" s="10" t="s">
        <v>42</v>
      </c>
    </row>
    <row r="88" spans="1:23" s="9" customFormat="1" ht="15.75" hidden="1" customHeight="1" x14ac:dyDescent="0.25">
      <c r="A88" s="4" t="s">
        <v>322</v>
      </c>
      <c r="B88" s="4" t="s">
        <v>323</v>
      </c>
      <c r="C88" s="4" t="s">
        <v>324</v>
      </c>
      <c r="D88" s="21" t="s">
        <v>6086</v>
      </c>
      <c r="E88" s="4" t="s">
        <v>87</v>
      </c>
      <c r="F88" s="4" t="s">
        <v>46</v>
      </c>
      <c r="G88" s="4" t="s">
        <v>28</v>
      </c>
      <c r="H88" s="4" t="s">
        <v>93</v>
      </c>
      <c r="I88" s="5">
        <v>45230</v>
      </c>
      <c r="J88" s="4" t="s">
        <v>40</v>
      </c>
      <c r="K88" s="5">
        <v>45479</v>
      </c>
      <c r="L88" s="4" t="s">
        <v>59</v>
      </c>
      <c r="M88" s="6">
        <v>83272</v>
      </c>
      <c r="N88" s="6">
        <v>7452</v>
      </c>
      <c r="O88" s="4">
        <v>38</v>
      </c>
      <c r="P88" s="5">
        <v>45517</v>
      </c>
      <c r="Q88" s="4" t="s">
        <v>33</v>
      </c>
      <c r="R88" s="4" t="s">
        <v>33</v>
      </c>
      <c r="S88" s="4" t="s">
        <v>60</v>
      </c>
      <c r="T88" s="7">
        <v>11.1744</v>
      </c>
      <c r="U88" s="8">
        <v>249</v>
      </c>
      <c r="V88" s="8">
        <v>2024</v>
      </c>
      <c r="W88" s="4" t="s">
        <v>42</v>
      </c>
    </row>
    <row r="89" spans="1:23" s="9" customFormat="1" ht="15.75" hidden="1" customHeight="1" x14ac:dyDescent="0.25">
      <c r="A89" s="10" t="s">
        <v>325</v>
      </c>
      <c r="B89" s="10" t="s">
        <v>326</v>
      </c>
      <c r="C89" s="10" t="s">
        <v>327</v>
      </c>
      <c r="D89" s="22" t="s">
        <v>6090</v>
      </c>
      <c r="E89" s="10" t="s">
        <v>87</v>
      </c>
      <c r="F89" s="10" t="s">
        <v>71</v>
      </c>
      <c r="G89" s="10" t="s">
        <v>57</v>
      </c>
      <c r="H89" s="10" t="s">
        <v>161</v>
      </c>
      <c r="I89" s="11">
        <v>45265</v>
      </c>
      <c r="J89" s="10" t="s">
        <v>40</v>
      </c>
      <c r="K89" s="11">
        <v>45420</v>
      </c>
      <c r="L89" s="10" t="s">
        <v>59</v>
      </c>
      <c r="M89" s="12">
        <v>53805</v>
      </c>
      <c r="N89" s="12">
        <v>5700</v>
      </c>
      <c r="O89" s="10">
        <v>19</v>
      </c>
      <c r="P89" s="11">
        <v>45439</v>
      </c>
      <c r="Q89" s="10" t="s">
        <v>33</v>
      </c>
      <c r="R89" s="10" t="s">
        <v>33</v>
      </c>
      <c r="S89" s="10" t="s">
        <v>34</v>
      </c>
      <c r="T89" s="13">
        <v>9.4395000000000007</v>
      </c>
      <c r="U89" s="14">
        <v>155</v>
      </c>
      <c r="V89" s="14">
        <v>2024</v>
      </c>
      <c r="W89" s="10" t="s">
        <v>52</v>
      </c>
    </row>
    <row r="90" spans="1:23" s="9" customFormat="1" ht="15.75" hidden="1" customHeight="1" x14ac:dyDescent="0.25">
      <c r="A90" s="4" t="s">
        <v>328</v>
      </c>
      <c r="B90" s="4" t="s">
        <v>329</v>
      </c>
      <c r="C90" s="4" t="s">
        <v>330</v>
      </c>
      <c r="D90" s="21" t="s">
        <v>6089</v>
      </c>
      <c r="E90" s="4" t="s">
        <v>51</v>
      </c>
      <c r="F90" s="4" t="s">
        <v>71</v>
      </c>
      <c r="G90" s="4" t="s">
        <v>57</v>
      </c>
      <c r="H90" s="4" t="s">
        <v>93</v>
      </c>
      <c r="I90" s="5">
        <v>45293</v>
      </c>
      <c r="J90" s="4" t="s">
        <v>30</v>
      </c>
      <c r="K90" s="5">
        <v>45521</v>
      </c>
      <c r="L90" s="4" t="s">
        <v>59</v>
      </c>
      <c r="M90" s="6">
        <v>62396</v>
      </c>
      <c r="N90" s="6">
        <v>5338</v>
      </c>
      <c r="O90" s="4">
        <v>32</v>
      </c>
      <c r="P90" s="5">
        <v>45553</v>
      </c>
      <c r="Q90" s="4" t="s">
        <v>33</v>
      </c>
      <c r="R90" s="4" t="s">
        <v>33</v>
      </c>
      <c r="S90" s="4" t="s">
        <v>60</v>
      </c>
      <c r="T90" s="7">
        <v>11.689</v>
      </c>
      <c r="U90" s="8">
        <v>228</v>
      </c>
      <c r="V90" s="8">
        <v>2024</v>
      </c>
      <c r="W90" s="4" t="s">
        <v>114</v>
      </c>
    </row>
    <row r="91" spans="1:23" s="9" customFormat="1" ht="15.75" hidden="1" customHeight="1" x14ac:dyDescent="0.25">
      <c r="A91" s="10" t="s">
        <v>331</v>
      </c>
      <c r="B91" s="10" t="s">
        <v>332</v>
      </c>
      <c r="C91" s="10" t="s">
        <v>333</v>
      </c>
      <c r="D91" s="21" t="s">
        <v>6088</v>
      </c>
      <c r="E91" s="10" t="s">
        <v>26</v>
      </c>
      <c r="F91" s="10" t="s">
        <v>46</v>
      </c>
      <c r="G91" s="10" t="s">
        <v>5</v>
      </c>
      <c r="H91" s="10" t="s">
        <v>29</v>
      </c>
      <c r="I91" s="11">
        <v>45184</v>
      </c>
      <c r="J91" s="10" t="s">
        <v>30</v>
      </c>
      <c r="K91" s="11">
        <v>45518</v>
      </c>
      <c r="L91" s="10" t="s">
        <v>59</v>
      </c>
      <c r="M91" s="12">
        <v>23720</v>
      </c>
      <c r="N91" s="12">
        <v>2070</v>
      </c>
      <c r="O91" s="10">
        <v>36</v>
      </c>
      <c r="P91" s="11">
        <v>45554</v>
      </c>
      <c r="Q91" s="10" t="s">
        <v>94</v>
      </c>
      <c r="R91" s="10" t="s">
        <v>33</v>
      </c>
      <c r="S91" s="10" t="s">
        <v>34</v>
      </c>
      <c r="T91" s="13">
        <v>11.4589</v>
      </c>
      <c r="U91" s="14">
        <v>334</v>
      </c>
      <c r="V91" s="14">
        <v>2024</v>
      </c>
      <c r="W91" s="10" t="s">
        <v>114</v>
      </c>
    </row>
    <row r="92" spans="1:23" s="9" customFormat="1" ht="15.75" hidden="1" customHeight="1" x14ac:dyDescent="0.25">
      <c r="A92" s="4" t="s">
        <v>334</v>
      </c>
      <c r="B92" s="4" t="s">
        <v>335</v>
      </c>
      <c r="C92" s="4" t="s">
        <v>336</v>
      </c>
      <c r="D92" s="22" t="s">
        <v>6087</v>
      </c>
      <c r="E92" s="4" t="s">
        <v>51</v>
      </c>
      <c r="F92" s="4" t="s">
        <v>56</v>
      </c>
      <c r="G92" s="4" t="s">
        <v>28</v>
      </c>
      <c r="H92" s="4" t="s">
        <v>29</v>
      </c>
      <c r="I92" s="5">
        <v>45391</v>
      </c>
      <c r="J92" s="4" t="s">
        <v>40</v>
      </c>
      <c r="K92" s="5">
        <v>45651</v>
      </c>
      <c r="L92" s="4" t="s">
        <v>59</v>
      </c>
      <c r="M92" s="6">
        <v>17072</v>
      </c>
      <c r="N92" s="6">
        <v>2027</v>
      </c>
      <c r="O92" s="4">
        <v>6</v>
      </c>
      <c r="P92" s="5">
        <v>45657</v>
      </c>
      <c r="Q92" s="4" t="s">
        <v>33</v>
      </c>
      <c r="R92" s="4" t="s">
        <v>33</v>
      </c>
      <c r="S92" s="4" t="s">
        <v>60</v>
      </c>
      <c r="T92" s="7">
        <v>8.4222999999999999</v>
      </c>
      <c r="U92" s="8">
        <v>260</v>
      </c>
      <c r="V92" s="8">
        <v>2024</v>
      </c>
      <c r="W92" s="4" t="s">
        <v>89</v>
      </c>
    </row>
    <row r="93" spans="1:23" s="9" customFormat="1" ht="15.75" hidden="1" customHeight="1" x14ac:dyDescent="0.25">
      <c r="A93" s="10" t="s">
        <v>337</v>
      </c>
      <c r="B93" s="10" t="s">
        <v>338</v>
      </c>
      <c r="C93" s="10" t="s">
        <v>339</v>
      </c>
      <c r="D93" s="22" t="s">
        <v>6090</v>
      </c>
      <c r="E93" s="10" t="s">
        <v>87</v>
      </c>
      <c r="F93" s="10" t="s">
        <v>56</v>
      </c>
      <c r="G93" s="10" t="s">
        <v>5</v>
      </c>
      <c r="H93" s="10" t="s">
        <v>161</v>
      </c>
      <c r="I93" s="11">
        <v>45196</v>
      </c>
      <c r="J93" s="10" t="s">
        <v>40</v>
      </c>
      <c r="K93" s="11">
        <v>45325</v>
      </c>
      <c r="L93" s="10" t="s">
        <v>59</v>
      </c>
      <c r="M93" s="12">
        <v>29113</v>
      </c>
      <c r="N93" s="12">
        <v>4537</v>
      </c>
      <c r="O93" s="10">
        <v>2</v>
      </c>
      <c r="P93" s="11">
        <v>45327</v>
      </c>
      <c r="Q93" s="10" t="s">
        <v>33</v>
      </c>
      <c r="R93" s="10" t="s">
        <v>33</v>
      </c>
      <c r="S93" s="10" t="s">
        <v>60</v>
      </c>
      <c r="T93" s="13">
        <v>6.4168000000000003</v>
      </c>
      <c r="U93" s="14">
        <v>129</v>
      </c>
      <c r="V93" s="14">
        <v>2024</v>
      </c>
      <c r="W93" s="10" t="s">
        <v>35</v>
      </c>
    </row>
    <row r="94" spans="1:23" s="9" customFormat="1" ht="15.75" hidden="1" customHeight="1" x14ac:dyDescent="0.25">
      <c r="A94" s="4" t="s">
        <v>340</v>
      </c>
      <c r="B94" s="4" t="s">
        <v>341</v>
      </c>
      <c r="C94" s="4" t="s">
        <v>342</v>
      </c>
      <c r="D94" s="21" t="s">
        <v>6089</v>
      </c>
      <c r="E94" s="4" t="s">
        <v>26</v>
      </c>
      <c r="F94" s="21" t="s">
        <v>6092</v>
      </c>
      <c r="G94" s="4" t="s">
        <v>5</v>
      </c>
      <c r="H94" s="4" t="s">
        <v>118</v>
      </c>
      <c r="I94" s="5">
        <v>45324</v>
      </c>
      <c r="J94" s="4" t="s">
        <v>30</v>
      </c>
      <c r="K94" s="5">
        <v>45637</v>
      </c>
      <c r="L94" s="4" t="s">
        <v>31</v>
      </c>
      <c r="M94" s="6">
        <v>68089</v>
      </c>
      <c r="N94" s="6">
        <v>5593</v>
      </c>
      <c r="O94" s="4" t="s">
        <v>32</v>
      </c>
      <c r="P94" s="4" t="s">
        <v>32</v>
      </c>
      <c r="Q94" s="4" t="s">
        <v>33</v>
      </c>
      <c r="R94" s="4" t="s">
        <v>33</v>
      </c>
      <c r="S94" s="4" t="s">
        <v>41</v>
      </c>
      <c r="T94" s="7">
        <v>12.173999999999999</v>
      </c>
      <c r="U94" s="8">
        <v>313</v>
      </c>
      <c r="V94" s="8">
        <v>2024</v>
      </c>
      <c r="W94" s="4" t="s">
        <v>89</v>
      </c>
    </row>
    <row r="95" spans="1:23" s="9" customFormat="1" ht="15.75" hidden="1" customHeight="1" x14ac:dyDescent="0.25">
      <c r="A95" s="10" t="s">
        <v>343</v>
      </c>
      <c r="B95" s="10" t="s">
        <v>344</v>
      </c>
      <c r="C95" s="10" t="s">
        <v>345</v>
      </c>
      <c r="D95" s="22" t="s">
        <v>6087</v>
      </c>
      <c r="E95" s="10" t="s">
        <v>51</v>
      </c>
      <c r="F95" s="10" t="s">
        <v>71</v>
      </c>
      <c r="G95" s="10" t="s">
        <v>5</v>
      </c>
      <c r="H95" s="10" t="s">
        <v>93</v>
      </c>
      <c r="I95" s="11">
        <v>45280</v>
      </c>
      <c r="J95" s="10" t="s">
        <v>40</v>
      </c>
      <c r="K95" s="11">
        <v>45502</v>
      </c>
      <c r="L95" s="10" t="s">
        <v>31</v>
      </c>
      <c r="M95" s="12">
        <v>35128</v>
      </c>
      <c r="N95" s="12">
        <v>8496</v>
      </c>
      <c r="O95" s="10" t="s">
        <v>32</v>
      </c>
      <c r="P95" s="10" t="s">
        <v>32</v>
      </c>
      <c r="Q95" s="10" t="s">
        <v>33</v>
      </c>
      <c r="R95" s="10" t="s">
        <v>33</v>
      </c>
      <c r="S95" s="10" t="s">
        <v>41</v>
      </c>
      <c r="T95" s="13">
        <v>4.1346999999999996</v>
      </c>
      <c r="U95" s="14">
        <v>222</v>
      </c>
      <c r="V95" s="14">
        <v>2024</v>
      </c>
      <c r="W95" s="10" t="s">
        <v>42</v>
      </c>
    </row>
    <row r="96" spans="1:23" s="9" customFormat="1" ht="15.75" hidden="1" customHeight="1" x14ac:dyDescent="0.25">
      <c r="A96" s="4" t="s">
        <v>346</v>
      </c>
      <c r="B96" s="4" t="s">
        <v>347</v>
      </c>
      <c r="C96" s="4" t="s">
        <v>348</v>
      </c>
      <c r="D96" s="22" t="s">
        <v>6087</v>
      </c>
      <c r="E96" s="4" t="s">
        <v>26</v>
      </c>
      <c r="F96" s="4" t="s">
        <v>65</v>
      </c>
      <c r="G96" s="4" t="s">
        <v>57</v>
      </c>
      <c r="H96" s="4" t="s">
        <v>39</v>
      </c>
      <c r="I96" s="5">
        <v>45179</v>
      </c>
      <c r="J96" s="4" t="s">
        <v>40</v>
      </c>
      <c r="K96" s="5">
        <v>45397</v>
      </c>
      <c r="L96" s="4" t="s">
        <v>59</v>
      </c>
      <c r="M96" s="6">
        <v>5043</v>
      </c>
      <c r="N96" s="6">
        <v>4988</v>
      </c>
      <c r="O96" s="4">
        <v>18</v>
      </c>
      <c r="P96" s="5">
        <v>45415</v>
      </c>
      <c r="Q96" s="4" t="s">
        <v>33</v>
      </c>
      <c r="R96" s="4" t="s">
        <v>33</v>
      </c>
      <c r="S96" s="4" t="s">
        <v>41</v>
      </c>
      <c r="T96" s="7">
        <v>1.0109999999999999</v>
      </c>
      <c r="U96" s="8">
        <v>218</v>
      </c>
      <c r="V96" s="8">
        <v>2024</v>
      </c>
      <c r="W96" s="4" t="s">
        <v>47</v>
      </c>
    </row>
    <row r="97" spans="1:23" s="9" customFormat="1" ht="15.75" hidden="1" customHeight="1" x14ac:dyDescent="0.25">
      <c r="A97" s="10" t="s">
        <v>349</v>
      </c>
      <c r="B97" s="10" t="s">
        <v>350</v>
      </c>
      <c r="C97" s="10" t="s">
        <v>351</v>
      </c>
      <c r="D97" s="22" t="s">
        <v>6090</v>
      </c>
      <c r="E97" s="10" t="s">
        <v>87</v>
      </c>
      <c r="F97" s="10" t="s">
        <v>46</v>
      </c>
      <c r="G97" s="10" t="s">
        <v>57</v>
      </c>
      <c r="H97" s="10" t="s">
        <v>29</v>
      </c>
      <c r="I97" s="11">
        <v>45530</v>
      </c>
      <c r="J97" s="10" t="s">
        <v>40</v>
      </c>
      <c r="K97" s="11">
        <v>45631</v>
      </c>
      <c r="L97" s="10" t="s">
        <v>59</v>
      </c>
      <c r="M97" s="12">
        <v>59930</v>
      </c>
      <c r="N97" s="12">
        <v>3030</v>
      </c>
      <c r="O97" s="10">
        <v>36</v>
      </c>
      <c r="P97" s="11">
        <v>45667</v>
      </c>
      <c r="Q97" s="10" t="s">
        <v>94</v>
      </c>
      <c r="R97" s="10" t="s">
        <v>94</v>
      </c>
      <c r="S97" s="10" t="s">
        <v>60</v>
      </c>
      <c r="T97" s="13">
        <v>19.7789</v>
      </c>
      <c r="U97" s="14">
        <v>101</v>
      </c>
      <c r="V97" s="14">
        <v>2024</v>
      </c>
      <c r="W97" s="10" t="s">
        <v>89</v>
      </c>
    </row>
    <row r="98" spans="1:23" s="9" customFormat="1" ht="27.75" customHeight="1" x14ac:dyDescent="0.25">
      <c r="A98" s="4" t="s">
        <v>352</v>
      </c>
      <c r="B98" s="4" t="s">
        <v>353</v>
      </c>
      <c r="C98" s="4" t="s">
        <v>354</v>
      </c>
      <c r="D98" s="22" t="s">
        <v>6087</v>
      </c>
      <c r="E98" s="4" t="s">
        <v>51</v>
      </c>
      <c r="F98" s="10" t="s">
        <v>6092</v>
      </c>
      <c r="G98" s="4" t="s">
        <v>28</v>
      </c>
      <c r="H98" s="4" t="s">
        <v>118</v>
      </c>
      <c r="I98" s="5">
        <v>45292</v>
      </c>
      <c r="J98" s="4" t="s">
        <v>40</v>
      </c>
      <c r="K98" s="5">
        <v>45640</v>
      </c>
      <c r="L98" s="4" t="s">
        <v>31</v>
      </c>
      <c r="M98" s="6">
        <v>14152</v>
      </c>
      <c r="N98" s="6">
        <v>4984</v>
      </c>
      <c r="O98" s="4" t="s">
        <v>32</v>
      </c>
      <c r="P98" s="4" t="s">
        <v>32</v>
      </c>
      <c r="Q98" s="4" t="s">
        <v>94</v>
      </c>
      <c r="R98" s="4" t="s">
        <v>94</v>
      </c>
      <c r="S98" s="4" t="s">
        <v>41</v>
      </c>
      <c r="T98" s="7">
        <v>2.8395000000000001</v>
      </c>
      <c r="U98" s="8">
        <v>348</v>
      </c>
      <c r="V98" s="8">
        <v>2024</v>
      </c>
      <c r="W98" s="4" t="s">
        <v>89</v>
      </c>
    </row>
    <row r="99" spans="1:23" s="9" customFormat="1" ht="15.75" hidden="1" customHeight="1" x14ac:dyDescent="0.25">
      <c r="A99" s="10" t="s">
        <v>355</v>
      </c>
      <c r="B99" s="10" t="s">
        <v>356</v>
      </c>
      <c r="C99" s="10" t="s">
        <v>357</v>
      </c>
      <c r="D99" s="22" t="s">
        <v>6090</v>
      </c>
      <c r="E99" s="10" t="s">
        <v>26</v>
      </c>
      <c r="F99" s="10" t="s">
        <v>46</v>
      </c>
      <c r="G99" s="10" t="s">
        <v>57</v>
      </c>
      <c r="H99" s="10" t="s">
        <v>72</v>
      </c>
      <c r="I99" s="11">
        <v>45458</v>
      </c>
      <c r="J99" s="10" t="s">
        <v>40</v>
      </c>
      <c r="K99" s="11">
        <v>45628</v>
      </c>
      <c r="L99" s="10" t="s">
        <v>59</v>
      </c>
      <c r="M99" s="12">
        <v>35131</v>
      </c>
      <c r="N99" s="12">
        <v>1822</v>
      </c>
      <c r="O99" s="10">
        <v>13</v>
      </c>
      <c r="P99" s="11">
        <v>45641</v>
      </c>
      <c r="Q99" s="10" t="s">
        <v>33</v>
      </c>
      <c r="R99" s="10" t="s">
        <v>33</v>
      </c>
      <c r="S99" s="10" t="s">
        <v>41</v>
      </c>
      <c r="T99" s="13">
        <v>19.281600000000001</v>
      </c>
      <c r="U99" s="14">
        <v>170</v>
      </c>
      <c r="V99" s="14">
        <v>2024</v>
      </c>
      <c r="W99" s="10" t="s">
        <v>89</v>
      </c>
    </row>
    <row r="100" spans="1:23" s="9" customFormat="1" ht="15.75" hidden="1" customHeight="1" x14ac:dyDescent="0.25">
      <c r="A100" s="4" t="s">
        <v>358</v>
      </c>
      <c r="B100" s="4" t="s">
        <v>359</v>
      </c>
      <c r="C100" s="4" t="s">
        <v>360</v>
      </c>
      <c r="D100" s="21" t="s">
        <v>6086</v>
      </c>
      <c r="E100" s="4" t="s">
        <v>51</v>
      </c>
      <c r="F100" s="4" t="s">
        <v>27</v>
      </c>
      <c r="G100" s="4" t="s">
        <v>5</v>
      </c>
      <c r="H100" s="4" t="s">
        <v>29</v>
      </c>
      <c r="I100" s="5">
        <v>45327</v>
      </c>
      <c r="J100" s="4" t="s">
        <v>40</v>
      </c>
      <c r="K100" s="5">
        <v>45514</v>
      </c>
      <c r="L100" s="4" t="s">
        <v>59</v>
      </c>
      <c r="M100" s="6">
        <v>44431</v>
      </c>
      <c r="N100" s="6">
        <v>7584</v>
      </c>
      <c r="O100" s="4">
        <v>29</v>
      </c>
      <c r="P100" s="5">
        <v>45543</v>
      </c>
      <c r="Q100" s="4" t="s">
        <v>94</v>
      </c>
      <c r="R100" s="4" t="s">
        <v>33</v>
      </c>
      <c r="S100" s="4" t="s">
        <v>41</v>
      </c>
      <c r="T100" s="7">
        <v>5.8585000000000003</v>
      </c>
      <c r="U100" s="8">
        <v>187</v>
      </c>
      <c r="V100" s="8">
        <v>2024</v>
      </c>
      <c r="W100" s="4" t="s">
        <v>114</v>
      </c>
    </row>
    <row r="101" spans="1:23" s="9" customFormat="1" ht="15.75" hidden="1" customHeight="1" x14ac:dyDescent="0.25">
      <c r="A101" s="10" t="s">
        <v>361</v>
      </c>
      <c r="B101" s="10" t="s">
        <v>362</v>
      </c>
      <c r="C101" s="10" t="s">
        <v>363</v>
      </c>
      <c r="D101" s="21" t="s">
        <v>6089</v>
      </c>
      <c r="E101" s="10" t="s">
        <v>51</v>
      </c>
      <c r="F101" s="10" t="s">
        <v>71</v>
      </c>
      <c r="G101" s="10" t="s">
        <v>5</v>
      </c>
      <c r="H101" s="10" t="s">
        <v>118</v>
      </c>
      <c r="I101" s="11">
        <v>45370</v>
      </c>
      <c r="J101" s="10" t="s">
        <v>40</v>
      </c>
      <c r="K101" s="11">
        <v>45598</v>
      </c>
      <c r="L101" s="10" t="s">
        <v>66</v>
      </c>
      <c r="M101" s="12">
        <v>57675</v>
      </c>
      <c r="N101" s="12">
        <v>4905</v>
      </c>
      <c r="O101" s="10" t="s">
        <v>32</v>
      </c>
      <c r="P101" s="10" t="s">
        <v>32</v>
      </c>
      <c r="Q101" s="10" t="s">
        <v>33</v>
      </c>
      <c r="R101" s="10" t="s">
        <v>33</v>
      </c>
      <c r="S101" s="10" t="s">
        <v>34</v>
      </c>
      <c r="T101" s="13">
        <v>11.7584</v>
      </c>
      <c r="U101" s="14">
        <v>228</v>
      </c>
      <c r="V101" s="14">
        <v>2024</v>
      </c>
      <c r="W101" s="10" t="s">
        <v>61</v>
      </c>
    </row>
    <row r="102" spans="1:23" s="9" customFormat="1" ht="15.75" hidden="1" customHeight="1" x14ac:dyDescent="0.25">
      <c r="A102" s="4" t="s">
        <v>364</v>
      </c>
      <c r="B102" s="4" t="s">
        <v>365</v>
      </c>
      <c r="C102" s="4" t="s">
        <v>366</v>
      </c>
      <c r="D102" s="22" t="s">
        <v>6090</v>
      </c>
      <c r="E102" s="4" t="s">
        <v>26</v>
      </c>
      <c r="F102" s="21" t="s">
        <v>6092</v>
      </c>
      <c r="G102" s="4" t="s">
        <v>5</v>
      </c>
      <c r="H102" s="4" t="s">
        <v>161</v>
      </c>
      <c r="I102" s="5">
        <v>45199</v>
      </c>
      <c r="J102" s="4" t="s">
        <v>30</v>
      </c>
      <c r="K102" s="5">
        <v>45531</v>
      </c>
      <c r="L102" s="4" t="s">
        <v>59</v>
      </c>
      <c r="M102" s="6">
        <v>16384</v>
      </c>
      <c r="N102" s="6">
        <v>3223</v>
      </c>
      <c r="O102" s="4">
        <v>42</v>
      </c>
      <c r="P102" s="5">
        <v>45573</v>
      </c>
      <c r="Q102" s="4" t="s">
        <v>33</v>
      </c>
      <c r="R102" s="4" t="s">
        <v>33</v>
      </c>
      <c r="S102" s="4" t="s">
        <v>34</v>
      </c>
      <c r="T102" s="7">
        <v>5.0834999999999999</v>
      </c>
      <c r="U102" s="8">
        <v>332</v>
      </c>
      <c r="V102" s="8">
        <v>2024</v>
      </c>
      <c r="W102" s="4" t="s">
        <v>114</v>
      </c>
    </row>
    <row r="103" spans="1:23" s="9" customFormat="1" ht="15.75" hidden="1" customHeight="1" x14ac:dyDescent="0.25">
      <c r="A103" s="10" t="s">
        <v>367</v>
      </c>
      <c r="B103" s="10" t="s">
        <v>368</v>
      </c>
      <c r="C103" s="10" t="s">
        <v>369</v>
      </c>
      <c r="D103" s="21" t="s">
        <v>6086</v>
      </c>
      <c r="E103" s="10" t="s">
        <v>87</v>
      </c>
      <c r="F103" s="10" t="s">
        <v>65</v>
      </c>
      <c r="G103" s="10" t="s">
        <v>57</v>
      </c>
      <c r="H103" s="10" t="s">
        <v>161</v>
      </c>
      <c r="I103" s="11">
        <v>45375</v>
      </c>
      <c r="J103" s="10" t="s">
        <v>30</v>
      </c>
      <c r="K103" s="11">
        <v>45537</v>
      </c>
      <c r="L103" s="10" t="s">
        <v>59</v>
      </c>
      <c r="M103" s="12">
        <v>80879</v>
      </c>
      <c r="N103" s="12">
        <v>5928</v>
      </c>
      <c r="O103" s="10">
        <v>30</v>
      </c>
      <c r="P103" s="11">
        <v>45567</v>
      </c>
      <c r="Q103" s="10" t="s">
        <v>33</v>
      </c>
      <c r="R103" s="10" t="s">
        <v>33</v>
      </c>
      <c r="S103" s="10" t="s">
        <v>41</v>
      </c>
      <c r="T103" s="13">
        <v>13.643599999999999</v>
      </c>
      <c r="U103" s="14">
        <v>162</v>
      </c>
      <c r="V103" s="14">
        <v>2024</v>
      </c>
      <c r="W103" s="10" t="s">
        <v>168</v>
      </c>
    </row>
    <row r="104" spans="1:23" s="9" customFormat="1" ht="15.75" hidden="1" customHeight="1" x14ac:dyDescent="0.25">
      <c r="A104" s="4" t="s">
        <v>370</v>
      </c>
      <c r="B104" s="4" t="s">
        <v>371</v>
      </c>
      <c r="C104" s="4" t="s">
        <v>372</v>
      </c>
      <c r="D104" s="22" t="s">
        <v>6090</v>
      </c>
      <c r="E104" s="4" t="s">
        <v>87</v>
      </c>
      <c r="F104" s="4" t="s">
        <v>27</v>
      </c>
      <c r="G104" s="4" t="s">
        <v>57</v>
      </c>
      <c r="H104" s="4" t="s">
        <v>161</v>
      </c>
      <c r="I104" s="5">
        <v>45578</v>
      </c>
      <c r="J104" s="4" t="s">
        <v>40</v>
      </c>
      <c r="K104" s="5">
        <v>45619</v>
      </c>
      <c r="L104" s="4" t="s">
        <v>31</v>
      </c>
      <c r="M104" s="6">
        <v>49162</v>
      </c>
      <c r="N104" s="6">
        <v>8045</v>
      </c>
      <c r="O104" s="4" t="s">
        <v>32</v>
      </c>
      <c r="P104" s="4" t="s">
        <v>32</v>
      </c>
      <c r="Q104" s="4" t="s">
        <v>33</v>
      </c>
      <c r="R104" s="4" t="s">
        <v>33</v>
      </c>
      <c r="S104" s="4" t="s">
        <v>60</v>
      </c>
      <c r="T104" s="7">
        <v>6.1109</v>
      </c>
      <c r="U104" s="8">
        <v>41</v>
      </c>
      <c r="V104" s="8">
        <v>2024</v>
      </c>
      <c r="W104" s="4" t="s">
        <v>61</v>
      </c>
    </row>
    <row r="105" spans="1:23" s="9" customFormat="1" ht="15.75" hidden="1" customHeight="1" x14ac:dyDescent="0.25">
      <c r="A105" s="10" t="s">
        <v>373</v>
      </c>
      <c r="B105" s="10" t="s">
        <v>374</v>
      </c>
      <c r="C105" s="10" t="s">
        <v>375</v>
      </c>
      <c r="D105" s="21" t="s">
        <v>6086</v>
      </c>
      <c r="E105" s="10" t="s">
        <v>87</v>
      </c>
      <c r="F105" s="10" t="s">
        <v>56</v>
      </c>
      <c r="G105" s="10" t="s">
        <v>28</v>
      </c>
      <c r="H105" s="10" t="s">
        <v>161</v>
      </c>
      <c r="I105" s="11">
        <v>45040</v>
      </c>
      <c r="J105" s="10" t="s">
        <v>30</v>
      </c>
      <c r="K105" s="11">
        <v>45304</v>
      </c>
      <c r="L105" s="10" t="s">
        <v>59</v>
      </c>
      <c r="M105" s="12">
        <v>78109</v>
      </c>
      <c r="N105" s="12">
        <v>4486</v>
      </c>
      <c r="O105" s="10">
        <v>36</v>
      </c>
      <c r="P105" s="11">
        <v>45340</v>
      </c>
      <c r="Q105" s="10" t="s">
        <v>33</v>
      </c>
      <c r="R105" s="10" t="s">
        <v>33</v>
      </c>
      <c r="S105" s="10" t="s">
        <v>41</v>
      </c>
      <c r="T105" s="13">
        <v>17.4117</v>
      </c>
      <c r="U105" s="14">
        <v>264</v>
      </c>
      <c r="V105" s="14">
        <v>2024</v>
      </c>
      <c r="W105" s="10" t="s">
        <v>73</v>
      </c>
    </row>
    <row r="106" spans="1:23" s="9" customFormat="1" ht="15.75" hidden="1" customHeight="1" x14ac:dyDescent="0.25">
      <c r="A106" s="4" t="s">
        <v>376</v>
      </c>
      <c r="B106" s="4" t="s">
        <v>377</v>
      </c>
      <c r="C106" s="4" t="s">
        <v>378</v>
      </c>
      <c r="D106" s="21" t="s">
        <v>6086</v>
      </c>
      <c r="E106" s="4" t="s">
        <v>51</v>
      </c>
      <c r="F106" s="21" t="s">
        <v>6092</v>
      </c>
      <c r="G106" s="4" t="s">
        <v>28</v>
      </c>
      <c r="H106" s="4" t="s">
        <v>29</v>
      </c>
      <c r="I106" s="5">
        <v>45068</v>
      </c>
      <c r="J106" s="4" t="s">
        <v>30</v>
      </c>
      <c r="K106" s="5">
        <v>45367</v>
      </c>
      <c r="L106" s="4" t="s">
        <v>59</v>
      </c>
      <c r="M106" s="6">
        <v>66762</v>
      </c>
      <c r="N106" s="6">
        <v>7933</v>
      </c>
      <c r="O106" s="4">
        <v>44</v>
      </c>
      <c r="P106" s="5">
        <v>45411</v>
      </c>
      <c r="Q106" s="4" t="s">
        <v>33</v>
      </c>
      <c r="R106" s="4" t="s">
        <v>33</v>
      </c>
      <c r="S106" s="4" t="s">
        <v>34</v>
      </c>
      <c r="T106" s="7">
        <v>8.4156999999999993</v>
      </c>
      <c r="U106" s="8">
        <v>299</v>
      </c>
      <c r="V106" s="8">
        <v>2024</v>
      </c>
      <c r="W106" s="4" t="s">
        <v>77</v>
      </c>
    </row>
    <row r="107" spans="1:23" s="9" customFormat="1" ht="15.75" hidden="1" customHeight="1" x14ac:dyDescent="0.25">
      <c r="A107" s="10" t="s">
        <v>379</v>
      </c>
      <c r="B107" s="10" t="s">
        <v>380</v>
      </c>
      <c r="C107" s="10" t="s">
        <v>381</v>
      </c>
      <c r="D107" s="21" t="s">
        <v>6086</v>
      </c>
      <c r="E107" s="10" t="s">
        <v>26</v>
      </c>
      <c r="F107" s="21" t="s">
        <v>6092</v>
      </c>
      <c r="G107" s="10" t="s">
        <v>28</v>
      </c>
      <c r="H107" s="10" t="s">
        <v>29</v>
      </c>
      <c r="I107" s="11">
        <v>45305</v>
      </c>
      <c r="J107" s="10" t="s">
        <v>40</v>
      </c>
      <c r="K107" s="11">
        <v>45345</v>
      </c>
      <c r="L107" s="10" t="s">
        <v>59</v>
      </c>
      <c r="M107" s="12">
        <v>98982</v>
      </c>
      <c r="N107" s="12">
        <v>6152</v>
      </c>
      <c r="O107" s="10">
        <v>10</v>
      </c>
      <c r="P107" s="11">
        <v>45355</v>
      </c>
      <c r="Q107" s="10" t="s">
        <v>94</v>
      </c>
      <c r="R107" s="10" t="s">
        <v>33</v>
      </c>
      <c r="S107" s="10" t="s">
        <v>60</v>
      </c>
      <c r="T107" s="13">
        <v>16.089400000000001</v>
      </c>
      <c r="U107" s="14">
        <v>40</v>
      </c>
      <c r="V107" s="14">
        <v>2024</v>
      </c>
      <c r="W107" s="10" t="s">
        <v>35</v>
      </c>
    </row>
    <row r="108" spans="1:23" s="9" customFormat="1" ht="15.75" hidden="1" customHeight="1" x14ac:dyDescent="0.25">
      <c r="A108" s="4" t="s">
        <v>382</v>
      </c>
      <c r="B108" s="4" t="s">
        <v>383</v>
      </c>
      <c r="C108" s="4" t="s">
        <v>384</v>
      </c>
      <c r="D108" s="21" t="s">
        <v>6088</v>
      </c>
      <c r="E108" s="4" t="s">
        <v>51</v>
      </c>
      <c r="F108" s="21" t="s">
        <v>6092</v>
      </c>
      <c r="G108" s="4" t="s">
        <v>28</v>
      </c>
      <c r="H108" s="4" t="s">
        <v>29</v>
      </c>
      <c r="I108" s="5">
        <v>45127</v>
      </c>
      <c r="J108" s="4" t="s">
        <v>30</v>
      </c>
      <c r="K108" s="5">
        <v>45386</v>
      </c>
      <c r="L108" s="4" t="s">
        <v>66</v>
      </c>
      <c r="M108" s="6">
        <v>79030</v>
      </c>
      <c r="N108" s="6">
        <v>8740</v>
      </c>
      <c r="O108" s="4" t="s">
        <v>32</v>
      </c>
      <c r="P108" s="4" t="s">
        <v>32</v>
      </c>
      <c r="Q108" s="4" t="s">
        <v>33</v>
      </c>
      <c r="R108" s="4" t="s">
        <v>33</v>
      </c>
      <c r="S108" s="4" t="s">
        <v>60</v>
      </c>
      <c r="T108" s="7">
        <v>9.0422999999999991</v>
      </c>
      <c r="U108" s="8">
        <v>259</v>
      </c>
      <c r="V108" s="8">
        <v>2024</v>
      </c>
      <c r="W108" s="4" t="s">
        <v>47</v>
      </c>
    </row>
    <row r="109" spans="1:23" s="9" customFormat="1" ht="15.75" hidden="1" customHeight="1" x14ac:dyDescent="0.25">
      <c r="A109" s="10" t="s">
        <v>385</v>
      </c>
      <c r="B109" s="10" t="s">
        <v>386</v>
      </c>
      <c r="C109" s="10" t="s">
        <v>387</v>
      </c>
      <c r="D109" s="21" t="s">
        <v>6086</v>
      </c>
      <c r="E109" s="10" t="s">
        <v>51</v>
      </c>
      <c r="F109" s="10" t="s">
        <v>46</v>
      </c>
      <c r="G109" s="10" t="s">
        <v>5</v>
      </c>
      <c r="H109" s="10" t="s">
        <v>58</v>
      </c>
      <c r="I109" s="11">
        <v>45476</v>
      </c>
      <c r="J109" s="10" t="s">
        <v>40</v>
      </c>
      <c r="K109" s="11">
        <v>45569</v>
      </c>
      <c r="L109" s="10" t="s">
        <v>59</v>
      </c>
      <c r="M109" s="12">
        <v>89623</v>
      </c>
      <c r="N109" s="12">
        <v>6298</v>
      </c>
      <c r="O109" s="10">
        <v>45</v>
      </c>
      <c r="P109" s="11">
        <v>45614</v>
      </c>
      <c r="Q109" s="10" t="s">
        <v>94</v>
      </c>
      <c r="R109" s="10" t="s">
        <v>33</v>
      </c>
      <c r="S109" s="10" t="s">
        <v>34</v>
      </c>
      <c r="T109" s="13">
        <v>14.230399999999999</v>
      </c>
      <c r="U109" s="14">
        <v>93</v>
      </c>
      <c r="V109" s="14">
        <v>2024</v>
      </c>
      <c r="W109" s="10" t="s">
        <v>95</v>
      </c>
    </row>
    <row r="110" spans="1:23" s="9" customFormat="1" ht="15.75" hidden="1" customHeight="1" x14ac:dyDescent="0.25">
      <c r="A110" s="4" t="s">
        <v>388</v>
      </c>
      <c r="B110" s="4" t="s">
        <v>389</v>
      </c>
      <c r="C110" s="4" t="s">
        <v>390</v>
      </c>
      <c r="D110" s="22" t="s">
        <v>6087</v>
      </c>
      <c r="E110" s="4" t="s">
        <v>51</v>
      </c>
      <c r="F110" s="4" t="s">
        <v>71</v>
      </c>
      <c r="G110" s="4" t="s">
        <v>28</v>
      </c>
      <c r="H110" s="4" t="s">
        <v>29</v>
      </c>
      <c r="I110" s="5">
        <v>45048</v>
      </c>
      <c r="J110" s="4" t="s">
        <v>40</v>
      </c>
      <c r="K110" s="5">
        <v>45350</v>
      </c>
      <c r="L110" s="4" t="s">
        <v>59</v>
      </c>
      <c r="M110" s="6">
        <v>7770</v>
      </c>
      <c r="N110" s="6">
        <v>4826</v>
      </c>
      <c r="O110" s="4">
        <v>2</v>
      </c>
      <c r="P110" s="5">
        <v>45352</v>
      </c>
      <c r="Q110" s="4" t="s">
        <v>33</v>
      </c>
      <c r="R110" s="4" t="s">
        <v>33</v>
      </c>
      <c r="S110" s="4" t="s">
        <v>34</v>
      </c>
      <c r="T110" s="7">
        <v>1.61</v>
      </c>
      <c r="U110" s="8">
        <v>302</v>
      </c>
      <c r="V110" s="8">
        <v>2024</v>
      </c>
      <c r="W110" s="4" t="s">
        <v>35</v>
      </c>
    </row>
    <row r="111" spans="1:23" s="9" customFormat="1" ht="15.75" hidden="1" customHeight="1" x14ac:dyDescent="0.25">
      <c r="A111" s="10" t="s">
        <v>391</v>
      </c>
      <c r="B111" s="10" t="s">
        <v>392</v>
      </c>
      <c r="C111" s="10" t="s">
        <v>393</v>
      </c>
      <c r="D111" s="21" t="s">
        <v>6086</v>
      </c>
      <c r="E111" s="10" t="s">
        <v>51</v>
      </c>
      <c r="F111" s="10" t="s">
        <v>65</v>
      </c>
      <c r="G111" s="10" t="s">
        <v>5</v>
      </c>
      <c r="H111" s="10" t="s">
        <v>29</v>
      </c>
      <c r="I111" s="11">
        <v>44999</v>
      </c>
      <c r="J111" s="10" t="s">
        <v>30</v>
      </c>
      <c r="K111" s="11">
        <v>45321</v>
      </c>
      <c r="L111" s="10" t="s">
        <v>31</v>
      </c>
      <c r="M111" s="12">
        <v>27772</v>
      </c>
      <c r="N111" s="12">
        <v>3932</v>
      </c>
      <c r="O111" s="10" t="s">
        <v>32</v>
      </c>
      <c r="P111" s="10" t="s">
        <v>32</v>
      </c>
      <c r="Q111" s="10" t="s">
        <v>33</v>
      </c>
      <c r="R111" s="10" t="s">
        <v>33</v>
      </c>
      <c r="S111" s="10" t="s">
        <v>41</v>
      </c>
      <c r="T111" s="13">
        <v>7.0631000000000004</v>
      </c>
      <c r="U111" s="14">
        <v>322</v>
      </c>
      <c r="V111" s="14">
        <v>2024</v>
      </c>
      <c r="W111" s="10" t="s">
        <v>73</v>
      </c>
    </row>
    <row r="112" spans="1:23" s="9" customFormat="1" ht="15.75" hidden="1" customHeight="1" x14ac:dyDescent="0.25">
      <c r="A112" s="4" t="s">
        <v>394</v>
      </c>
      <c r="B112" s="4" t="s">
        <v>395</v>
      </c>
      <c r="C112" s="4" t="s">
        <v>396</v>
      </c>
      <c r="D112" s="21" t="s">
        <v>6089</v>
      </c>
      <c r="E112" s="4" t="s">
        <v>51</v>
      </c>
      <c r="F112" s="4" t="s">
        <v>71</v>
      </c>
      <c r="G112" s="4" t="s">
        <v>57</v>
      </c>
      <c r="H112" s="4" t="s">
        <v>58</v>
      </c>
      <c r="I112" s="5">
        <v>45531</v>
      </c>
      <c r="J112" s="4" t="s">
        <v>30</v>
      </c>
      <c r="K112" s="5">
        <v>45649</v>
      </c>
      <c r="L112" s="4" t="s">
        <v>31</v>
      </c>
      <c r="M112" s="6">
        <v>67076</v>
      </c>
      <c r="N112" s="6">
        <v>5813</v>
      </c>
      <c r="O112" s="4" t="s">
        <v>32</v>
      </c>
      <c r="P112" s="4" t="s">
        <v>32</v>
      </c>
      <c r="Q112" s="4" t="s">
        <v>33</v>
      </c>
      <c r="R112" s="4" t="s">
        <v>33</v>
      </c>
      <c r="S112" s="4" t="s">
        <v>60</v>
      </c>
      <c r="T112" s="7">
        <v>11.539</v>
      </c>
      <c r="U112" s="8">
        <v>118</v>
      </c>
      <c r="V112" s="8">
        <v>2024</v>
      </c>
      <c r="W112" s="4" t="s">
        <v>89</v>
      </c>
    </row>
    <row r="113" spans="1:23" s="9" customFormat="1" ht="15.75" hidden="1" customHeight="1" x14ac:dyDescent="0.25">
      <c r="A113" s="10" t="s">
        <v>397</v>
      </c>
      <c r="B113" s="10" t="s">
        <v>398</v>
      </c>
      <c r="C113" s="10" t="s">
        <v>399</v>
      </c>
      <c r="D113" s="21" t="s">
        <v>6091</v>
      </c>
      <c r="E113" s="10" t="s">
        <v>26</v>
      </c>
      <c r="F113" s="10" t="s">
        <v>56</v>
      </c>
      <c r="G113" s="10" t="s">
        <v>5</v>
      </c>
      <c r="H113" s="10" t="s">
        <v>93</v>
      </c>
      <c r="I113" s="11">
        <v>45079</v>
      </c>
      <c r="J113" s="10" t="s">
        <v>40</v>
      </c>
      <c r="K113" s="11">
        <v>45346</v>
      </c>
      <c r="L113" s="10" t="s">
        <v>31</v>
      </c>
      <c r="M113" s="12">
        <v>2671</v>
      </c>
      <c r="N113" s="12">
        <v>1737</v>
      </c>
      <c r="O113" s="10" t="s">
        <v>32</v>
      </c>
      <c r="P113" s="10" t="s">
        <v>32</v>
      </c>
      <c r="Q113" s="10" t="s">
        <v>94</v>
      </c>
      <c r="R113" s="10" t="s">
        <v>33</v>
      </c>
      <c r="S113" s="10" t="s">
        <v>34</v>
      </c>
      <c r="T113" s="13">
        <v>1.5377000000000001</v>
      </c>
      <c r="U113" s="14">
        <v>267</v>
      </c>
      <c r="V113" s="14">
        <v>2024</v>
      </c>
      <c r="W113" s="10" t="s">
        <v>35</v>
      </c>
    </row>
    <row r="114" spans="1:23" s="9" customFormat="1" ht="15.75" hidden="1" customHeight="1" x14ac:dyDescent="0.25">
      <c r="A114" s="4" t="s">
        <v>400</v>
      </c>
      <c r="B114" s="4" t="s">
        <v>401</v>
      </c>
      <c r="C114" s="4" t="s">
        <v>402</v>
      </c>
      <c r="D114" s="21" t="s">
        <v>6088</v>
      </c>
      <c r="E114" s="4" t="s">
        <v>26</v>
      </c>
      <c r="F114" s="21" t="s">
        <v>6092</v>
      </c>
      <c r="G114" s="4" t="s">
        <v>28</v>
      </c>
      <c r="H114" s="4" t="s">
        <v>72</v>
      </c>
      <c r="I114" s="5">
        <v>45041</v>
      </c>
      <c r="J114" s="4" t="s">
        <v>30</v>
      </c>
      <c r="K114" s="5">
        <v>45355</v>
      </c>
      <c r="L114" s="4" t="s">
        <v>31</v>
      </c>
      <c r="M114" s="6">
        <v>43605</v>
      </c>
      <c r="N114" s="6">
        <v>1713</v>
      </c>
      <c r="O114" s="4" t="s">
        <v>32</v>
      </c>
      <c r="P114" s="4" t="s">
        <v>32</v>
      </c>
      <c r="Q114" s="4" t="s">
        <v>94</v>
      </c>
      <c r="R114" s="4" t="s">
        <v>33</v>
      </c>
      <c r="S114" s="4" t="s">
        <v>60</v>
      </c>
      <c r="T114" s="7">
        <v>25.455300000000001</v>
      </c>
      <c r="U114" s="8">
        <v>314</v>
      </c>
      <c r="V114" s="8">
        <v>2024</v>
      </c>
      <c r="W114" s="4" t="s">
        <v>77</v>
      </c>
    </row>
    <row r="115" spans="1:23" s="9" customFormat="1" ht="15.75" hidden="1" customHeight="1" x14ac:dyDescent="0.25">
      <c r="A115" s="10" t="s">
        <v>403</v>
      </c>
      <c r="B115" s="10" t="s">
        <v>404</v>
      </c>
      <c r="C115" s="10" t="s">
        <v>405</v>
      </c>
      <c r="D115" s="22" t="s">
        <v>6090</v>
      </c>
      <c r="E115" s="10" t="s">
        <v>87</v>
      </c>
      <c r="F115" s="10" t="s">
        <v>56</v>
      </c>
      <c r="G115" s="10" t="s">
        <v>5</v>
      </c>
      <c r="H115" s="10" t="s">
        <v>58</v>
      </c>
      <c r="I115" s="11">
        <v>45140</v>
      </c>
      <c r="J115" s="10" t="s">
        <v>30</v>
      </c>
      <c r="K115" s="11">
        <v>45466</v>
      </c>
      <c r="L115" s="10" t="s">
        <v>59</v>
      </c>
      <c r="M115" s="12">
        <v>3846</v>
      </c>
      <c r="N115" s="12">
        <v>2954</v>
      </c>
      <c r="O115" s="10">
        <v>25</v>
      </c>
      <c r="P115" s="11">
        <v>45491</v>
      </c>
      <c r="Q115" s="10" t="s">
        <v>33</v>
      </c>
      <c r="R115" s="10" t="s">
        <v>33</v>
      </c>
      <c r="S115" s="10" t="s">
        <v>34</v>
      </c>
      <c r="T115" s="13">
        <v>1.302</v>
      </c>
      <c r="U115" s="14">
        <v>326</v>
      </c>
      <c r="V115" s="14">
        <v>2024</v>
      </c>
      <c r="W115" s="10" t="s">
        <v>67</v>
      </c>
    </row>
    <row r="116" spans="1:23" s="9" customFormat="1" ht="15.75" hidden="1" customHeight="1" x14ac:dyDescent="0.25">
      <c r="A116" s="4" t="s">
        <v>406</v>
      </c>
      <c r="B116" s="4" t="s">
        <v>407</v>
      </c>
      <c r="C116" s="4" t="s">
        <v>408</v>
      </c>
      <c r="D116" s="21" t="s">
        <v>6088</v>
      </c>
      <c r="E116" s="4" t="s">
        <v>26</v>
      </c>
      <c r="F116" s="21" t="s">
        <v>6092</v>
      </c>
      <c r="G116" s="4" t="s">
        <v>28</v>
      </c>
      <c r="H116" s="4" t="s">
        <v>161</v>
      </c>
      <c r="I116" s="5">
        <v>45283</v>
      </c>
      <c r="J116" s="4" t="s">
        <v>30</v>
      </c>
      <c r="K116" s="5">
        <v>45423</v>
      </c>
      <c r="L116" s="4" t="s">
        <v>31</v>
      </c>
      <c r="M116" s="6">
        <v>34428</v>
      </c>
      <c r="N116" s="6">
        <v>559</v>
      </c>
      <c r="O116" s="4" t="s">
        <v>32</v>
      </c>
      <c r="P116" s="4" t="s">
        <v>32</v>
      </c>
      <c r="Q116" s="4" t="s">
        <v>33</v>
      </c>
      <c r="R116" s="4" t="s">
        <v>33</v>
      </c>
      <c r="S116" s="4" t="s">
        <v>41</v>
      </c>
      <c r="T116" s="7">
        <v>61.5886</v>
      </c>
      <c r="U116" s="8">
        <v>140</v>
      </c>
      <c r="V116" s="8">
        <v>2024</v>
      </c>
      <c r="W116" s="4" t="s">
        <v>52</v>
      </c>
    </row>
    <row r="117" spans="1:23" s="9" customFormat="1" ht="15.75" hidden="1" customHeight="1" x14ac:dyDescent="0.25">
      <c r="A117" s="10" t="s">
        <v>409</v>
      </c>
      <c r="B117" s="10" t="s">
        <v>410</v>
      </c>
      <c r="C117" s="10" t="s">
        <v>411</v>
      </c>
      <c r="D117" s="21" t="s">
        <v>6088</v>
      </c>
      <c r="E117" s="10" t="s">
        <v>26</v>
      </c>
      <c r="F117" s="10" t="s">
        <v>46</v>
      </c>
      <c r="G117" s="10" t="s">
        <v>5</v>
      </c>
      <c r="H117" s="10" t="s">
        <v>118</v>
      </c>
      <c r="I117" s="11">
        <v>45538</v>
      </c>
      <c r="J117" s="10" t="s">
        <v>30</v>
      </c>
      <c r="K117" s="11">
        <v>45640</v>
      </c>
      <c r="L117" s="10" t="s">
        <v>66</v>
      </c>
      <c r="M117" s="12">
        <v>17501</v>
      </c>
      <c r="N117" s="12">
        <v>3465</v>
      </c>
      <c r="O117" s="10" t="s">
        <v>32</v>
      </c>
      <c r="P117" s="10" t="s">
        <v>32</v>
      </c>
      <c r="Q117" s="10" t="s">
        <v>33</v>
      </c>
      <c r="R117" s="10" t="s">
        <v>33</v>
      </c>
      <c r="S117" s="10" t="s">
        <v>60</v>
      </c>
      <c r="T117" s="13">
        <v>5.0507999999999997</v>
      </c>
      <c r="U117" s="14">
        <v>102</v>
      </c>
      <c r="V117" s="14">
        <v>2024</v>
      </c>
      <c r="W117" s="10" t="s">
        <v>89</v>
      </c>
    </row>
    <row r="118" spans="1:23" s="9" customFormat="1" ht="15.75" hidden="1" customHeight="1" x14ac:dyDescent="0.25">
      <c r="A118" s="4" t="s">
        <v>412</v>
      </c>
      <c r="B118" s="4" t="s">
        <v>413</v>
      </c>
      <c r="C118" s="4" t="s">
        <v>414</v>
      </c>
      <c r="D118" s="22" t="s">
        <v>6087</v>
      </c>
      <c r="E118" s="4" t="s">
        <v>87</v>
      </c>
      <c r="F118" s="4" t="s">
        <v>71</v>
      </c>
      <c r="G118" s="4" t="s">
        <v>28</v>
      </c>
      <c r="H118" s="4" t="s">
        <v>29</v>
      </c>
      <c r="I118" s="5">
        <v>45063</v>
      </c>
      <c r="J118" s="4" t="s">
        <v>30</v>
      </c>
      <c r="K118" s="5">
        <v>45369</v>
      </c>
      <c r="L118" s="4" t="s">
        <v>59</v>
      </c>
      <c r="M118" s="6">
        <v>26333</v>
      </c>
      <c r="N118" s="6">
        <v>2080</v>
      </c>
      <c r="O118" s="4">
        <v>4</v>
      </c>
      <c r="P118" s="5">
        <v>45373</v>
      </c>
      <c r="Q118" s="4" t="s">
        <v>94</v>
      </c>
      <c r="R118" s="4" t="s">
        <v>33</v>
      </c>
      <c r="S118" s="4" t="s">
        <v>60</v>
      </c>
      <c r="T118" s="7">
        <v>12.6601</v>
      </c>
      <c r="U118" s="8">
        <v>306</v>
      </c>
      <c r="V118" s="8">
        <v>2024</v>
      </c>
      <c r="W118" s="4" t="s">
        <v>77</v>
      </c>
    </row>
    <row r="119" spans="1:23" s="9" customFormat="1" ht="15.75" hidden="1" customHeight="1" x14ac:dyDescent="0.25">
      <c r="A119" s="10" t="s">
        <v>415</v>
      </c>
      <c r="B119" s="10" t="s">
        <v>416</v>
      </c>
      <c r="C119" s="10" t="s">
        <v>417</v>
      </c>
      <c r="D119" s="21" t="s">
        <v>6088</v>
      </c>
      <c r="E119" s="10" t="s">
        <v>51</v>
      </c>
      <c r="F119" s="21" t="s">
        <v>6092</v>
      </c>
      <c r="G119" s="10" t="s">
        <v>28</v>
      </c>
      <c r="H119" s="10" t="s">
        <v>88</v>
      </c>
      <c r="I119" s="11">
        <v>45432</v>
      </c>
      <c r="J119" s="10" t="s">
        <v>30</v>
      </c>
      <c r="K119" s="11">
        <v>45649</v>
      </c>
      <c r="L119" s="10" t="s">
        <v>59</v>
      </c>
      <c r="M119" s="12">
        <v>49945</v>
      </c>
      <c r="N119" s="12">
        <v>1534</v>
      </c>
      <c r="O119" s="10">
        <v>29</v>
      </c>
      <c r="P119" s="11">
        <v>45678</v>
      </c>
      <c r="Q119" s="10" t="s">
        <v>33</v>
      </c>
      <c r="R119" s="10" t="s">
        <v>33</v>
      </c>
      <c r="S119" s="10" t="s">
        <v>41</v>
      </c>
      <c r="T119" s="13">
        <v>32.558700000000002</v>
      </c>
      <c r="U119" s="14">
        <v>217</v>
      </c>
      <c r="V119" s="14">
        <v>2024</v>
      </c>
      <c r="W119" s="10" t="s">
        <v>89</v>
      </c>
    </row>
    <row r="120" spans="1:23" s="9" customFormat="1" ht="15.75" hidden="1" customHeight="1" x14ac:dyDescent="0.25">
      <c r="A120" s="4" t="s">
        <v>418</v>
      </c>
      <c r="B120" s="4" t="s">
        <v>419</v>
      </c>
      <c r="C120" s="4" t="s">
        <v>420</v>
      </c>
      <c r="D120" s="22" t="s">
        <v>6090</v>
      </c>
      <c r="E120" s="4" t="s">
        <v>51</v>
      </c>
      <c r="F120" s="21" t="s">
        <v>6092</v>
      </c>
      <c r="G120" s="4" t="s">
        <v>28</v>
      </c>
      <c r="H120" s="4" t="s">
        <v>39</v>
      </c>
      <c r="I120" s="5">
        <v>45149</v>
      </c>
      <c r="J120" s="4" t="s">
        <v>40</v>
      </c>
      <c r="K120" s="5">
        <v>45321</v>
      </c>
      <c r="L120" s="4" t="s">
        <v>66</v>
      </c>
      <c r="M120" s="6">
        <v>30024</v>
      </c>
      <c r="N120" s="6">
        <v>6113</v>
      </c>
      <c r="O120" s="4" t="s">
        <v>32</v>
      </c>
      <c r="P120" s="4" t="s">
        <v>32</v>
      </c>
      <c r="Q120" s="4" t="s">
        <v>33</v>
      </c>
      <c r="R120" s="4" t="s">
        <v>33</v>
      </c>
      <c r="S120" s="4" t="s">
        <v>34</v>
      </c>
      <c r="T120" s="7">
        <v>4.9115000000000002</v>
      </c>
      <c r="U120" s="8">
        <v>172</v>
      </c>
      <c r="V120" s="8">
        <v>2024</v>
      </c>
      <c r="W120" s="4" t="s">
        <v>73</v>
      </c>
    </row>
    <row r="121" spans="1:23" s="9" customFormat="1" ht="15.75" hidden="1" customHeight="1" x14ac:dyDescent="0.25">
      <c r="A121" s="10" t="s">
        <v>421</v>
      </c>
      <c r="B121" s="10" t="s">
        <v>422</v>
      </c>
      <c r="C121" s="10" t="s">
        <v>423</v>
      </c>
      <c r="D121" s="21" t="s">
        <v>6091</v>
      </c>
      <c r="E121" s="10" t="s">
        <v>26</v>
      </c>
      <c r="F121" s="10" t="s">
        <v>56</v>
      </c>
      <c r="G121" s="10" t="s">
        <v>28</v>
      </c>
      <c r="H121" s="10" t="s">
        <v>161</v>
      </c>
      <c r="I121" s="11">
        <v>45345</v>
      </c>
      <c r="J121" s="10" t="s">
        <v>40</v>
      </c>
      <c r="K121" s="11">
        <v>45583</v>
      </c>
      <c r="L121" s="10" t="s">
        <v>66</v>
      </c>
      <c r="M121" s="12">
        <v>7346</v>
      </c>
      <c r="N121" s="12">
        <v>2427</v>
      </c>
      <c r="O121" s="10" t="s">
        <v>32</v>
      </c>
      <c r="P121" s="10" t="s">
        <v>32</v>
      </c>
      <c r="Q121" s="10" t="s">
        <v>94</v>
      </c>
      <c r="R121" s="10" t="s">
        <v>94</v>
      </c>
      <c r="S121" s="10" t="s">
        <v>60</v>
      </c>
      <c r="T121" s="13">
        <v>3.0268000000000002</v>
      </c>
      <c r="U121" s="14">
        <v>238</v>
      </c>
      <c r="V121" s="14">
        <v>2024</v>
      </c>
      <c r="W121" s="10" t="s">
        <v>95</v>
      </c>
    </row>
    <row r="122" spans="1:23" s="9" customFormat="1" ht="15.75" hidden="1" customHeight="1" x14ac:dyDescent="0.25">
      <c r="A122" s="4" t="s">
        <v>424</v>
      </c>
      <c r="B122" s="4" t="s">
        <v>425</v>
      </c>
      <c r="C122" s="4" t="s">
        <v>426</v>
      </c>
      <c r="D122" s="21" t="s">
        <v>6089</v>
      </c>
      <c r="E122" s="4" t="s">
        <v>51</v>
      </c>
      <c r="F122" s="4" t="s">
        <v>71</v>
      </c>
      <c r="G122" s="4" t="s">
        <v>28</v>
      </c>
      <c r="H122" s="4" t="s">
        <v>58</v>
      </c>
      <c r="I122" s="5">
        <v>45049</v>
      </c>
      <c r="J122" s="4" t="s">
        <v>40</v>
      </c>
      <c r="K122" s="5">
        <v>45348</v>
      </c>
      <c r="L122" s="4" t="s">
        <v>59</v>
      </c>
      <c r="M122" s="6">
        <v>10299</v>
      </c>
      <c r="N122" s="6">
        <v>5021</v>
      </c>
      <c r="O122" s="4">
        <v>29</v>
      </c>
      <c r="P122" s="5">
        <v>45377</v>
      </c>
      <c r="Q122" s="4" t="s">
        <v>33</v>
      </c>
      <c r="R122" s="4" t="s">
        <v>33</v>
      </c>
      <c r="S122" s="4" t="s">
        <v>41</v>
      </c>
      <c r="T122" s="7">
        <v>2.0512000000000001</v>
      </c>
      <c r="U122" s="8">
        <v>299</v>
      </c>
      <c r="V122" s="8">
        <v>2024</v>
      </c>
      <c r="W122" s="4" t="s">
        <v>35</v>
      </c>
    </row>
    <row r="123" spans="1:23" s="9" customFormat="1" ht="15.75" hidden="1" customHeight="1" x14ac:dyDescent="0.25">
      <c r="A123" s="10" t="s">
        <v>427</v>
      </c>
      <c r="B123" s="10" t="s">
        <v>428</v>
      </c>
      <c r="C123" s="10" t="s">
        <v>429</v>
      </c>
      <c r="D123" s="22" t="s">
        <v>6087</v>
      </c>
      <c r="E123" s="10" t="s">
        <v>51</v>
      </c>
      <c r="F123" s="10" t="s">
        <v>46</v>
      </c>
      <c r="G123" s="10" t="s">
        <v>57</v>
      </c>
      <c r="H123" s="10" t="s">
        <v>58</v>
      </c>
      <c r="I123" s="11">
        <v>45237</v>
      </c>
      <c r="J123" s="10" t="s">
        <v>40</v>
      </c>
      <c r="K123" s="11">
        <v>45358</v>
      </c>
      <c r="L123" s="10" t="s">
        <v>66</v>
      </c>
      <c r="M123" s="12">
        <v>4349</v>
      </c>
      <c r="N123" s="12">
        <v>594</v>
      </c>
      <c r="O123" s="10" t="s">
        <v>32</v>
      </c>
      <c r="P123" s="10" t="s">
        <v>32</v>
      </c>
      <c r="Q123" s="10" t="s">
        <v>33</v>
      </c>
      <c r="R123" s="10" t="s">
        <v>33</v>
      </c>
      <c r="S123" s="10" t="s">
        <v>60</v>
      </c>
      <c r="T123" s="13">
        <v>7.3215000000000003</v>
      </c>
      <c r="U123" s="14">
        <v>121</v>
      </c>
      <c r="V123" s="14">
        <v>2024</v>
      </c>
      <c r="W123" s="10" t="s">
        <v>77</v>
      </c>
    </row>
    <row r="124" spans="1:23" s="9" customFormat="1" ht="15.75" hidden="1" customHeight="1" x14ac:dyDescent="0.25">
      <c r="A124" s="4" t="s">
        <v>430</v>
      </c>
      <c r="B124" s="4" t="s">
        <v>431</v>
      </c>
      <c r="C124" s="4" t="s">
        <v>432</v>
      </c>
      <c r="D124" s="22" t="s">
        <v>6087</v>
      </c>
      <c r="E124" s="4" t="s">
        <v>87</v>
      </c>
      <c r="F124" s="4" t="s">
        <v>65</v>
      </c>
      <c r="G124" s="4" t="s">
        <v>28</v>
      </c>
      <c r="H124" s="4" t="s">
        <v>29</v>
      </c>
      <c r="I124" s="5">
        <v>45406</v>
      </c>
      <c r="J124" s="4" t="s">
        <v>40</v>
      </c>
      <c r="K124" s="5">
        <v>45562</v>
      </c>
      <c r="L124" s="4" t="s">
        <v>59</v>
      </c>
      <c r="M124" s="6">
        <v>38474</v>
      </c>
      <c r="N124" s="6">
        <v>8894</v>
      </c>
      <c r="O124" s="4">
        <v>39</v>
      </c>
      <c r="P124" s="5">
        <v>45601</v>
      </c>
      <c r="Q124" s="4" t="s">
        <v>33</v>
      </c>
      <c r="R124" s="4" t="s">
        <v>33</v>
      </c>
      <c r="S124" s="4" t="s">
        <v>41</v>
      </c>
      <c r="T124" s="7">
        <v>4.3258000000000001</v>
      </c>
      <c r="U124" s="8">
        <v>156</v>
      </c>
      <c r="V124" s="8">
        <v>2024</v>
      </c>
      <c r="W124" s="4" t="s">
        <v>168</v>
      </c>
    </row>
    <row r="125" spans="1:23" s="9" customFormat="1" ht="15.75" hidden="1" customHeight="1" x14ac:dyDescent="0.25">
      <c r="A125" s="10" t="s">
        <v>433</v>
      </c>
      <c r="B125" s="10" t="s">
        <v>434</v>
      </c>
      <c r="C125" s="10" t="s">
        <v>435</v>
      </c>
      <c r="D125" s="22" t="s">
        <v>6090</v>
      </c>
      <c r="E125" s="10" t="s">
        <v>87</v>
      </c>
      <c r="F125" s="10" t="s">
        <v>71</v>
      </c>
      <c r="G125" s="10" t="s">
        <v>28</v>
      </c>
      <c r="H125" s="10" t="s">
        <v>161</v>
      </c>
      <c r="I125" s="11">
        <v>45195</v>
      </c>
      <c r="J125" s="10" t="s">
        <v>30</v>
      </c>
      <c r="K125" s="11">
        <v>45353</v>
      </c>
      <c r="L125" s="10" t="s">
        <v>59</v>
      </c>
      <c r="M125" s="12">
        <v>40982</v>
      </c>
      <c r="N125" s="12">
        <v>7986</v>
      </c>
      <c r="O125" s="10">
        <v>41</v>
      </c>
      <c r="P125" s="11">
        <v>45394</v>
      </c>
      <c r="Q125" s="10" t="s">
        <v>94</v>
      </c>
      <c r="R125" s="10" t="s">
        <v>33</v>
      </c>
      <c r="S125" s="10" t="s">
        <v>41</v>
      </c>
      <c r="T125" s="13">
        <v>5.1317000000000004</v>
      </c>
      <c r="U125" s="14">
        <v>158</v>
      </c>
      <c r="V125" s="14">
        <v>2024</v>
      </c>
      <c r="W125" s="10" t="s">
        <v>77</v>
      </c>
    </row>
    <row r="126" spans="1:23" s="9" customFormat="1" ht="15.75" hidden="1" customHeight="1" x14ac:dyDescent="0.25">
      <c r="A126" s="4" t="s">
        <v>436</v>
      </c>
      <c r="B126" s="4" t="s">
        <v>437</v>
      </c>
      <c r="C126" s="4" t="s">
        <v>438</v>
      </c>
      <c r="D126" s="21" t="s">
        <v>6089</v>
      </c>
      <c r="E126" s="4" t="s">
        <v>51</v>
      </c>
      <c r="F126" s="4" t="s">
        <v>27</v>
      </c>
      <c r="G126" s="4" t="s">
        <v>28</v>
      </c>
      <c r="H126" s="4" t="s">
        <v>39</v>
      </c>
      <c r="I126" s="5">
        <v>45414</v>
      </c>
      <c r="J126" s="4" t="s">
        <v>40</v>
      </c>
      <c r="K126" s="5">
        <v>45453</v>
      </c>
      <c r="L126" s="4" t="s">
        <v>31</v>
      </c>
      <c r="M126" s="6">
        <v>35614</v>
      </c>
      <c r="N126" s="6">
        <v>8117</v>
      </c>
      <c r="O126" s="4" t="s">
        <v>32</v>
      </c>
      <c r="P126" s="4" t="s">
        <v>32</v>
      </c>
      <c r="Q126" s="4" t="s">
        <v>94</v>
      </c>
      <c r="R126" s="4" t="s">
        <v>33</v>
      </c>
      <c r="S126" s="4" t="s">
        <v>60</v>
      </c>
      <c r="T126" s="7">
        <v>4.3875999999999999</v>
      </c>
      <c r="U126" s="8">
        <v>39</v>
      </c>
      <c r="V126" s="8">
        <v>2024</v>
      </c>
      <c r="W126" s="4" t="s">
        <v>67</v>
      </c>
    </row>
    <row r="127" spans="1:23" s="9" customFormat="1" ht="15.75" hidden="1" customHeight="1" x14ac:dyDescent="0.25">
      <c r="A127" s="10" t="s">
        <v>439</v>
      </c>
      <c r="B127" s="10" t="s">
        <v>440</v>
      </c>
      <c r="C127" s="10" t="s">
        <v>441</v>
      </c>
      <c r="D127" s="22" t="s">
        <v>6090</v>
      </c>
      <c r="E127" s="10" t="s">
        <v>87</v>
      </c>
      <c r="F127" s="10" t="s">
        <v>71</v>
      </c>
      <c r="G127" s="10" t="s">
        <v>57</v>
      </c>
      <c r="H127" s="10" t="s">
        <v>39</v>
      </c>
      <c r="I127" s="11">
        <v>45096</v>
      </c>
      <c r="J127" s="10" t="s">
        <v>40</v>
      </c>
      <c r="K127" s="11">
        <v>45460</v>
      </c>
      <c r="L127" s="10" t="s">
        <v>59</v>
      </c>
      <c r="M127" s="12">
        <v>38042</v>
      </c>
      <c r="N127" s="12">
        <v>2592</v>
      </c>
      <c r="O127" s="10">
        <v>12</v>
      </c>
      <c r="P127" s="11">
        <v>45472</v>
      </c>
      <c r="Q127" s="10" t="s">
        <v>94</v>
      </c>
      <c r="R127" s="10" t="s">
        <v>33</v>
      </c>
      <c r="S127" s="10" t="s">
        <v>60</v>
      </c>
      <c r="T127" s="13">
        <v>14.6767</v>
      </c>
      <c r="U127" s="14">
        <v>364</v>
      </c>
      <c r="V127" s="14">
        <v>2024</v>
      </c>
      <c r="W127" s="10" t="s">
        <v>67</v>
      </c>
    </row>
    <row r="128" spans="1:23" s="9" customFormat="1" ht="15.75" hidden="1" customHeight="1" x14ac:dyDescent="0.25">
      <c r="A128" s="4" t="s">
        <v>442</v>
      </c>
      <c r="B128" s="4" t="s">
        <v>443</v>
      </c>
      <c r="C128" s="4" t="s">
        <v>444</v>
      </c>
      <c r="D128" s="21" t="s">
        <v>6089</v>
      </c>
      <c r="E128" s="4" t="s">
        <v>26</v>
      </c>
      <c r="F128" s="4" t="s">
        <v>46</v>
      </c>
      <c r="G128" s="4" t="s">
        <v>5</v>
      </c>
      <c r="H128" s="4" t="s">
        <v>93</v>
      </c>
      <c r="I128" s="5">
        <v>45051</v>
      </c>
      <c r="J128" s="4" t="s">
        <v>30</v>
      </c>
      <c r="K128" s="5">
        <v>45366</v>
      </c>
      <c r="L128" s="4" t="s">
        <v>59</v>
      </c>
      <c r="M128" s="6">
        <v>29102</v>
      </c>
      <c r="N128" s="6">
        <v>1965</v>
      </c>
      <c r="O128" s="4">
        <v>10</v>
      </c>
      <c r="P128" s="5">
        <v>45376</v>
      </c>
      <c r="Q128" s="4" t="s">
        <v>94</v>
      </c>
      <c r="R128" s="4" t="s">
        <v>94</v>
      </c>
      <c r="S128" s="4" t="s">
        <v>41</v>
      </c>
      <c r="T128" s="7">
        <v>14.8102</v>
      </c>
      <c r="U128" s="8">
        <v>315</v>
      </c>
      <c r="V128" s="8">
        <v>2024</v>
      </c>
      <c r="W128" s="4" t="s">
        <v>77</v>
      </c>
    </row>
    <row r="129" spans="1:23" s="9" customFormat="1" ht="15.75" hidden="1" customHeight="1" x14ac:dyDescent="0.25">
      <c r="A129" s="10" t="s">
        <v>445</v>
      </c>
      <c r="B129" s="10" t="s">
        <v>446</v>
      </c>
      <c r="C129" s="10" t="s">
        <v>447</v>
      </c>
      <c r="D129" s="21" t="s">
        <v>6089</v>
      </c>
      <c r="E129" s="10" t="s">
        <v>51</v>
      </c>
      <c r="F129" s="21" t="s">
        <v>6092</v>
      </c>
      <c r="G129" s="10" t="s">
        <v>5</v>
      </c>
      <c r="H129" s="10" t="s">
        <v>88</v>
      </c>
      <c r="I129" s="11">
        <v>45418</v>
      </c>
      <c r="J129" s="10" t="s">
        <v>40</v>
      </c>
      <c r="K129" s="11">
        <v>45627</v>
      </c>
      <c r="L129" s="10" t="s">
        <v>59</v>
      </c>
      <c r="M129" s="12">
        <v>33366</v>
      </c>
      <c r="N129" s="12">
        <v>5582</v>
      </c>
      <c r="O129" s="10">
        <v>9</v>
      </c>
      <c r="P129" s="11">
        <v>45636</v>
      </c>
      <c r="Q129" s="10" t="s">
        <v>33</v>
      </c>
      <c r="R129" s="10" t="s">
        <v>33</v>
      </c>
      <c r="S129" s="10" t="s">
        <v>60</v>
      </c>
      <c r="T129" s="13">
        <v>5.9774000000000003</v>
      </c>
      <c r="U129" s="14">
        <v>209</v>
      </c>
      <c r="V129" s="14">
        <v>2024</v>
      </c>
      <c r="W129" s="10" t="s">
        <v>89</v>
      </c>
    </row>
    <row r="130" spans="1:23" s="9" customFormat="1" ht="15.75" hidden="1" customHeight="1" x14ac:dyDescent="0.25">
      <c r="A130" s="4" t="s">
        <v>448</v>
      </c>
      <c r="B130" s="4" t="s">
        <v>449</v>
      </c>
      <c r="C130" s="4" t="s">
        <v>450</v>
      </c>
      <c r="D130" s="22" t="s">
        <v>6090</v>
      </c>
      <c r="E130" s="4" t="s">
        <v>51</v>
      </c>
      <c r="F130" s="4" t="s">
        <v>56</v>
      </c>
      <c r="G130" s="4" t="s">
        <v>28</v>
      </c>
      <c r="H130" s="4" t="s">
        <v>29</v>
      </c>
      <c r="I130" s="5">
        <v>45341</v>
      </c>
      <c r="J130" s="4" t="s">
        <v>40</v>
      </c>
      <c r="K130" s="5">
        <v>45623</v>
      </c>
      <c r="L130" s="4" t="s">
        <v>31</v>
      </c>
      <c r="M130" s="6">
        <v>31137</v>
      </c>
      <c r="N130" s="6">
        <v>1452</v>
      </c>
      <c r="O130" s="4" t="s">
        <v>32</v>
      </c>
      <c r="P130" s="4" t="s">
        <v>32</v>
      </c>
      <c r="Q130" s="4" t="s">
        <v>33</v>
      </c>
      <c r="R130" s="4" t="s">
        <v>33</v>
      </c>
      <c r="S130" s="4" t="s">
        <v>34</v>
      </c>
      <c r="T130" s="7">
        <v>21.444199999999999</v>
      </c>
      <c r="U130" s="8">
        <v>282</v>
      </c>
      <c r="V130" s="8">
        <v>2024</v>
      </c>
      <c r="W130" s="4" t="s">
        <v>61</v>
      </c>
    </row>
    <row r="131" spans="1:23" s="9" customFormat="1" ht="15.75" hidden="1" customHeight="1" x14ac:dyDescent="0.25">
      <c r="A131" s="10" t="s">
        <v>451</v>
      </c>
      <c r="B131" s="10" t="s">
        <v>452</v>
      </c>
      <c r="C131" s="10" t="s">
        <v>453</v>
      </c>
      <c r="D131" s="22" t="s">
        <v>6090</v>
      </c>
      <c r="E131" s="10" t="s">
        <v>26</v>
      </c>
      <c r="F131" s="10" t="s">
        <v>71</v>
      </c>
      <c r="G131" s="10" t="s">
        <v>57</v>
      </c>
      <c r="H131" s="10" t="s">
        <v>93</v>
      </c>
      <c r="I131" s="11">
        <v>45293</v>
      </c>
      <c r="J131" s="10" t="s">
        <v>30</v>
      </c>
      <c r="K131" s="11">
        <v>45540</v>
      </c>
      <c r="L131" s="10" t="s">
        <v>59</v>
      </c>
      <c r="M131" s="12">
        <v>45960</v>
      </c>
      <c r="N131" s="12">
        <v>6334</v>
      </c>
      <c r="O131" s="10">
        <v>13</v>
      </c>
      <c r="P131" s="11">
        <v>45553</v>
      </c>
      <c r="Q131" s="10" t="s">
        <v>33</v>
      </c>
      <c r="R131" s="10" t="s">
        <v>33</v>
      </c>
      <c r="S131" s="10" t="s">
        <v>60</v>
      </c>
      <c r="T131" s="13">
        <v>7.2561</v>
      </c>
      <c r="U131" s="14">
        <v>247</v>
      </c>
      <c r="V131" s="14">
        <v>2024</v>
      </c>
      <c r="W131" s="10" t="s">
        <v>168</v>
      </c>
    </row>
    <row r="132" spans="1:23" s="9" customFormat="1" ht="15.75" hidden="1" customHeight="1" x14ac:dyDescent="0.25">
      <c r="A132" s="4" t="s">
        <v>454</v>
      </c>
      <c r="B132" s="4" t="s">
        <v>455</v>
      </c>
      <c r="C132" s="4" t="s">
        <v>456</v>
      </c>
      <c r="D132" s="22" t="s">
        <v>6087</v>
      </c>
      <c r="E132" s="4" t="s">
        <v>51</v>
      </c>
      <c r="F132" s="4" t="s">
        <v>65</v>
      </c>
      <c r="G132" s="4" t="s">
        <v>57</v>
      </c>
      <c r="H132" s="4" t="s">
        <v>88</v>
      </c>
      <c r="I132" s="5">
        <v>45083</v>
      </c>
      <c r="J132" s="4" t="s">
        <v>40</v>
      </c>
      <c r="K132" s="5">
        <v>45440</v>
      </c>
      <c r="L132" s="4" t="s">
        <v>59</v>
      </c>
      <c r="M132" s="6">
        <v>12072</v>
      </c>
      <c r="N132" s="6">
        <v>5187</v>
      </c>
      <c r="O132" s="4">
        <v>20</v>
      </c>
      <c r="P132" s="5">
        <v>45460</v>
      </c>
      <c r="Q132" s="4" t="s">
        <v>33</v>
      </c>
      <c r="R132" s="4" t="s">
        <v>33</v>
      </c>
      <c r="S132" s="4" t="s">
        <v>34</v>
      </c>
      <c r="T132" s="7">
        <v>2.3273999999999999</v>
      </c>
      <c r="U132" s="8">
        <v>357</v>
      </c>
      <c r="V132" s="8">
        <v>2024</v>
      </c>
      <c r="W132" s="4" t="s">
        <v>52</v>
      </c>
    </row>
    <row r="133" spans="1:23" s="9" customFormat="1" ht="15.75" hidden="1" customHeight="1" x14ac:dyDescent="0.25">
      <c r="A133" s="10" t="s">
        <v>457</v>
      </c>
      <c r="B133" s="10" t="s">
        <v>458</v>
      </c>
      <c r="C133" s="10" t="s">
        <v>459</v>
      </c>
      <c r="D133" s="22" t="s">
        <v>6087</v>
      </c>
      <c r="E133" s="10" t="s">
        <v>87</v>
      </c>
      <c r="F133" s="10" t="s">
        <v>27</v>
      </c>
      <c r="G133" s="10" t="s">
        <v>28</v>
      </c>
      <c r="H133" s="10" t="s">
        <v>93</v>
      </c>
      <c r="I133" s="11">
        <v>45326</v>
      </c>
      <c r="J133" s="10" t="s">
        <v>40</v>
      </c>
      <c r="K133" s="11">
        <v>45606</v>
      </c>
      <c r="L133" s="10" t="s">
        <v>59</v>
      </c>
      <c r="M133" s="12">
        <v>18352</v>
      </c>
      <c r="N133" s="12">
        <v>3119</v>
      </c>
      <c r="O133" s="10">
        <v>26</v>
      </c>
      <c r="P133" s="11">
        <v>45632</v>
      </c>
      <c r="Q133" s="10" t="s">
        <v>33</v>
      </c>
      <c r="R133" s="10" t="s">
        <v>33</v>
      </c>
      <c r="S133" s="10" t="s">
        <v>34</v>
      </c>
      <c r="T133" s="13">
        <v>5.8838999999999997</v>
      </c>
      <c r="U133" s="14">
        <v>280</v>
      </c>
      <c r="V133" s="14">
        <v>2024</v>
      </c>
      <c r="W133" s="10" t="s">
        <v>61</v>
      </c>
    </row>
    <row r="134" spans="1:23" s="9" customFormat="1" ht="15.75" hidden="1" customHeight="1" x14ac:dyDescent="0.25">
      <c r="A134" s="4" t="s">
        <v>460</v>
      </c>
      <c r="B134" s="4" t="s">
        <v>461</v>
      </c>
      <c r="C134" s="4" t="s">
        <v>462</v>
      </c>
      <c r="D134" s="21" t="s">
        <v>6086</v>
      </c>
      <c r="E134" s="4" t="s">
        <v>26</v>
      </c>
      <c r="F134" s="21" t="s">
        <v>6092</v>
      </c>
      <c r="G134" s="4" t="s">
        <v>5</v>
      </c>
      <c r="H134" s="4" t="s">
        <v>88</v>
      </c>
      <c r="I134" s="5">
        <v>45328</v>
      </c>
      <c r="J134" s="4" t="s">
        <v>30</v>
      </c>
      <c r="K134" s="5">
        <v>45513</v>
      </c>
      <c r="L134" s="4" t="s">
        <v>59</v>
      </c>
      <c r="M134" s="6">
        <v>38170</v>
      </c>
      <c r="N134" s="6">
        <v>3995</v>
      </c>
      <c r="O134" s="4">
        <v>6</v>
      </c>
      <c r="P134" s="5">
        <v>45519</v>
      </c>
      <c r="Q134" s="4" t="s">
        <v>33</v>
      </c>
      <c r="R134" s="4" t="s">
        <v>33</v>
      </c>
      <c r="S134" s="4" t="s">
        <v>34</v>
      </c>
      <c r="T134" s="7">
        <v>9.5543999999999993</v>
      </c>
      <c r="U134" s="8">
        <v>185</v>
      </c>
      <c r="V134" s="8">
        <v>2024</v>
      </c>
      <c r="W134" s="4" t="s">
        <v>114</v>
      </c>
    </row>
    <row r="135" spans="1:23" s="9" customFormat="1" ht="15.75" hidden="1" customHeight="1" x14ac:dyDescent="0.25">
      <c r="A135" s="10" t="s">
        <v>463</v>
      </c>
      <c r="B135" s="10" t="s">
        <v>464</v>
      </c>
      <c r="C135" s="10" t="s">
        <v>465</v>
      </c>
      <c r="D135" s="22" t="s">
        <v>6090</v>
      </c>
      <c r="E135" s="10" t="s">
        <v>26</v>
      </c>
      <c r="F135" s="10" t="s">
        <v>27</v>
      </c>
      <c r="G135" s="10" t="s">
        <v>5</v>
      </c>
      <c r="H135" s="10" t="s">
        <v>29</v>
      </c>
      <c r="I135" s="11">
        <v>45351</v>
      </c>
      <c r="J135" s="10" t="s">
        <v>40</v>
      </c>
      <c r="K135" s="11">
        <v>45455</v>
      </c>
      <c r="L135" s="10" t="s">
        <v>59</v>
      </c>
      <c r="M135" s="12">
        <v>27939</v>
      </c>
      <c r="N135" s="12">
        <v>3068</v>
      </c>
      <c r="O135" s="10">
        <v>12</v>
      </c>
      <c r="P135" s="11">
        <v>45467</v>
      </c>
      <c r="Q135" s="10" t="s">
        <v>33</v>
      </c>
      <c r="R135" s="10" t="s">
        <v>33</v>
      </c>
      <c r="S135" s="10" t="s">
        <v>41</v>
      </c>
      <c r="T135" s="13">
        <v>9.1066000000000003</v>
      </c>
      <c r="U135" s="14">
        <v>104</v>
      </c>
      <c r="V135" s="14">
        <v>2024</v>
      </c>
      <c r="W135" s="10" t="s">
        <v>67</v>
      </c>
    </row>
    <row r="136" spans="1:23" s="9" customFormat="1" ht="15.75" hidden="1" customHeight="1" x14ac:dyDescent="0.25">
      <c r="A136" s="4" t="s">
        <v>466</v>
      </c>
      <c r="B136" s="4" t="s">
        <v>467</v>
      </c>
      <c r="C136" s="4" t="s">
        <v>468</v>
      </c>
      <c r="D136" s="22" t="s">
        <v>6087</v>
      </c>
      <c r="E136" s="4" t="s">
        <v>51</v>
      </c>
      <c r="F136" s="4" t="s">
        <v>46</v>
      </c>
      <c r="G136" s="4" t="s">
        <v>28</v>
      </c>
      <c r="H136" s="4" t="s">
        <v>72</v>
      </c>
      <c r="I136" s="5">
        <v>45406</v>
      </c>
      <c r="J136" s="4" t="s">
        <v>30</v>
      </c>
      <c r="K136" s="5">
        <v>45551</v>
      </c>
      <c r="L136" s="4" t="s">
        <v>31</v>
      </c>
      <c r="M136" s="6">
        <v>35749</v>
      </c>
      <c r="N136" s="6">
        <v>3292</v>
      </c>
      <c r="O136" s="4" t="s">
        <v>32</v>
      </c>
      <c r="P136" s="4" t="s">
        <v>32</v>
      </c>
      <c r="Q136" s="4" t="s">
        <v>33</v>
      </c>
      <c r="R136" s="4" t="s">
        <v>33</v>
      </c>
      <c r="S136" s="4" t="s">
        <v>41</v>
      </c>
      <c r="T136" s="7">
        <v>10.859400000000001</v>
      </c>
      <c r="U136" s="8">
        <v>145</v>
      </c>
      <c r="V136" s="8">
        <v>2024</v>
      </c>
      <c r="W136" s="4" t="s">
        <v>168</v>
      </c>
    </row>
    <row r="137" spans="1:23" s="9" customFormat="1" ht="13.5" hidden="1" customHeight="1" x14ac:dyDescent="0.25">
      <c r="A137" s="10" t="s">
        <v>469</v>
      </c>
      <c r="B137" s="10" t="s">
        <v>470</v>
      </c>
      <c r="C137" s="10" t="s">
        <v>471</v>
      </c>
      <c r="D137" s="21" t="s">
        <v>6086</v>
      </c>
      <c r="E137" s="10" t="s">
        <v>87</v>
      </c>
      <c r="F137" s="10" t="s">
        <v>27</v>
      </c>
      <c r="G137" s="10" t="s">
        <v>28</v>
      </c>
      <c r="H137" s="10" t="s">
        <v>93</v>
      </c>
      <c r="I137" s="11">
        <v>45262</v>
      </c>
      <c r="J137" s="10" t="s">
        <v>30</v>
      </c>
      <c r="K137" s="11">
        <v>45516</v>
      </c>
      <c r="L137" s="10" t="s">
        <v>59</v>
      </c>
      <c r="M137" s="12">
        <v>23565</v>
      </c>
      <c r="N137" s="12">
        <v>2078</v>
      </c>
      <c r="O137" s="10">
        <v>18</v>
      </c>
      <c r="P137" s="11">
        <v>45534</v>
      </c>
      <c r="Q137" s="10" t="s">
        <v>94</v>
      </c>
      <c r="R137" s="10" t="s">
        <v>94</v>
      </c>
      <c r="S137" s="10" t="s">
        <v>34</v>
      </c>
      <c r="T137" s="13">
        <v>11.340199999999999</v>
      </c>
      <c r="U137" s="14">
        <v>254</v>
      </c>
      <c r="V137" s="14">
        <v>2024</v>
      </c>
      <c r="W137" s="10" t="s">
        <v>114</v>
      </c>
    </row>
    <row r="138" spans="1:23" s="9" customFormat="1" ht="27.75" customHeight="1" x14ac:dyDescent="0.25">
      <c r="A138" s="4" t="s">
        <v>472</v>
      </c>
      <c r="B138" s="4" t="s">
        <v>473</v>
      </c>
      <c r="C138" s="4" t="s">
        <v>474</v>
      </c>
      <c r="D138" s="22" t="s">
        <v>6090</v>
      </c>
      <c r="E138" s="4" t="s">
        <v>51</v>
      </c>
      <c r="F138" s="10" t="s">
        <v>6092</v>
      </c>
      <c r="G138" s="4" t="s">
        <v>5</v>
      </c>
      <c r="H138" s="4" t="s">
        <v>39</v>
      </c>
      <c r="I138" s="5">
        <v>45424</v>
      </c>
      <c r="J138" s="4" t="s">
        <v>30</v>
      </c>
      <c r="K138" s="5">
        <v>45539</v>
      </c>
      <c r="L138" s="4" t="s">
        <v>59</v>
      </c>
      <c r="M138" s="6">
        <v>3288</v>
      </c>
      <c r="N138" s="6">
        <v>4309</v>
      </c>
      <c r="O138" s="4">
        <v>26</v>
      </c>
      <c r="P138" s="5">
        <v>45565</v>
      </c>
      <c r="Q138" s="4" t="s">
        <v>94</v>
      </c>
      <c r="R138" s="4" t="s">
        <v>94</v>
      </c>
      <c r="S138" s="4" t="s">
        <v>60</v>
      </c>
      <c r="T138" s="7">
        <v>0.7631</v>
      </c>
      <c r="U138" s="8">
        <v>115</v>
      </c>
      <c r="V138" s="8">
        <v>2024</v>
      </c>
      <c r="W138" s="4" t="s">
        <v>168</v>
      </c>
    </row>
    <row r="139" spans="1:23" s="9" customFormat="1" ht="15.75" hidden="1" customHeight="1" x14ac:dyDescent="0.25">
      <c r="A139" s="10" t="s">
        <v>475</v>
      </c>
      <c r="B139" s="10" t="s">
        <v>476</v>
      </c>
      <c r="C139" s="10" t="s">
        <v>477</v>
      </c>
      <c r="D139" s="21" t="s">
        <v>6086</v>
      </c>
      <c r="E139" s="10" t="s">
        <v>51</v>
      </c>
      <c r="F139" s="10" t="s">
        <v>71</v>
      </c>
      <c r="G139" s="10" t="s">
        <v>28</v>
      </c>
      <c r="H139" s="10" t="s">
        <v>58</v>
      </c>
      <c r="I139" s="11">
        <v>45217</v>
      </c>
      <c r="J139" s="10" t="s">
        <v>40</v>
      </c>
      <c r="K139" s="11">
        <v>45457</v>
      </c>
      <c r="L139" s="10" t="s">
        <v>31</v>
      </c>
      <c r="M139" s="12">
        <v>97703</v>
      </c>
      <c r="N139" s="12">
        <v>3469</v>
      </c>
      <c r="O139" s="10" t="s">
        <v>32</v>
      </c>
      <c r="P139" s="10" t="s">
        <v>32</v>
      </c>
      <c r="Q139" s="10" t="s">
        <v>94</v>
      </c>
      <c r="R139" s="10" t="s">
        <v>33</v>
      </c>
      <c r="S139" s="10" t="s">
        <v>34</v>
      </c>
      <c r="T139" s="13">
        <v>28.1646</v>
      </c>
      <c r="U139" s="14">
        <v>240</v>
      </c>
      <c r="V139" s="14">
        <v>2024</v>
      </c>
      <c r="W139" s="10" t="s">
        <v>67</v>
      </c>
    </row>
    <row r="140" spans="1:23" s="9" customFormat="1" ht="15.75" hidden="1" customHeight="1" x14ac:dyDescent="0.25">
      <c r="A140" s="4" t="s">
        <v>478</v>
      </c>
      <c r="B140" s="4" t="s">
        <v>479</v>
      </c>
      <c r="C140" s="4" t="s">
        <v>480</v>
      </c>
      <c r="D140" s="21" t="s">
        <v>6089</v>
      </c>
      <c r="E140" s="4" t="s">
        <v>51</v>
      </c>
      <c r="F140" s="4" t="s">
        <v>71</v>
      </c>
      <c r="G140" s="4" t="s">
        <v>28</v>
      </c>
      <c r="H140" s="4" t="s">
        <v>72</v>
      </c>
      <c r="I140" s="5">
        <v>45233</v>
      </c>
      <c r="J140" s="4" t="s">
        <v>30</v>
      </c>
      <c r="K140" s="5">
        <v>45332</v>
      </c>
      <c r="L140" s="4" t="s">
        <v>59</v>
      </c>
      <c r="M140" s="6">
        <v>51255</v>
      </c>
      <c r="N140" s="6">
        <v>1330</v>
      </c>
      <c r="O140" s="4">
        <v>18</v>
      </c>
      <c r="P140" s="5">
        <v>45350</v>
      </c>
      <c r="Q140" s="4" t="s">
        <v>33</v>
      </c>
      <c r="R140" s="4" t="s">
        <v>33</v>
      </c>
      <c r="S140" s="4" t="s">
        <v>34</v>
      </c>
      <c r="T140" s="7">
        <v>38.537599999999998</v>
      </c>
      <c r="U140" s="8">
        <v>99</v>
      </c>
      <c r="V140" s="8">
        <v>2024</v>
      </c>
      <c r="W140" s="4" t="s">
        <v>35</v>
      </c>
    </row>
    <row r="141" spans="1:23" s="9" customFormat="1" ht="15.75" hidden="1" customHeight="1" x14ac:dyDescent="0.25">
      <c r="A141" s="10" t="s">
        <v>481</v>
      </c>
      <c r="B141" s="10" t="s">
        <v>482</v>
      </c>
      <c r="C141" s="10" t="s">
        <v>483</v>
      </c>
      <c r="D141" s="21" t="s">
        <v>6088</v>
      </c>
      <c r="E141" s="10" t="s">
        <v>51</v>
      </c>
      <c r="F141" s="10" t="s">
        <v>71</v>
      </c>
      <c r="G141" s="10" t="s">
        <v>5</v>
      </c>
      <c r="H141" s="10" t="s">
        <v>39</v>
      </c>
      <c r="I141" s="11">
        <v>45070</v>
      </c>
      <c r="J141" s="10" t="s">
        <v>40</v>
      </c>
      <c r="K141" s="11">
        <v>45382</v>
      </c>
      <c r="L141" s="10" t="s">
        <v>59</v>
      </c>
      <c r="M141" s="12">
        <v>22439</v>
      </c>
      <c r="N141" s="12">
        <v>1228</v>
      </c>
      <c r="O141" s="10">
        <v>3</v>
      </c>
      <c r="P141" s="11">
        <v>45385</v>
      </c>
      <c r="Q141" s="10" t="s">
        <v>94</v>
      </c>
      <c r="R141" s="10" t="s">
        <v>94</v>
      </c>
      <c r="S141" s="10" t="s">
        <v>60</v>
      </c>
      <c r="T141" s="13">
        <v>18.2728</v>
      </c>
      <c r="U141" s="14">
        <v>312</v>
      </c>
      <c r="V141" s="14">
        <v>2024</v>
      </c>
      <c r="W141" s="10" t="s">
        <v>77</v>
      </c>
    </row>
    <row r="142" spans="1:23" s="9" customFormat="1" ht="15.75" hidden="1" customHeight="1" x14ac:dyDescent="0.25">
      <c r="A142" s="4" t="s">
        <v>484</v>
      </c>
      <c r="B142" s="4" t="s">
        <v>485</v>
      </c>
      <c r="C142" s="4" t="s">
        <v>486</v>
      </c>
      <c r="D142" s="22" t="s">
        <v>6087</v>
      </c>
      <c r="E142" s="4" t="s">
        <v>87</v>
      </c>
      <c r="F142" s="4" t="s">
        <v>65</v>
      </c>
      <c r="G142" s="4" t="s">
        <v>57</v>
      </c>
      <c r="H142" s="4" t="s">
        <v>72</v>
      </c>
      <c r="I142" s="5">
        <v>45227</v>
      </c>
      <c r="J142" s="4" t="s">
        <v>40</v>
      </c>
      <c r="K142" s="5">
        <v>45562</v>
      </c>
      <c r="L142" s="4" t="s">
        <v>59</v>
      </c>
      <c r="M142" s="6">
        <v>38715</v>
      </c>
      <c r="N142" s="6">
        <v>5885</v>
      </c>
      <c r="O142" s="4">
        <v>23</v>
      </c>
      <c r="P142" s="5">
        <v>45585</v>
      </c>
      <c r="Q142" s="4" t="s">
        <v>33</v>
      </c>
      <c r="R142" s="4" t="s">
        <v>33</v>
      </c>
      <c r="S142" s="4" t="s">
        <v>34</v>
      </c>
      <c r="T142" s="7">
        <v>6.5785999999999998</v>
      </c>
      <c r="U142" s="8">
        <v>335</v>
      </c>
      <c r="V142" s="8">
        <v>2024</v>
      </c>
      <c r="W142" s="4" t="s">
        <v>168</v>
      </c>
    </row>
    <row r="143" spans="1:23" s="9" customFormat="1" ht="15.75" hidden="1" customHeight="1" x14ac:dyDescent="0.25">
      <c r="A143" s="10" t="s">
        <v>487</v>
      </c>
      <c r="B143" s="10" t="s">
        <v>488</v>
      </c>
      <c r="C143" s="10" t="s">
        <v>489</v>
      </c>
      <c r="D143" s="22" t="s">
        <v>6087</v>
      </c>
      <c r="E143" s="10" t="s">
        <v>26</v>
      </c>
      <c r="F143" s="10" t="s">
        <v>56</v>
      </c>
      <c r="G143" s="10" t="s">
        <v>57</v>
      </c>
      <c r="H143" s="10" t="s">
        <v>39</v>
      </c>
      <c r="I143" s="11">
        <v>45091</v>
      </c>
      <c r="J143" s="10" t="s">
        <v>30</v>
      </c>
      <c r="K143" s="11">
        <v>45396</v>
      </c>
      <c r="L143" s="10" t="s">
        <v>59</v>
      </c>
      <c r="M143" s="12">
        <v>21012</v>
      </c>
      <c r="N143" s="12">
        <v>2894</v>
      </c>
      <c r="O143" s="10">
        <v>17</v>
      </c>
      <c r="P143" s="11">
        <v>45413</v>
      </c>
      <c r="Q143" s="10" t="s">
        <v>94</v>
      </c>
      <c r="R143" s="10" t="s">
        <v>33</v>
      </c>
      <c r="S143" s="10" t="s">
        <v>34</v>
      </c>
      <c r="T143" s="13">
        <v>7.2605000000000004</v>
      </c>
      <c r="U143" s="14">
        <v>305</v>
      </c>
      <c r="V143" s="14">
        <v>2024</v>
      </c>
      <c r="W143" s="10" t="s">
        <v>47</v>
      </c>
    </row>
    <row r="144" spans="1:23" s="9" customFormat="1" ht="15.75" hidden="1" customHeight="1" x14ac:dyDescent="0.25">
      <c r="A144" s="4" t="s">
        <v>490</v>
      </c>
      <c r="B144" s="4" t="s">
        <v>491</v>
      </c>
      <c r="C144" s="4" t="s">
        <v>492</v>
      </c>
      <c r="D144" s="22" t="s">
        <v>6090</v>
      </c>
      <c r="E144" s="4" t="s">
        <v>51</v>
      </c>
      <c r="F144" s="21" t="s">
        <v>6092</v>
      </c>
      <c r="G144" s="4" t="s">
        <v>57</v>
      </c>
      <c r="H144" s="4" t="s">
        <v>29</v>
      </c>
      <c r="I144" s="5">
        <v>45427</v>
      </c>
      <c r="J144" s="4" t="s">
        <v>40</v>
      </c>
      <c r="K144" s="5">
        <v>45629</v>
      </c>
      <c r="L144" s="4" t="s">
        <v>59</v>
      </c>
      <c r="M144" s="6">
        <v>34478</v>
      </c>
      <c r="N144" s="6">
        <v>4909</v>
      </c>
      <c r="O144" s="4">
        <v>4</v>
      </c>
      <c r="P144" s="5">
        <v>45633</v>
      </c>
      <c r="Q144" s="4" t="s">
        <v>33</v>
      </c>
      <c r="R144" s="4" t="s">
        <v>33</v>
      </c>
      <c r="S144" s="4" t="s">
        <v>34</v>
      </c>
      <c r="T144" s="7">
        <v>7.0233999999999996</v>
      </c>
      <c r="U144" s="8">
        <v>202</v>
      </c>
      <c r="V144" s="8">
        <v>2024</v>
      </c>
      <c r="W144" s="4" t="s">
        <v>89</v>
      </c>
    </row>
    <row r="145" spans="1:23" s="9" customFormat="1" ht="15.75" hidden="1" customHeight="1" x14ac:dyDescent="0.25">
      <c r="A145" s="10" t="s">
        <v>493</v>
      </c>
      <c r="B145" s="10" t="s">
        <v>494</v>
      </c>
      <c r="C145" s="10" t="s">
        <v>495</v>
      </c>
      <c r="D145" s="21" t="s">
        <v>6086</v>
      </c>
      <c r="E145" s="10" t="s">
        <v>26</v>
      </c>
      <c r="F145" s="10" t="s">
        <v>71</v>
      </c>
      <c r="G145" s="10" t="s">
        <v>28</v>
      </c>
      <c r="H145" s="10" t="s">
        <v>58</v>
      </c>
      <c r="I145" s="11">
        <v>45467</v>
      </c>
      <c r="J145" s="10" t="s">
        <v>30</v>
      </c>
      <c r="K145" s="11">
        <v>45537</v>
      </c>
      <c r="L145" s="10" t="s">
        <v>59</v>
      </c>
      <c r="M145" s="12">
        <v>97773</v>
      </c>
      <c r="N145" s="12">
        <v>2187</v>
      </c>
      <c r="O145" s="10">
        <v>38</v>
      </c>
      <c r="P145" s="11">
        <v>45575</v>
      </c>
      <c r="Q145" s="10" t="s">
        <v>33</v>
      </c>
      <c r="R145" s="10" t="s">
        <v>33</v>
      </c>
      <c r="S145" s="10" t="s">
        <v>41</v>
      </c>
      <c r="T145" s="13">
        <v>44.706400000000002</v>
      </c>
      <c r="U145" s="14">
        <v>70</v>
      </c>
      <c r="V145" s="14">
        <v>2024</v>
      </c>
      <c r="W145" s="10" t="s">
        <v>168</v>
      </c>
    </row>
    <row r="146" spans="1:23" s="9" customFormat="1" ht="15.75" hidden="1" customHeight="1" x14ac:dyDescent="0.25">
      <c r="A146" s="4" t="s">
        <v>496</v>
      </c>
      <c r="B146" s="4" t="s">
        <v>497</v>
      </c>
      <c r="C146" s="4" t="s">
        <v>498</v>
      </c>
      <c r="D146" s="22" t="s">
        <v>6087</v>
      </c>
      <c r="E146" s="4" t="s">
        <v>87</v>
      </c>
      <c r="F146" s="4" t="s">
        <v>27</v>
      </c>
      <c r="G146" s="4" t="s">
        <v>57</v>
      </c>
      <c r="H146" s="4" t="s">
        <v>93</v>
      </c>
      <c r="I146" s="5">
        <v>45114</v>
      </c>
      <c r="J146" s="4" t="s">
        <v>40</v>
      </c>
      <c r="K146" s="5">
        <v>45475</v>
      </c>
      <c r="L146" s="4" t="s">
        <v>31</v>
      </c>
      <c r="M146" s="6">
        <v>15249</v>
      </c>
      <c r="N146" s="6">
        <v>1674</v>
      </c>
      <c r="O146" s="4" t="s">
        <v>32</v>
      </c>
      <c r="P146" s="4" t="s">
        <v>32</v>
      </c>
      <c r="Q146" s="4" t="s">
        <v>33</v>
      </c>
      <c r="R146" s="4" t="s">
        <v>33</v>
      </c>
      <c r="S146" s="4" t="s">
        <v>34</v>
      </c>
      <c r="T146" s="7">
        <v>9.1092999999999993</v>
      </c>
      <c r="U146" s="8">
        <v>361</v>
      </c>
      <c r="V146" s="8">
        <v>2024</v>
      </c>
      <c r="W146" s="4" t="s">
        <v>42</v>
      </c>
    </row>
    <row r="147" spans="1:23" s="9" customFormat="1" ht="15.75" hidden="1" customHeight="1" x14ac:dyDescent="0.25">
      <c r="A147" s="10" t="s">
        <v>499</v>
      </c>
      <c r="B147" s="10" t="s">
        <v>500</v>
      </c>
      <c r="C147" s="10" t="s">
        <v>501</v>
      </c>
      <c r="D147" s="22" t="s">
        <v>6087</v>
      </c>
      <c r="E147" s="10" t="s">
        <v>26</v>
      </c>
      <c r="F147" s="10" t="s">
        <v>56</v>
      </c>
      <c r="G147" s="10" t="s">
        <v>5</v>
      </c>
      <c r="H147" s="10" t="s">
        <v>118</v>
      </c>
      <c r="I147" s="11">
        <v>45185</v>
      </c>
      <c r="J147" s="10" t="s">
        <v>40</v>
      </c>
      <c r="K147" s="11">
        <v>45375</v>
      </c>
      <c r="L147" s="10" t="s">
        <v>59</v>
      </c>
      <c r="M147" s="12">
        <v>20659</v>
      </c>
      <c r="N147" s="12">
        <v>6167</v>
      </c>
      <c r="O147" s="10">
        <v>8</v>
      </c>
      <c r="P147" s="11">
        <v>45383</v>
      </c>
      <c r="Q147" s="10" t="s">
        <v>33</v>
      </c>
      <c r="R147" s="10" t="s">
        <v>33</v>
      </c>
      <c r="S147" s="10" t="s">
        <v>41</v>
      </c>
      <c r="T147" s="13">
        <v>3.3498999999999999</v>
      </c>
      <c r="U147" s="14">
        <v>190</v>
      </c>
      <c r="V147" s="14">
        <v>2024</v>
      </c>
      <c r="W147" s="10" t="s">
        <v>77</v>
      </c>
    </row>
    <row r="148" spans="1:23" s="9" customFormat="1" ht="15.75" hidden="1" customHeight="1" x14ac:dyDescent="0.25">
      <c r="A148" s="4" t="s">
        <v>502</v>
      </c>
      <c r="B148" s="4" t="s">
        <v>503</v>
      </c>
      <c r="C148" s="4" t="s">
        <v>504</v>
      </c>
      <c r="D148" s="22" t="s">
        <v>6087</v>
      </c>
      <c r="E148" s="4" t="s">
        <v>26</v>
      </c>
      <c r="F148" s="4" t="s">
        <v>56</v>
      </c>
      <c r="G148" s="4" t="s">
        <v>5</v>
      </c>
      <c r="H148" s="4" t="s">
        <v>161</v>
      </c>
      <c r="I148" s="5">
        <v>45267</v>
      </c>
      <c r="J148" s="4" t="s">
        <v>30</v>
      </c>
      <c r="K148" s="5">
        <v>45622</v>
      </c>
      <c r="L148" s="4" t="s">
        <v>59</v>
      </c>
      <c r="M148" s="6">
        <v>19981</v>
      </c>
      <c r="N148" s="6">
        <v>1978</v>
      </c>
      <c r="O148" s="4">
        <v>36</v>
      </c>
      <c r="P148" s="5">
        <v>45658</v>
      </c>
      <c r="Q148" s="4" t="s">
        <v>33</v>
      </c>
      <c r="R148" s="4" t="s">
        <v>33</v>
      </c>
      <c r="S148" s="4" t="s">
        <v>60</v>
      </c>
      <c r="T148" s="7">
        <v>10.101599999999999</v>
      </c>
      <c r="U148" s="8">
        <v>355</v>
      </c>
      <c r="V148" s="8">
        <v>2024</v>
      </c>
      <c r="W148" s="4" t="s">
        <v>61</v>
      </c>
    </row>
    <row r="149" spans="1:23" s="9" customFormat="1" ht="15.75" hidden="1" customHeight="1" x14ac:dyDescent="0.25">
      <c r="A149" s="10" t="s">
        <v>505</v>
      </c>
      <c r="B149" s="10" t="s">
        <v>506</v>
      </c>
      <c r="C149" s="10" t="s">
        <v>507</v>
      </c>
      <c r="D149" s="21" t="s">
        <v>6091</v>
      </c>
      <c r="E149" s="10" t="s">
        <v>26</v>
      </c>
      <c r="F149" s="21" t="s">
        <v>6092</v>
      </c>
      <c r="G149" s="10" t="s">
        <v>28</v>
      </c>
      <c r="H149" s="10" t="s">
        <v>39</v>
      </c>
      <c r="I149" s="11">
        <v>45153</v>
      </c>
      <c r="J149" s="10" t="s">
        <v>40</v>
      </c>
      <c r="K149" s="11">
        <v>45314</v>
      </c>
      <c r="L149" s="10" t="s">
        <v>66</v>
      </c>
      <c r="M149" s="12">
        <v>9071</v>
      </c>
      <c r="N149" s="12">
        <v>8145</v>
      </c>
      <c r="O149" s="10" t="s">
        <v>32</v>
      </c>
      <c r="P149" s="10" t="s">
        <v>32</v>
      </c>
      <c r="Q149" s="10" t="s">
        <v>33</v>
      </c>
      <c r="R149" s="10" t="s">
        <v>33</v>
      </c>
      <c r="S149" s="10" t="s">
        <v>34</v>
      </c>
      <c r="T149" s="13">
        <v>1.1136999999999999</v>
      </c>
      <c r="U149" s="14">
        <v>161</v>
      </c>
      <c r="V149" s="14">
        <v>2024</v>
      </c>
      <c r="W149" s="10" t="s">
        <v>73</v>
      </c>
    </row>
    <row r="150" spans="1:23" s="9" customFormat="1" ht="15.75" hidden="1" customHeight="1" x14ac:dyDescent="0.25">
      <c r="A150" s="4" t="s">
        <v>508</v>
      </c>
      <c r="B150" s="4" t="s">
        <v>509</v>
      </c>
      <c r="C150" s="4" t="s">
        <v>510</v>
      </c>
      <c r="D150" s="22" t="s">
        <v>6090</v>
      </c>
      <c r="E150" s="4" t="s">
        <v>87</v>
      </c>
      <c r="F150" s="21" t="s">
        <v>6092</v>
      </c>
      <c r="G150" s="4" t="s">
        <v>28</v>
      </c>
      <c r="H150" s="4" t="s">
        <v>93</v>
      </c>
      <c r="I150" s="5">
        <v>45387</v>
      </c>
      <c r="J150" s="4" t="s">
        <v>40</v>
      </c>
      <c r="K150" s="5">
        <v>45527</v>
      </c>
      <c r="L150" s="4" t="s">
        <v>59</v>
      </c>
      <c r="M150" s="6">
        <v>57466</v>
      </c>
      <c r="N150" s="6">
        <v>4250</v>
      </c>
      <c r="O150" s="4">
        <v>18</v>
      </c>
      <c r="P150" s="5">
        <v>45545</v>
      </c>
      <c r="Q150" s="4" t="s">
        <v>33</v>
      </c>
      <c r="R150" s="4" t="s">
        <v>33</v>
      </c>
      <c r="S150" s="4" t="s">
        <v>41</v>
      </c>
      <c r="T150" s="7">
        <v>13.5214</v>
      </c>
      <c r="U150" s="8">
        <v>140</v>
      </c>
      <c r="V150" s="8">
        <v>2024</v>
      </c>
      <c r="W150" s="4" t="s">
        <v>114</v>
      </c>
    </row>
    <row r="151" spans="1:23" s="9" customFormat="1" ht="15.75" hidden="1" customHeight="1" x14ac:dyDescent="0.25">
      <c r="A151" s="10" t="s">
        <v>511</v>
      </c>
      <c r="B151" s="10" t="s">
        <v>512</v>
      </c>
      <c r="C151" s="10" t="s">
        <v>513</v>
      </c>
      <c r="D151" s="22" t="s">
        <v>6087</v>
      </c>
      <c r="E151" s="10" t="s">
        <v>87</v>
      </c>
      <c r="F151" s="10" t="s">
        <v>71</v>
      </c>
      <c r="G151" s="10" t="s">
        <v>57</v>
      </c>
      <c r="H151" s="10" t="s">
        <v>88</v>
      </c>
      <c r="I151" s="11">
        <v>45449</v>
      </c>
      <c r="J151" s="10" t="s">
        <v>40</v>
      </c>
      <c r="K151" s="11">
        <v>45568</v>
      </c>
      <c r="L151" s="10" t="s">
        <v>59</v>
      </c>
      <c r="M151" s="12">
        <v>32386</v>
      </c>
      <c r="N151" s="12">
        <v>3280</v>
      </c>
      <c r="O151" s="10">
        <v>17</v>
      </c>
      <c r="P151" s="11">
        <v>45585</v>
      </c>
      <c r="Q151" s="10" t="s">
        <v>94</v>
      </c>
      <c r="R151" s="10" t="s">
        <v>33</v>
      </c>
      <c r="S151" s="10" t="s">
        <v>60</v>
      </c>
      <c r="T151" s="13">
        <v>9.8737999999999992</v>
      </c>
      <c r="U151" s="14">
        <v>119</v>
      </c>
      <c r="V151" s="14">
        <v>2024</v>
      </c>
      <c r="W151" s="10" t="s">
        <v>95</v>
      </c>
    </row>
    <row r="152" spans="1:23" s="9" customFormat="1" ht="15.75" hidden="1" customHeight="1" x14ac:dyDescent="0.25">
      <c r="A152" s="4" t="s">
        <v>514</v>
      </c>
      <c r="B152" s="4" t="s">
        <v>515</v>
      </c>
      <c r="C152" s="4" t="s">
        <v>516</v>
      </c>
      <c r="D152" s="22" t="s">
        <v>6087</v>
      </c>
      <c r="E152" s="4" t="s">
        <v>87</v>
      </c>
      <c r="F152" s="4" t="s">
        <v>27</v>
      </c>
      <c r="G152" s="4" t="s">
        <v>57</v>
      </c>
      <c r="H152" s="4" t="s">
        <v>93</v>
      </c>
      <c r="I152" s="5">
        <v>45375</v>
      </c>
      <c r="J152" s="4" t="s">
        <v>40</v>
      </c>
      <c r="K152" s="5">
        <v>45422</v>
      </c>
      <c r="L152" s="4" t="s">
        <v>66</v>
      </c>
      <c r="M152" s="6">
        <v>7813</v>
      </c>
      <c r="N152" s="6">
        <v>6601</v>
      </c>
      <c r="O152" s="4" t="s">
        <v>32</v>
      </c>
      <c r="P152" s="4" t="s">
        <v>32</v>
      </c>
      <c r="Q152" s="4" t="s">
        <v>33</v>
      </c>
      <c r="R152" s="4" t="s">
        <v>33</v>
      </c>
      <c r="S152" s="4" t="s">
        <v>60</v>
      </c>
      <c r="T152" s="7">
        <v>1.1836</v>
      </c>
      <c r="U152" s="8">
        <v>47</v>
      </c>
      <c r="V152" s="8">
        <v>2024</v>
      </c>
      <c r="W152" s="4" t="s">
        <v>52</v>
      </c>
    </row>
    <row r="153" spans="1:23" s="9" customFormat="1" ht="15.75" hidden="1" customHeight="1" x14ac:dyDescent="0.25">
      <c r="A153" s="10" t="s">
        <v>517</v>
      </c>
      <c r="B153" s="10" t="s">
        <v>518</v>
      </c>
      <c r="C153" s="10" t="s">
        <v>519</v>
      </c>
      <c r="D153" s="21" t="s">
        <v>6089</v>
      </c>
      <c r="E153" s="10" t="s">
        <v>87</v>
      </c>
      <c r="F153" s="10" t="s">
        <v>46</v>
      </c>
      <c r="G153" s="10" t="s">
        <v>28</v>
      </c>
      <c r="H153" s="10" t="s">
        <v>93</v>
      </c>
      <c r="I153" s="11">
        <v>45241</v>
      </c>
      <c r="J153" s="10" t="s">
        <v>40</v>
      </c>
      <c r="K153" s="11">
        <v>45601</v>
      </c>
      <c r="L153" s="10" t="s">
        <v>59</v>
      </c>
      <c r="M153" s="12">
        <v>29336</v>
      </c>
      <c r="N153" s="12">
        <v>7404</v>
      </c>
      <c r="O153" s="10">
        <v>28</v>
      </c>
      <c r="P153" s="11">
        <v>45629</v>
      </c>
      <c r="Q153" s="10" t="s">
        <v>33</v>
      </c>
      <c r="R153" s="10" t="s">
        <v>33</v>
      </c>
      <c r="S153" s="10" t="s">
        <v>34</v>
      </c>
      <c r="T153" s="13">
        <v>3.9622000000000002</v>
      </c>
      <c r="U153" s="14">
        <v>360</v>
      </c>
      <c r="V153" s="14">
        <v>2024</v>
      </c>
      <c r="W153" s="10" t="s">
        <v>61</v>
      </c>
    </row>
    <row r="154" spans="1:23" s="9" customFormat="1" ht="15.75" hidden="1" customHeight="1" x14ac:dyDescent="0.25">
      <c r="A154" s="4" t="s">
        <v>520</v>
      </c>
      <c r="B154" s="4" t="s">
        <v>521</v>
      </c>
      <c r="C154" s="4" t="s">
        <v>522</v>
      </c>
      <c r="D154" s="22" t="s">
        <v>6090</v>
      </c>
      <c r="E154" s="4" t="s">
        <v>87</v>
      </c>
      <c r="F154" s="4" t="s">
        <v>46</v>
      </c>
      <c r="G154" s="4" t="s">
        <v>5</v>
      </c>
      <c r="H154" s="4" t="s">
        <v>161</v>
      </c>
      <c r="I154" s="5">
        <v>45314</v>
      </c>
      <c r="J154" s="4" t="s">
        <v>30</v>
      </c>
      <c r="K154" s="5">
        <v>45397</v>
      </c>
      <c r="L154" s="4" t="s">
        <v>66</v>
      </c>
      <c r="M154" s="6">
        <v>18993</v>
      </c>
      <c r="N154" s="6">
        <v>552</v>
      </c>
      <c r="O154" s="4" t="s">
        <v>32</v>
      </c>
      <c r="P154" s="4" t="s">
        <v>32</v>
      </c>
      <c r="Q154" s="4" t="s">
        <v>33</v>
      </c>
      <c r="R154" s="4" t="s">
        <v>33</v>
      </c>
      <c r="S154" s="4" t="s">
        <v>60</v>
      </c>
      <c r="T154" s="7">
        <v>34.407600000000002</v>
      </c>
      <c r="U154" s="8">
        <v>83</v>
      </c>
      <c r="V154" s="8">
        <v>2024</v>
      </c>
      <c r="W154" s="4" t="s">
        <v>47</v>
      </c>
    </row>
    <row r="155" spans="1:23" s="9" customFormat="1" ht="15.75" hidden="1" customHeight="1" x14ac:dyDescent="0.25">
      <c r="A155" s="10" t="s">
        <v>523</v>
      </c>
      <c r="B155" s="10" t="s">
        <v>524</v>
      </c>
      <c r="C155" s="10" t="s">
        <v>525</v>
      </c>
      <c r="D155" s="21" t="s">
        <v>6086</v>
      </c>
      <c r="E155" s="10" t="s">
        <v>87</v>
      </c>
      <c r="F155" s="21" t="s">
        <v>6092</v>
      </c>
      <c r="G155" s="10" t="s">
        <v>28</v>
      </c>
      <c r="H155" s="10" t="s">
        <v>161</v>
      </c>
      <c r="I155" s="11">
        <v>45379</v>
      </c>
      <c r="J155" s="10" t="s">
        <v>40</v>
      </c>
      <c r="K155" s="11">
        <v>45445</v>
      </c>
      <c r="L155" s="10" t="s">
        <v>59</v>
      </c>
      <c r="M155" s="12">
        <v>96553</v>
      </c>
      <c r="N155" s="12">
        <v>8977</v>
      </c>
      <c r="O155" s="10">
        <v>21</v>
      </c>
      <c r="P155" s="11">
        <v>45466</v>
      </c>
      <c r="Q155" s="10" t="s">
        <v>33</v>
      </c>
      <c r="R155" s="10" t="s">
        <v>33</v>
      </c>
      <c r="S155" s="10" t="s">
        <v>41</v>
      </c>
      <c r="T155" s="13">
        <v>10.755599999999999</v>
      </c>
      <c r="U155" s="14">
        <v>66</v>
      </c>
      <c r="V155" s="14">
        <v>2024</v>
      </c>
      <c r="W155" s="10" t="s">
        <v>67</v>
      </c>
    </row>
    <row r="156" spans="1:23" s="9" customFormat="1" ht="15.75" hidden="1" customHeight="1" x14ac:dyDescent="0.25">
      <c r="A156" s="4" t="s">
        <v>526</v>
      </c>
      <c r="B156" s="4" t="s">
        <v>527</v>
      </c>
      <c r="C156" s="4" t="s">
        <v>528</v>
      </c>
      <c r="D156" s="22" t="s">
        <v>6087</v>
      </c>
      <c r="E156" s="4" t="s">
        <v>87</v>
      </c>
      <c r="F156" s="21" t="s">
        <v>6092</v>
      </c>
      <c r="G156" s="4" t="s">
        <v>57</v>
      </c>
      <c r="H156" s="4" t="s">
        <v>118</v>
      </c>
      <c r="I156" s="5">
        <v>45331</v>
      </c>
      <c r="J156" s="4" t="s">
        <v>40</v>
      </c>
      <c r="K156" s="5">
        <v>45656</v>
      </c>
      <c r="L156" s="4" t="s">
        <v>31</v>
      </c>
      <c r="M156" s="6">
        <v>34211</v>
      </c>
      <c r="N156" s="6">
        <v>613</v>
      </c>
      <c r="O156" s="4" t="s">
        <v>32</v>
      </c>
      <c r="P156" s="4" t="s">
        <v>32</v>
      </c>
      <c r="Q156" s="4" t="s">
        <v>33</v>
      </c>
      <c r="R156" s="4" t="s">
        <v>33</v>
      </c>
      <c r="S156" s="4" t="s">
        <v>60</v>
      </c>
      <c r="T156" s="7">
        <v>55.809100000000001</v>
      </c>
      <c r="U156" s="8">
        <v>325</v>
      </c>
      <c r="V156" s="8">
        <v>2024</v>
      </c>
      <c r="W156" s="4" t="s">
        <v>89</v>
      </c>
    </row>
    <row r="157" spans="1:23" s="9" customFormat="1" ht="15.75" hidden="1" customHeight="1" x14ac:dyDescent="0.25">
      <c r="A157" s="10" t="s">
        <v>529</v>
      </c>
      <c r="B157" s="10" t="s">
        <v>530</v>
      </c>
      <c r="C157" s="10" t="s">
        <v>531</v>
      </c>
      <c r="D157" s="21" t="s">
        <v>6086</v>
      </c>
      <c r="E157" s="10" t="s">
        <v>51</v>
      </c>
      <c r="F157" s="10" t="s">
        <v>46</v>
      </c>
      <c r="G157" s="10" t="s">
        <v>28</v>
      </c>
      <c r="H157" s="10" t="s">
        <v>72</v>
      </c>
      <c r="I157" s="11">
        <v>45436</v>
      </c>
      <c r="J157" s="10" t="s">
        <v>30</v>
      </c>
      <c r="K157" s="11">
        <v>45492</v>
      </c>
      <c r="L157" s="10" t="s">
        <v>59</v>
      </c>
      <c r="M157" s="12">
        <v>75339</v>
      </c>
      <c r="N157" s="12">
        <v>5611</v>
      </c>
      <c r="O157" s="10">
        <v>37</v>
      </c>
      <c r="P157" s="11">
        <v>45529</v>
      </c>
      <c r="Q157" s="10" t="s">
        <v>33</v>
      </c>
      <c r="R157" s="10" t="s">
        <v>33</v>
      </c>
      <c r="S157" s="10" t="s">
        <v>60</v>
      </c>
      <c r="T157" s="13">
        <v>13.427</v>
      </c>
      <c r="U157" s="14">
        <v>56</v>
      </c>
      <c r="V157" s="14">
        <v>2024</v>
      </c>
      <c r="W157" s="10" t="s">
        <v>42</v>
      </c>
    </row>
    <row r="158" spans="1:23" s="9" customFormat="1" ht="15.75" hidden="1" customHeight="1" x14ac:dyDescent="0.25">
      <c r="A158" s="4" t="s">
        <v>532</v>
      </c>
      <c r="B158" s="4" t="s">
        <v>533</v>
      </c>
      <c r="C158" s="4" t="s">
        <v>534</v>
      </c>
      <c r="D158" s="22" t="s">
        <v>6087</v>
      </c>
      <c r="E158" s="4" t="s">
        <v>87</v>
      </c>
      <c r="F158" s="4" t="s">
        <v>65</v>
      </c>
      <c r="G158" s="4" t="s">
        <v>57</v>
      </c>
      <c r="H158" s="4" t="s">
        <v>29</v>
      </c>
      <c r="I158" s="5">
        <v>45084</v>
      </c>
      <c r="J158" s="4" t="s">
        <v>40</v>
      </c>
      <c r="K158" s="5">
        <v>45361</v>
      </c>
      <c r="L158" s="4" t="s">
        <v>59</v>
      </c>
      <c r="M158" s="6">
        <v>8260</v>
      </c>
      <c r="N158" s="6">
        <v>7152</v>
      </c>
      <c r="O158" s="4">
        <v>36</v>
      </c>
      <c r="P158" s="5">
        <v>45397</v>
      </c>
      <c r="Q158" s="4" t="s">
        <v>94</v>
      </c>
      <c r="R158" s="4" t="s">
        <v>33</v>
      </c>
      <c r="S158" s="4" t="s">
        <v>60</v>
      </c>
      <c r="T158" s="7">
        <v>1.1549</v>
      </c>
      <c r="U158" s="8">
        <v>277</v>
      </c>
      <c r="V158" s="8">
        <v>2024</v>
      </c>
      <c r="W158" s="4" t="s">
        <v>77</v>
      </c>
    </row>
    <row r="159" spans="1:23" s="9" customFormat="1" ht="15.75" hidden="1" customHeight="1" x14ac:dyDescent="0.25">
      <c r="A159" s="10" t="s">
        <v>535</v>
      </c>
      <c r="B159" s="10" t="s">
        <v>536</v>
      </c>
      <c r="C159" s="10" t="s">
        <v>537</v>
      </c>
      <c r="D159" s="21" t="s">
        <v>6088</v>
      </c>
      <c r="E159" s="10" t="s">
        <v>87</v>
      </c>
      <c r="F159" s="10" t="s">
        <v>46</v>
      </c>
      <c r="G159" s="10" t="s">
        <v>57</v>
      </c>
      <c r="H159" s="10" t="s">
        <v>118</v>
      </c>
      <c r="I159" s="11">
        <v>45137</v>
      </c>
      <c r="J159" s="10" t="s">
        <v>30</v>
      </c>
      <c r="K159" s="11">
        <v>45337</v>
      </c>
      <c r="L159" s="10" t="s">
        <v>59</v>
      </c>
      <c r="M159" s="12">
        <v>53753</v>
      </c>
      <c r="N159" s="12">
        <v>1934</v>
      </c>
      <c r="O159" s="10">
        <v>3</v>
      </c>
      <c r="P159" s="11">
        <v>45340</v>
      </c>
      <c r="Q159" s="10" t="s">
        <v>33</v>
      </c>
      <c r="R159" s="10" t="s">
        <v>33</v>
      </c>
      <c r="S159" s="10" t="s">
        <v>34</v>
      </c>
      <c r="T159" s="13">
        <v>27.793700000000001</v>
      </c>
      <c r="U159" s="14">
        <v>200</v>
      </c>
      <c r="V159" s="14">
        <v>2024</v>
      </c>
      <c r="W159" s="10" t="s">
        <v>35</v>
      </c>
    </row>
    <row r="160" spans="1:23" s="9" customFormat="1" ht="15.75" hidden="1" customHeight="1" x14ac:dyDescent="0.25">
      <c r="A160" s="4" t="s">
        <v>538</v>
      </c>
      <c r="B160" s="4" t="s">
        <v>539</v>
      </c>
      <c r="C160" s="4" t="s">
        <v>540</v>
      </c>
      <c r="D160" s="21" t="s">
        <v>6089</v>
      </c>
      <c r="E160" s="4" t="s">
        <v>51</v>
      </c>
      <c r="F160" s="4" t="s">
        <v>27</v>
      </c>
      <c r="G160" s="4" t="s">
        <v>57</v>
      </c>
      <c r="H160" s="4" t="s">
        <v>93</v>
      </c>
      <c r="I160" s="5">
        <v>45225</v>
      </c>
      <c r="J160" s="4" t="s">
        <v>30</v>
      </c>
      <c r="K160" s="5">
        <v>45456</v>
      </c>
      <c r="L160" s="4" t="s">
        <v>59</v>
      </c>
      <c r="M160" s="6">
        <v>36772</v>
      </c>
      <c r="N160" s="6">
        <v>4770</v>
      </c>
      <c r="O160" s="4">
        <v>40</v>
      </c>
      <c r="P160" s="5">
        <v>45496</v>
      </c>
      <c r="Q160" s="4" t="s">
        <v>33</v>
      </c>
      <c r="R160" s="4" t="s">
        <v>33</v>
      </c>
      <c r="S160" s="4" t="s">
        <v>60</v>
      </c>
      <c r="T160" s="7">
        <v>7.7089999999999996</v>
      </c>
      <c r="U160" s="8">
        <v>231</v>
      </c>
      <c r="V160" s="8">
        <v>2024</v>
      </c>
      <c r="W160" s="4" t="s">
        <v>67</v>
      </c>
    </row>
    <row r="161" spans="1:23" s="9" customFormat="1" ht="15.75" hidden="1" customHeight="1" x14ac:dyDescent="0.25">
      <c r="A161" s="10" t="s">
        <v>541</v>
      </c>
      <c r="B161" s="10" t="s">
        <v>542</v>
      </c>
      <c r="C161" s="10" t="s">
        <v>543</v>
      </c>
      <c r="D161" s="22" t="s">
        <v>6087</v>
      </c>
      <c r="E161" s="10" t="s">
        <v>87</v>
      </c>
      <c r="F161" s="10" t="s">
        <v>46</v>
      </c>
      <c r="G161" s="10" t="s">
        <v>28</v>
      </c>
      <c r="H161" s="10" t="s">
        <v>118</v>
      </c>
      <c r="I161" s="11">
        <v>45522</v>
      </c>
      <c r="J161" s="10" t="s">
        <v>40</v>
      </c>
      <c r="K161" s="11">
        <v>45620</v>
      </c>
      <c r="L161" s="10" t="s">
        <v>66</v>
      </c>
      <c r="M161" s="12">
        <v>25220</v>
      </c>
      <c r="N161" s="12">
        <v>3419</v>
      </c>
      <c r="O161" s="10" t="s">
        <v>32</v>
      </c>
      <c r="P161" s="10" t="s">
        <v>32</v>
      </c>
      <c r="Q161" s="10" t="s">
        <v>33</v>
      </c>
      <c r="R161" s="10" t="s">
        <v>33</v>
      </c>
      <c r="S161" s="10" t="s">
        <v>60</v>
      </c>
      <c r="T161" s="13">
        <v>7.3764000000000003</v>
      </c>
      <c r="U161" s="14">
        <v>98</v>
      </c>
      <c r="V161" s="14">
        <v>2024</v>
      </c>
      <c r="W161" s="10" t="s">
        <v>61</v>
      </c>
    </row>
    <row r="162" spans="1:23" s="9" customFormat="1" ht="15.75" hidden="1" customHeight="1" x14ac:dyDescent="0.25">
      <c r="A162" s="4" t="s">
        <v>544</v>
      </c>
      <c r="B162" s="4" t="s">
        <v>545</v>
      </c>
      <c r="C162" s="4" t="s">
        <v>546</v>
      </c>
      <c r="D162" s="22" t="s">
        <v>6090</v>
      </c>
      <c r="E162" s="4" t="s">
        <v>26</v>
      </c>
      <c r="F162" s="4" t="s">
        <v>27</v>
      </c>
      <c r="G162" s="4" t="s">
        <v>5</v>
      </c>
      <c r="H162" s="4" t="s">
        <v>72</v>
      </c>
      <c r="I162" s="5">
        <v>45195</v>
      </c>
      <c r="J162" s="4" t="s">
        <v>30</v>
      </c>
      <c r="K162" s="5">
        <v>45391</v>
      </c>
      <c r="L162" s="4" t="s">
        <v>59</v>
      </c>
      <c r="M162" s="6">
        <v>52570</v>
      </c>
      <c r="N162" s="6">
        <v>5310</v>
      </c>
      <c r="O162" s="4">
        <v>14</v>
      </c>
      <c r="P162" s="5">
        <v>45405</v>
      </c>
      <c r="Q162" s="4" t="s">
        <v>33</v>
      </c>
      <c r="R162" s="4" t="s">
        <v>33</v>
      </c>
      <c r="S162" s="4" t="s">
        <v>41</v>
      </c>
      <c r="T162" s="7">
        <v>9.9001999999999999</v>
      </c>
      <c r="U162" s="8">
        <v>196</v>
      </c>
      <c r="V162" s="8">
        <v>2024</v>
      </c>
      <c r="W162" s="4" t="s">
        <v>47</v>
      </c>
    </row>
    <row r="163" spans="1:23" s="9" customFormat="1" ht="15.75" hidden="1" customHeight="1" x14ac:dyDescent="0.25">
      <c r="A163" s="10" t="s">
        <v>547</v>
      </c>
      <c r="B163" s="10" t="s">
        <v>548</v>
      </c>
      <c r="C163" s="10" t="s">
        <v>549</v>
      </c>
      <c r="D163" s="21" t="s">
        <v>6086</v>
      </c>
      <c r="E163" s="10" t="s">
        <v>87</v>
      </c>
      <c r="F163" s="10" t="s">
        <v>27</v>
      </c>
      <c r="G163" s="10" t="s">
        <v>28</v>
      </c>
      <c r="H163" s="10" t="s">
        <v>29</v>
      </c>
      <c r="I163" s="11">
        <v>45480</v>
      </c>
      <c r="J163" s="10" t="s">
        <v>40</v>
      </c>
      <c r="K163" s="11">
        <v>45596</v>
      </c>
      <c r="L163" s="10" t="s">
        <v>59</v>
      </c>
      <c r="M163" s="12">
        <v>24856</v>
      </c>
      <c r="N163" s="12">
        <v>5278</v>
      </c>
      <c r="O163" s="10">
        <v>25</v>
      </c>
      <c r="P163" s="11">
        <v>45621</v>
      </c>
      <c r="Q163" s="10" t="s">
        <v>94</v>
      </c>
      <c r="R163" s="10" t="s">
        <v>33</v>
      </c>
      <c r="S163" s="10" t="s">
        <v>34</v>
      </c>
      <c r="T163" s="13">
        <v>4.7093999999999996</v>
      </c>
      <c r="U163" s="14">
        <v>116</v>
      </c>
      <c r="V163" s="14">
        <v>2024</v>
      </c>
      <c r="W163" s="10" t="s">
        <v>95</v>
      </c>
    </row>
    <row r="164" spans="1:23" s="9" customFormat="1" ht="15.75" hidden="1" customHeight="1" x14ac:dyDescent="0.25">
      <c r="A164" s="4" t="s">
        <v>550</v>
      </c>
      <c r="B164" s="4" t="s">
        <v>551</v>
      </c>
      <c r="C164" s="4" t="s">
        <v>552</v>
      </c>
      <c r="D164" s="22" t="s">
        <v>6087</v>
      </c>
      <c r="E164" s="4" t="s">
        <v>51</v>
      </c>
      <c r="F164" s="4" t="s">
        <v>27</v>
      </c>
      <c r="G164" s="4" t="s">
        <v>5</v>
      </c>
      <c r="H164" s="4" t="s">
        <v>118</v>
      </c>
      <c r="I164" s="5">
        <v>45270</v>
      </c>
      <c r="J164" s="4" t="s">
        <v>30</v>
      </c>
      <c r="K164" s="5">
        <v>45426</v>
      </c>
      <c r="L164" s="4" t="s">
        <v>59</v>
      </c>
      <c r="M164" s="6">
        <v>24933</v>
      </c>
      <c r="N164" s="6">
        <v>4196</v>
      </c>
      <c r="O164" s="4">
        <v>29</v>
      </c>
      <c r="P164" s="5">
        <v>45455</v>
      </c>
      <c r="Q164" s="4" t="s">
        <v>33</v>
      </c>
      <c r="R164" s="4" t="s">
        <v>33</v>
      </c>
      <c r="S164" s="4" t="s">
        <v>41</v>
      </c>
      <c r="T164" s="7">
        <v>5.9420999999999999</v>
      </c>
      <c r="U164" s="8">
        <v>156</v>
      </c>
      <c r="V164" s="8">
        <v>2024</v>
      </c>
      <c r="W164" s="4" t="s">
        <v>52</v>
      </c>
    </row>
    <row r="165" spans="1:23" s="9" customFormat="1" ht="15.75" hidden="1" customHeight="1" x14ac:dyDescent="0.25">
      <c r="A165" s="10" t="s">
        <v>553</v>
      </c>
      <c r="B165" s="10" t="s">
        <v>554</v>
      </c>
      <c r="C165" s="10" t="s">
        <v>555</v>
      </c>
      <c r="D165" s="22" t="s">
        <v>6087</v>
      </c>
      <c r="E165" s="10" t="s">
        <v>26</v>
      </c>
      <c r="F165" s="10" t="s">
        <v>71</v>
      </c>
      <c r="G165" s="10" t="s">
        <v>57</v>
      </c>
      <c r="H165" s="10" t="s">
        <v>161</v>
      </c>
      <c r="I165" s="11">
        <v>45305</v>
      </c>
      <c r="J165" s="10" t="s">
        <v>40</v>
      </c>
      <c r="K165" s="11">
        <v>45403</v>
      </c>
      <c r="L165" s="10" t="s">
        <v>59</v>
      </c>
      <c r="M165" s="12">
        <v>4294</v>
      </c>
      <c r="N165" s="12">
        <v>6813</v>
      </c>
      <c r="O165" s="10">
        <v>39</v>
      </c>
      <c r="P165" s="11">
        <v>45442</v>
      </c>
      <c r="Q165" s="10" t="s">
        <v>94</v>
      </c>
      <c r="R165" s="10" t="s">
        <v>33</v>
      </c>
      <c r="S165" s="10" t="s">
        <v>60</v>
      </c>
      <c r="T165" s="13">
        <v>0.63029999999999997</v>
      </c>
      <c r="U165" s="14">
        <v>98</v>
      </c>
      <c r="V165" s="14">
        <v>2024</v>
      </c>
      <c r="W165" s="10" t="s">
        <v>47</v>
      </c>
    </row>
    <row r="166" spans="1:23" s="9" customFormat="1" ht="15.75" hidden="1" customHeight="1" x14ac:dyDescent="0.25">
      <c r="A166" s="4" t="s">
        <v>556</v>
      </c>
      <c r="B166" s="4" t="s">
        <v>557</v>
      </c>
      <c r="C166" s="4" t="s">
        <v>558</v>
      </c>
      <c r="D166" s="22" t="s">
        <v>6090</v>
      </c>
      <c r="E166" s="4" t="s">
        <v>51</v>
      </c>
      <c r="F166" s="4" t="s">
        <v>56</v>
      </c>
      <c r="G166" s="4" t="s">
        <v>5</v>
      </c>
      <c r="H166" s="4" t="s">
        <v>118</v>
      </c>
      <c r="I166" s="5">
        <v>45390</v>
      </c>
      <c r="J166" s="4" t="s">
        <v>30</v>
      </c>
      <c r="K166" s="5">
        <v>45585</v>
      </c>
      <c r="L166" s="4" t="s">
        <v>31</v>
      </c>
      <c r="M166" s="6">
        <v>54890</v>
      </c>
      <c r="N166" s="6">
        <v>3628</v>
      </c>
      <c r="O166" s="4" t="s">
        <v>32</v>
      </c>
      <c r="P166" s="4" t="s">
        <v>32</v>
      </c>
      <c r="Q166" s="4" t="s">
        <v>33</v>
      </c>
      <c r="R166" s="4" t="s">
        <v>33</v>
      </c>
      <c r="S166" s="4" t="s">
        <v>34</v>
      </c>
      <c r="T166" s="7">
        <v>15.1295</v>
      </c>
      <c r="U166" s="8">
        <v>195</v>
      </c>
      <c r="V166" s="8">
        <v>2024</v>
      </c>
      <c r="W166" s="4" t="s">
        <v>95</v>
      </c>
    </row>
    <row r="167" spans="1:23" s="9" customFormat="1" ht="15.75" hidden="1" customHeight="1" x14ac:dyDescent="0.25">
      <c r="A167" s="10" t="s">
        <v>559</v>
      </c>
      <c r="B167" s="10" t="s">
        <v>560</v>
      </c>
      <c r="C167" s="10" t="s">
        <v>561</v>
      </c>
      <c r="D167" s="21" t="s">
        <v>6086</v>
      </c>
      <c r="E167" s="10" t="s">
        <v>51</v>
      </c>
      <c r="F167" s="10" t="s">
        <v>46</v>
      </c>
      <c r="G167" s="10" t="s">
        <v>28</v>
      </c>
      <c r="H167" s="10" t="s">
        <v>58</v>
      </c>
      <c r="I167" s="11">
        <v>45007</v>
      </c>
      <c r="J167" s="10" t="s">
        <v>30</v>
      </c>
      <c r="K167" s="11">
        <v>45303</v>
      </c>
      <c r="L167" s="10" t="s">
        <v>59</v>
      </c>
      <c r="M167" s="12">
        <v>42975</v>
      </c>
      <c r="N167" s="12">
        <v>906</v>
      </c>
      <c r="O167" s="10">
        <v>26</v>
      </c>
      <c r="P167" s="11">
        <v>45329</v>
      </c>
      <c r="Q167" s="10" t="s">
        <v>33</v>
      </c>
      <c r="R167" s="10" t="s">
        <v>33</v>
      </c>
      <c r="S167" s="10" t="s">
        <v>60</v>
      </c>
      <c r="T167" s="13">
        <v>47.433799999999998</v>
      </c>
      <c r="U167" s="14">
        <v>296</v>
      </c>
      <c r="V167" s="14">
        <v>2024</v>
      </c>
      <c r="W167" s="10" t="s">
        <v>73</v>
      </c>
    </row>
    <row r="168" spans="1:23" s="9" customFormat="1" ht="15.75" hidden="1" customHeight="1" x14ac:dyDescent="0.25">
      <c r="A168" s="4" t="s">
        <v>562</v>
      </c>
      <c r="B168" s="4" t="s">
        <v>563</v>
      </c>
      <c r="C168" s="4" t="s">
        <v>564</v>
      </c>
      <c r="D168" s="21" t="s">
        <v>6088</v>
      </c>
      <c r="E168" s="4" t="s">
        <v>87</v>
      </c>
      <c r="F168" s="4" t="s">
        <v>65</v>
      </c>
      <c r="G168" s="4" t="s">
        <v>5</v>
      </c>
      <c r="H168" s="4" t="s">
        <v>161</v>
      </c>
      <c r="I168" s="5">
        <v>45226</v>
      </c>
      <c r="J168" s="4" t="s">
        <v>30</v>
      </c>
      <c r="K168" s="5">
        <v>45439</v>
      </c>
      <c r="L168" s="4" t="s">
        <v>59</v>
      </c>
      <c r="M168" s="6">
        <v>39900</v>
      </c>
      <c r="N168" s="6">
        <v>6565</v>
      </c>
      <c r="O168" s="4">
        <v>42</v>
      </c>
      <c r="P168" s="5">
        <v>45481</v>
      </c>
      <c r="Q168" s="4" t="s">
        <v>33</v>
      </c>
      <c r="R168" s="4" t="s">
        <v>33</v>
      </c>
      <c r="S168" s="4" t="s">
        <v>34</v>
      </c>
      <c r="T168" s="7">
        <v>6.0777000000000001</v>
      </c>
      <c r="U168" s="8">
        <v>213</v>
      </c>
      <c r="V168" s="8">
        <v>2024</v>
      </c>
      <c r="W168" s="4" t="s">
        <v>52</v>
      </c>
    </row>
    <row r="169" spans="1:23" s="9" customFormat="1" ht="15.75" hidden="1" customHeight="1" x14ac:dyDescent="0.25">
      <c r="A169" s="10" t="s">
        <v>565</v>
      </c>
      <c r="B169" s="10" t="s">
        <v>566</v>
      </c>
      <c r="C169" s="10" t="s">
        <v>567</v>
      </c>
      <c r="D169" s="21" t="s">
        <v>6086</v>
      </c>
      <c r="E169" s="10" t="s">
        <v>51</v>
      </c>
      <c r="F169" s="10" t="s">
        <v>56</v>
      </c>
      <c r="G169" s="10" t="s">
        <v>57</v>
      </c>
      <c r="H169" s="10" t="s">
        <v>93</v>
      </c>
      <c r="I169" s="11">
        <v>45385</v>
      </c>
      <c r="J169" s="10" t="s">
        <v>30</v>
      </c>
      <c r="K169" s="11">
        <v>45602</v>
      </c>
      <c r="L169" s="10" t="s">
        <v>59</v>
      </c>
      <c r="M169" s="12">
        <v>69605</v>
      </c>
      <c r="N169" s="12">
        <v>2253</v>
      </c>
      <c r="O169" s="10">
        <v>4</v>
      </c>
      <c r="P169" s="11">
        <v>45606</v>
      </c>
      <c r="Q169" s="10" t="s">
        <v>33</v>
      </c>
      <c r="R169" s="10" t="s">
        <v>33</v>
      </c>
      <c r="S169" s="10" t="s">
        <v>60</v>
      </c>
      <c r="T169" s="13">
        <v>30.894400000000001</v>
      </c>
      <c r="U169" s="14">
        <v>217</v>
      </c>
      <c r="V169" s="14">
        <v>2024</v>
      </c>
      <c r="W169" s="10" t="s">
        <v>61</v>
      </c>
    </row>
    <row r="170" spans="1:23" s="9" customFormat="1" ht="15.75" hidden="1" customHeight="1" x14ac:dyDescent="0.25">
      <c r="A170" s="4" t="s">
        <v>568</v>
      </c>
      <c r="B170" s="4" t="s">
        <v>569</v>
      </c>
      <c r="C170" s="4" t="s">
        <v>570</v>
      </c>
      <c r="D170" s="22" t="s">
        <v>6090</v>
      </c>
      <c r="E170" s="4" t="s">
        <v>26</v>
      </c>
      <c r="F170" s="4" t="s">
        <v>65</v>
      </c>
      <c r="G170" s="4" t="s">
        <v>5</v>
      </c>
      <c r="H170" s="4" t="s">
        <v>93</v>
      </c>
      <c r="I170" s="5">
        <v>45048</v>
      </c>
      <c r="J170" s="4" t="s">
        <v>40</v>
      </c>
      <c r="K170" s="5">
        <v>45371</v>
      </c>
      <c r="L170" s="4" t="s">
        <v>59</v>
      </c>
      <c r="M170" s="6">
        <v>36611</v>
      </c>
      <c r="N170" s="6">
        <v>5934</v>
      </c>
      <c r="O170" s="4">
        <v>32</v>
      </c>
      <c r="P170" s="5">
        <v>45403</v>
      </c>
      <c r="Q170" s="4" t="s">
        <v>94</v>
      </c>
      <c r="R170" s="4" t="s">
        <v>33</v>
      </c>
      <c r="S170" s="4" t="s">
        <v>34</v>
      </c>
      <c r="T170" s="7">
        <v>6.1696999999999997</v>
      </c>
      <c r="U170" s="8">
        <v>323</v>
      </c>
      <c r="V170" s="8">
        <v>2024</v>
      </c>
      <c r="W170" s="4" t="s">
        <v>77</v>
      </c>
    </row>
    <row r="171" spans="1:23" s="9" customFormat="1" ht="15.75" hidden="1" customHeight="1" x14ac:dyDescent="0.25">
      <c r="A171" s="10" t="s">
        <v>571</v>
      </c>
      <c r="B171" s="10" t="s">
        <v>572</v>
      </c>
      <c r="C171" s="10" t="s">
        <v>573</v>
      </c>
      <c r="D171" s="22" t="s">
        <v>6087</v>
      </c>
      <c r="E171" s="10" t="s">
        <v>51</v>
      </c>
      <c r="F171" s="10" t="s">
        <v>27</v>
      </c>
      <c r="G171" s="10" t="s">
        <v>5</v>
      </c>
      <c r="H171" s="10" t="s">
        <v>93</v>
      </c>
      <c r="I171" s="11">
        <v>45424</v>
      </c>
      <c r="J171" s="10" t="s">
        <v>40</v>
      </c>
      <c r="K171" s="11">
        <v>45576</v>
      </c>
      <c r="L171" s="10" t="s">
        <v>59</v>
      </c>
      <c r="M171" s="12">
        <v>4164</v>
      </c>
      <c r="N171" s="12">
        <v>1261</v>
      </c>
      <c r="O171" s="10">
        <v>5</v>
      </c>
      <c r="P171" s="11">
        <v>45581</v>
      </c>
      <c r="Q171" s="10" t="s">
        <v>33</v>
      </c>
      <c r="R171" s="10" t="s">
        <v>33</v>
      </c>
      <c r="S171" s="10" t="s">
        <v>34</v>
      </c>
      <c r="T171" s="13">
        <v>3.3020999999999998</v>
      </c>
      <c r="U171" s="14">
        <v>152</v>
      </c>
      <c r="V171" s="14">
        <v>2024</v>
      </c>
      <c r="W171" s="10" t="s">
        <v>95</v>
      </c>
    </row>
    <row r="172" spans="1:23" s="9" customFormat="1" ht="15.75" hidden="1" customHeight="1" x14ac:dyDescent="0.25">
      <c r="A172" s="4" t="s">
        <v>574</v>
      </c>
      <c r="B172" s="4" t="s">
        <v>575</v>
      </c>
      <c r="C172" s="4" t="s">
        <v>576</v>
      </c>
      <c r="D172" s="21" t="s">
        <v>6091</v>
      </c>
      <c r="E172" s="4" t="s">
        <v>26</v>
      </c>
      <c r="F172" s="4" t="s">
        <v>56</v>
      </c>
      <c r="G172" s="4" t="s">
        <v>5</v>
      </c>
      <c r="H172" s="4" t="s">
        <v>93</v>
      </c>
      <c r="I172" s="5">
        <v>45416</v>
      </c>
      <c r="J172" s="4" t="s">
        <v>40</v>
      </c>
      <c r="K172" s="5">
        <v>45499</v>
      </c>
      <c r="L172" s="4" t="s">
        <v>31</v>
      </c>
      <c r="M172" s="6">
        <v>9003</v>
      </c>
      <c r="N172" s="6">
        <v>6715</v>
      </c>
      <c r="O172" s="4" t="s">
        <v>32</v>
      </c>
      <c r="P172" s="4" t="s">
        <v>32</v>
      </c>
      <c r="Q172" s="4" t="s">
        <v>94</v>
      </c>
      <c r="R172" s="4" t="s">
        <v>33</v>
      </c>
      <c r="S172" s="4" t="s">
        <v>34</v>
      </c>
      <c r="T172" s="7">
        <v>1.3407</v>
      </c>
      <c r="U172" s="8">
        <v>83</v>
      </c>
      <c r="V172" s="8">
        <v>2024</v>
      </c>
      <c r="W172" s="4" t="s">
        <v>42</v>
      </c>
    </row>
    <row r="173" spans="1:23" s="9" customFormat="1" ht="15.75" hidden="1" customHeight="1" x14ac:dyDescent="0.25">
      <c r="A173" s="10" t="s">
        <v>577</v>
      </c>
      <c r="B173" s="10" t="s">
        <v>578</v>
      </c>
      <c r="C173" s="10" t="s">
        <v>579</v>
      </c>
      <c r="D173" s="21" t="s">
        <v>6091</v>
      </c>
      <c r="E173" s="10" t="s">
        <v>51</v>
      </c>
      <c r="F173" s="10" t="s">
        <v>27</v>
      </c>
      <c r="G173" s="10" t="s">
        <v>28</v>
      </c>
      <c r="H173" s="10" t="s">
        <v>88</v>
      </c>
      <c r="I173" s="11">
        <v>44937</v>
      </c>
      <c r="J173" s="10" t="s">
        <v>30</v>
      </c>
      <c r="K173" s="11">
        <v>45294</v>
      </c>
      <c r="L173" s="10" t="s">
        <v>59</v>
      </c>
      <c r="M173" s="12">
        <v>6063</v>
      </c>
      <c r="N173" s="12">
        <v>1580</v>
      </c>
      <c r="O173" s="10">
        <v>39</v>
      </c>
      <c r="P173" s="11">
        <v>45333</v>
      </c>
      <c r="Q173" s="10" t="s">
        <v>33</v>
      </c>
      <c r="R173" s="10" t="s">
        <v>33</v>
      </c>
      <c r="S173" s="10" t="s">
        <v>41</v>
      </c>
      <c r="T173" s="13">
        <v>3.8372999999999999</v>
      </c>
      <c r="U173" s="14">
        <v>357</v>
      </c>
      <c r="V173" s="14">
        <v>2024</v>
      </c>
      <c r="W173" s="10" t="s">
        <v>73</v>
      </c>
    </row>
    <row r="174" spans="1:23" s="9" customFormat="1" ht="15.75" hidden="1" customHeight="1" x14ac:dyDescent="0.25">
      <c r="A174" s="4" t="s">
        <v>580</v>
      </c>
      <c r="B174" s="4" t="s">
        <v>581</v>
      </c>
      <c r="C174" s="4" t="s">
        <v>582</v>
      </c>
      <c r="D174" s="21" t="s">
        <v>6091</v>
      </c>
      <c r="E174" s="4" t="s">
        <v>87</v>
      </c>
      <c r="F174" s="4" t="s">
        <v>56</v>
      </c>
      <c r="G174" s="4" t="s">
        <v>28</v>
      </c>
      <c r="H174" s="4" t="s">
        <v>39</v>
      </c>
      <c r="I174" s="5">
        <v>45135</v>
      </c>
      <c r="J174" s="4" t="s">
        <v>30</v>
      </c>
      <c r="K174" s="5">
        <v>45346</v>
      </c>
      <c r="L174" s="4" t="s">
        <v>31</v>
      </c>
      <c r="M174" s="6">
        <v>11114</v>
      </c>
      <c r="N174" s="6">
        <v>6833</v>
      </c>
      <c r="O174" s="4" t="s">
        <v>32</v>
      </c>
      <c r="P174" s="4" t="s">
        <v>32</v>
      </c>
      <c r="Q174" s="4" t="s">
        <v>33</v>
      </c>
      <c r="R174" s="4" t="s">
        <v>33</v>
      </c>
      <c r="S174" s="4" t="s">
        <v>41</v>
      </c>
      <c r="T174" s="7">
        <v>1.6265000000000001</v>
      </c>
      <c r="U174" s="8">
        <v>211</v>
      </c>
      <c r="V174" s="8">
        <v>2024</v>
      </c>
      <c r="W174" s="4" t="s">
        <v>35</v>
      </c>
    </row>
    <row r="175" spans="1:23" s="9" customFormat="1" ht="15.75" hidden="1" customHeight="1" x14ac:dyDescent="0.25">
      <c r="A175" s="10" t="s">
        <v>583</v>
      </c>
      <c r="B175" s="10" t="s">
        <v>584</v>
      </c>
      <c r="C175" s="10" t="s">
        <v>585</v>
      </c>
      <c r="D175" s="21" t="s">
        <v>6088</v>
      </c>
      <c r="E175" s="10" t="s">
        <v>51</v>
      </c>
      <c r="F175" s="21" t="s">
        <v>6092</v>
      </c>
      <c r="G175" s="10" t="s">
        <v>28</v>
      </c>
      <c r="H175" s="10" t="s">
        <v>58</v>
      </c>
      <c r="I175" s="11">
        <v>45197</v>
      </c>
      <c r="J175" s="10" t="s">
        <v>30</v>
      </c>
      <c r="K175" s="11">
        <v>45422</v>
      </c>
      <c r="L175" s="10" t="s">
        <v>59</v>
      </c>
      <c r="M175" s="12">
        <v>28045</v>
      </c>
      <c r="N175" s="12">
        <v>1963</v>
      </c>
      <c r="O175" s="10">
        <v>31</v>
      </c>
      <c r="P175" s="11">
        <v>45453</v>
      </c>
      <c r="Q175" s="10" t="s">
        <v>33</v>
      </c>
      <c r="R175" s="10" t="s">
        <v>33</v>
      </c>
      <c r="S175" s="10" t="s">
        <v>34</v>
      </c>
      <c r="T175" s="13">
        <v>14.286799999999999</v>
      </c>
      <c r="U175" s="14">
        <v>225</v>
      </c>
      <c r="V175" s="14">
        <v>2024</v>
      </c>
      <c r="W175" s="10" t="s">
        <v>52</v>
      </c>
    </row>
    <row r="176" spans="1:23" s="9" customFormat="1" ht="15.75" hidden="1" customHeight="1" x14ac:dyDescent="0.25">
      <c r="A176" s="4" t="s">
        <v>586</v>
      </c>
      <c r="B176" s="4" t="s">
        <v>587</v>
      </c>
      <c r="C176" s="4" t="s">
        <v>588</v>
      </c>
      <c r="D176" s="21" t="s">
        <v>6091</v>
      </c>
      <c r="E176" s="4" t="s">
        <v>51</v>
      </c>
      <c r="F176" s="21" t="s">
        <v>6092</v>
      </c>
      <c r="G176" s="4" t="s">
        <v>28</v>
      </c>
      <c r="H176" s="4" t="s">
        <v>88</v>
      </c>
      <c r="I176" s="5">
        <v>45303</v>
      </c>
      <c r="J176" s="4" t="s">
        <v>30</v>
      </c>
      <c r="K176" s="5">
        <v>45605</v>
      </c>
      <c r="L176" s="4" t="s">
        <v>31</v>
      </c>
      <c r="M176" s="6">
        <v>4190</v>
      </c>
      <c r="N176" s="6">
        <v>4535</v>
      </c>
      <c r="O176" s="4" t="s">
        <v>32</v>
      </c>
      <c r="P176" s="4" t="s">
        <v>32</v>
      </c>
      <c r="Q176" s="4" t="s">
        <v>33</v>
      </c>
      <c r="R176" s="4" t="s">
        <v>33</v>
      </c>
      <c r="S176" s="4" t="s">
        <v>60</v>
      </c>
      <c r="T176" s="7">
        <v>0.92390000000000005</v>
      </c>
      <c r="U176" s="8">
        <v>302</v>
      </c>
      <c r="V176" s="8">
        <v>2024</v>
      </c>
      <c r="W176" s="4" t="s">
        <v>61</v>
      </c>
    </row>
    <row r="177" spans="1:23" s="9" customFormat="1" ht="15.75" hidden="1" customHeight="1" x14ac:dyDescent="0.25">
      <c r="A177" s="10" t="s">
        <v>589</v>
      </c>
      <c r="B177" s="10" t="s">
        <v>590</v>
      </c>
      <c r="C177" s="10" t="s">
        <v>591</v>
      </c>
      <c r="D177" s="21" t="s">
        <v>6088</v>
      </c>
      <c r="E177" s="10" t="s">
        <v>26</v>
      </c>
      <c r="F177" s="10" t="s">
        <v>27</v>
      </c>
      <c r="G177" s="10" t="s">
        <v>28</v>
      </c>
      <c r="H177" s="10" t="s">
        <v>39</v>
      </c>
      <c r="I177" s="11">
        <v>45036</v>
      </c>
      <c r="J177" s="10" t="s">
        <v>30</v>
      </c>
      <c r="K177" s="11">
        <v>45394</v>
      </c>
      <c r="L177" s="10" t="s">
        <v>59</v>
      </c>
      <c r="M177" s="12">
        <v>19721</v>
      </c>
      <c r="N177" s="12">
        <v>5845</v>
      </c>
      <c r="O177" s="10">
        <v>12</v>
      </c>
      <c r="P177" s="11">
        <v>45406</v>
      </c>
      <c r="Q177" s="10" t="s">
        <v>94</v>
      </c>
      <c r="R177" s="10" t="s">
        <v>33</v>
      </c>
      <c r="S177" s="10" t="s">
        <v>60</v>
      </c>
      <c r="T177" s="13">
        <v>3.3740000000000001</v>
      </c>
      <c r="U177" s="14">
        <v>358</v>
      </c>
      <c r="V177" s="14">
        <v>2024</v>
      </c>
      <c r="W177" s="10" t="s">
        <v>47</v>
      </c>
    </row>
    <row r="178" spans="1:23" s="9" customFormat="1" ht="15.75" hidden="1" customHeight="1" x14ac:dyDescent="0.25">
      <c r="A178" s="4" t="s">
        <v>592</v>
      </c>
      <c r="B178" s="4" t="s">
        <v>593</v>
      </c>
      <c r="C178" s="4" t="s">
        <v>594</v>
      </c>
      <c r="D178" s="22" t="s">
        <v>6090</v>
      </c>
      <c r="E178" s="4" t="s">
        <v>51</v>
      </c>
      <c r="F178" s="4" t="s">
        <v>65</v>
      </c>
      <c r="G178" s="4" t="s">
        <v>5</v>
      </c>
      <c r="H178" s="4" t="s">
        <v>72</v>
      </c>
      <c r="I178" s="5">
        <v>45137</v>
      </c>
      <c r="J178" s="4" t="s">
        <v>40</v>
      </c>
      <c r="K178" s="5">
        <v>45465</v>
      </c>
      <c r="L178" s="4" t="s">
        <v>59</v>
      </c>
      <c r="M178" s="6">
        <v>29080</v>
      </c>
      <c r="N178" s="6">
        <v>8691</v>
      </c>
      <c r="O178" s="4">
        <v>39</v>
      </c>
      <c r="P178" s="5">
        <v>45504</v>
      </c>
      <c r="Q178" s="4" t="s">
        <v>33</v>
      </c>
      <c r="R178" s="4" t="s">
        <v>33</v>
      </c>
      <c r="S178" s="4" t="s">
        <v>41</v>
      </c>
      <c r="T178" s="7">
        <v>3.3460000000000001</v>
      </c>
      <c r="U178" s="8">
        <v>328</v>
      </c>
      <c r="V178" s="8">
        <v>2024</v>
      </c>
      <c r="W178" s="4" t="s">
        <v>67</v>
      </c>
    </row>
    <row r="179" spans="1:23" s="9" customFormat="1" ht="15.75" hidden="1" customHeight="1" x14ac:dyDescent="0.25">
      <c r="A179" s="10" t="s">
        <v>595</v>
      </c>
      <c r="B179" s="10" t="s">
        <v>596</v>
      </c>
      <c r="C179" s="10" t="s">
        <v>597</v>
      </c>
      <c r="D179" s="21" t="s">
        <v>6086</v>
      </c>
      <c r="E179" s="10" t="s">
        <v>26</v>
      </c>
      <c r="F179" s="10" t="s">
        <v>56</v>
      </c>
      <c r="G179" s="10" t="s">
        <v>57</v>
      </c>
      <c r="H179" s="10" t="s">
        <v>118</v>
      </c>
      <c r="I179" s="11">
        <v>45208</v>
      </c>
      <c r="J179" s="10" t="s">
        <v>30</v>
      </c>
      <c r="K179" s="11">
        <v>45311</v>
      </c>
      <c r="L179" s="10" t="s">
        <v>59</v>
      </c>
      <c r="M179" s="12">
        <v>79344</v>
      </c>
      <c r="N179" s="12">
        <v>3583</v>
      </c>
      <c r="O179" s="10">
        <v>5</v>
      </c>
      <c r="P179" s="11">
        <v>45316</v>
      </c>
      <c r="Q179" s="10" t="s">
        <v>33</v>
      </c>
      <c r="R179" s="10" t="s">
        <v>33</v>
      </c>
      <c r="S179" s="10" t="s">
        <v>34</v>
      </c>
      <c r="T179" s="13">
        <v>22.144600000000001</v>
      </c>
      <c r="U179" s="14">
        <v>103</v>
      </c>
      <c r="V179" s="14">
        <v>2024</v>
      </c>
      <c r="W179" s="10" t="s">
        <v>73</v>
      </c>
    </row>
    <row r="180" spans="1:23" s="9" customFormat="1" ht="15.75" hidden="1" customHeight="1" x14ac:dyDescent="0.25">
      <c r="A180" s="4" t="s">
        <v>598</v>
      </c>
      <c r="B180" s="4" t="s">
        <v>599</v>
      </c>
      <c r="C180" s="4" t="s">
        <v>600</v>
      </c>
      <c r="D180" s="22" t="s">
        <v>6090</v>
      </c>
      <c r="E180" s="4" t="s">
        <v>26</v>
      </c>
      <c r="F180" s="4" t="s">
        <v>71</v>
      </c>
      <c r="G180" s="4" t="s">
        <v>5</v>
      </c>
      <c r="H180" s="4" t="s">
        <v>161</v>
      </c>
      <c r="I180" s="5">
        <v>45482</v>
      </c>
      <c r="J180" s="4" t="s">
        <v>30</v>
      </c>
      <c r="K180" s="5">
        <v>45596</v>
      </c>
      <c r="L180" s="4" t="s">
        <v>31</v>
      </c>
      <c r="M180" s="6">
        <v>23432</v>
      </c>
      <c r="N180" s="6">
        <v>2859</v>
      </c>
      <c r="O180" s="4" t="s">
        <v>32</v>
      </c>
      <c r="P180" s="4" t="s">
        <v>32</v>
      </c>
      <c r="Q180" s="4" t="s">
        <v>94</v>
      </c>
      <c r="R180" s="4" t="s">
        <v>33</v>
      </c>
      <c r="S180" s="4" t="s">
        <v>34</v>
      </c>
      <c r="T180" s="7">
        <v>8.1959</v>
      </c>
      <c r="U180" s="8">
        <v>114</v>
      </c>
      <c r="V180" s="8">
        <v>2024</v>
      </c>
      <c r="W180" s="4" t="s">
        <v>95</v>
      </c>
    </row>
    <row r="181" spans="1:23" s="9" customFormat="1" ht="15.75" hidden="1" customHeight="1" x14ac:dyDescent="0.25">
      <c r="A181" s="10" t="s">
        <v>601</v>
      </c>
      <c r="B181" s="10" t="s">
        <v>602</v>
      </c>
      <c r="C181" s="10" t="s">
        <v>603</v>
      </c>
      <c r="D181" s="21" t="s">
        <v>6089</v>
      </c>
      <c r="E181" s="10" t="s">
        <v>26</v>
      </c>
      <c r="F181" s="10" t="s">
        <v>27</v>
      </c>
      <c r="G181" s="10" t="s">
        <v>28</v>
      </c>
      <c r="H181" s="10" t="s">
        <v>29</v>
      </c>
      <c r="I181" s="11">
        <v>45292</v>
      </c>
      <c r="J181" s="10" t="s">
        <v>40</v>
      </c>
      <c r="K181" s="11">
        <v>45324</v>
      </c>
      <c r="L181" s="10" t="s">
        <v>59</v>
      </c>
      <c r="M181" s="12">
        <v>51665</v>
      </c>
      <c r="N181" s="12">
        <v>3789</v>
      </c>
      <c r="O181" s="10">
        <v>3</v>
      </c>
      <c r="P181" s="11">
        <v>45327</v>
      </c>
      <c r="Q181" s="10" t="s">
        <v>33</v>
      </c>
      <c r="R181" s="10" t="s">
        <v>33</v>
      </c>
      <c r="S181" s="10" t="s">
        <v>60</v>
      </c>
      <c r="T181" s="13">
        <v>13.6355</v>
      </c>
      <c r="U181" s="14">
        <v>32</v>
      </c>
      <c r="V181" s="14">
        <v>2024</v>
      </c>
      <c r="W181" s="10" t="s">
        <v>35</v>
      </c>
    </row>
    <row r="182" spans="1:23" s="9" customFormat="1" ht="15.75" hidden="1" customHeight="1" x14ac:dyDescent="0.25">
      <c r="A182" s="4" t="s">
        <v>604</v>
      </c>
      <c r="B182" s="4" t="s">
        <v>605</v>
      </c>
      <c r="C182" s="4" t="s">
        <v>606</v>
      </c>
      <c r="D182" s="22" t="s">
        <v>6090</v>
      </c>
      <c r="E182" s="4" t="s">
        <v>87</v>
      </c>
      <c r="F182" s="4" t="s">
        <v>46</v>
      </c>
      <c r="G182" s="4" t="s">
        <v>5</v>
      </c>
      <c r="H182" s="4" t="s">
        <v>88</v>
      </c>
      <c r="I182" s="5">
        <v>45315</v>
      </c>
      <c r="J182" s="4" t="s">
        <v>30</v>
      </c>
      <c r="K182" s="5">
        <v>45620</v>
      </c>
      <c r="L182" s="4" t="s">
        <v>59</v>
      </c>
      <c r="M182" s="6">
        <v>28091</v>
      </c>
      <c r="N182" s="6">
        <v>2731</v>
      </c>
      <c r="O182" s="4">
        <v>8</v>
      </c>
      <c r="P182" s="5">
        <v>45628</v>
      </c>
      <c r="Q182" s="4" t="s">
        <v>33</v>
      </c>
      <c r="R182" s="4" t="s">
        <v>33</v>
      </c>
      <c r="S182" s="4" t="s">
        <v>34</v>
      </c>
      <c r="T182" s="7">
        <v>10.286</v>
      </c>
      <c r="U182" s="8">
        <v>305</v>
      </c>
      <c r="V182" s="8">
        <v>2024</v>
      </c>
      <c r="W182" s="4" t="s">
        <v>61</v>
      </c>
    </row>
    <row r="183" spans="1:23" s="9" customFormat="1" ht="15.75" hidden="1" customHeight="1" x14ac:dyDescent="0.25">
      <c r="A183" s="10" t="s">
        <v>607</v>
      </c>
      <c r="B183" s="10" t="s">
        <v>608</v>
      </c>
      <c r="C183" s="10" t="s">
        <v>609</v>
      </c>
      <c r="D183" s="22" t="s">
        <v>6087</v>
      </c>
      <c r="E183" s="10" t="s">
        <v>87</v>
      </c>
      <c r="F183" s="10" t="s">
        <v>65</v>
      </c>
      <c r="G183" s="10" t="s">
        <v>57</v>
      </c>
      <c r="H183" s="10" t="s">
        <v>29</v>
      </c>
      <c r="I183" s="11">
        <v>45385</v>
      </c>
      <c r="J183" s="10" t="s">
        <v>40</v>
      </c>
      <c r="K183" s="11">
        <v>45642</v>
      </c>
      <c r="L183" s="10" t="s">
        <v>59</v>
      </c>
      <c r="M183" s="12">
        <v>10453</v>
      </c>
      <c r="N183" s="12">
        <v>1733</v>
      </c>
      <c r="O183" s="10">
        <v>44</v>
      </c>
      <c r="P183" s="11">
        <v>45686</v>
      </c>
      <c r="Q183" s="10" t="s">
        <v>94</v>
      </c>
      <c r="R183" s="10" t="s">
        <v>94</v>
      </c>
      <c r="S183" s="10" t="s">
        <v>60</v>
      </c>
      <c r="T183" s="13">
        <v>6.0316999999999998</v>
      </c>
      <c r="U183" s="14">
        <v>257</v>
      </c>
      <c r="V183" s="14">
        <v>2024</v>
      </c>
      <c r="W183" s="10" t="s">
        <v>89</v>
      </c>
    </row>
    <row r="184" spans="1:23" s="9" customFormat="1" ht="15.75" hidden="1" customHeight="1" x14ac:dyDescent="0.25">
      <c r="A184" s="4" t="s">
        <v>610</v>
      </c>
      <c r="B184" s="4" t="s">
        <v>611</v>
      </c>
      <c r="C184" s="4" t="s">
        <v>612</v>
      </c>
      <c r="D184" s="22" t="s">
        <v>6090</v>
      </c>
      <c r="E184" s="4" t="s">
        <v>51</v>
      </c>
      <c r="F184" s="4" t="s">
        <v>27</v>
      </c>
      <c r="G184" s="4" t="s">
        <v>57</v>
      </c>
      <c r="H184" s="4" t="s">
        <v>88</v>
      </c>
      <c r="I184" s="5">
        <v>45223</v>
      </c>
      <c r="J184" s="4" t="s">
        <v>40</v>
      </c>
      <c r="K184" s="5">
        <v>45392</v>
      </c>
      <c r="L184" s="4" t="s">
        <v>31</v>
      </c>
      <c r="M184" s="6">
        <v>19400</v>
      </c>
      <c r="N184" s="6">
        <v>5739</v>
      </c>
      <c r="O184" s="4" t="s">
        <v>32</v>
      </c>
      <c r="P184" s="4" t="s">
        <v>32</v>
      </c>
      <c r="Q184" s="4" t="s">
        <v>33</v>
      </c>
      <c r="R184" s="4" t="s">
        <v>33</v>
      </c>
      <c r="S184" s="4" t="s">
        <v>34</v>
      </c>
      <c r="T184" s="7">
        <v>3.3803999999999998</v>
      </c>
      <c r="U184" s="8">
        <v>169</v>
      </c>
      <c r="V184" s="8">
        <v>2024</v>
      </c>
      <c r="W184" s="4" t="s">
        <v>47</v>
      </c>
    </row>
    <row r="185" spans="1:23" s="9" customFormat="1" ht="15.75" hidden="1" customHeight="1" x14ac:dyDescent="0.25">
      <c r="A185" s="10" t="s">
        <v>613</v>
      </c>
      <c r="B185" s="10" t="s">
        <v>614</v>
      </c>
      <c r="C185" s="10" t="s">
        <v>615</v>
      </c>
      <c r="D185" s="22" t="s">
        <v>6087</v>
      </c>
      <c r="E185" s="10" t="s">
        <v>26</v>
      </c>
      <c r="F185" s="21" t="s">
        <v>6092</v>
      </c>
      <c r="G185" s="10" t="s">
        <v>28</v>
      </c>
      <c r="H185" s="10" t="s">
        <v>161</v>
      </c>
      <c r="I185" s="11">
        <v>45386</v>
      </c>
      <c r="J185" s="10" t="s">
        <v>40</v>
      </c>
      <c r="K185" s="11">
        <v>45646</v>
      </c>
      <c r="L185" s="10" t="s">
        <v>66</v>
      </c>
      <c r="M185" s="12">
        <v>2689</v>
      </c>
      <c r="N185" s="12">
        <v>3035</v>
      </c>
      <c r="O185" s="10" t="s">
        <v>32</v>
      </c>
      <c r="P185" s="10" t="s">
        <v>32</v>
      </c>
      <c r="Q185" s="10" t="s">
        <v>33</v>
      </c>
      <c r="R185" s="10" t="s">
        <v>33</v>
      </c>
      <c r="S185" s="10" t="s">
        <v>60</v>
      </c>
      <c r="T185" s="13">
        <v>0.88600000000000001</v>
      </c>
      <c r="U185" s="14">
        <v>260</v>
      </c>
      <c r="V185" s="14">
        <v>2024</v>
      </c>
      <c r="W185" s="10" t="s">
        <v>89</v>
      </c>
    </row>
    <row r="186" spans="1:23" s="9" customFormat="1" ht="15.75" hidden="1" customHeight="1" x14ac:dyDescent="0.25">
      <c r="A186" s="4" t="s">
        <v>616</v>
      </c>
      <c r="B186" s="4" t="s">
        <v>617</v>
      </c>
      <c r="C186" s="4" t="s">
        <v>618</v>
      </c>
      <c r="D186" s="22" t="s">
        <v>6087</v>
      </c>
      <c r="E186" s="4" t="s">
        <v>87</v>
      </c>
      <c r="F186" s="4" t="s">
        <v>46</v>
      </c>
      <c r="G186" s="4" t="s">
        <v>5</v>
      </c>
      <c r="H186" s="4" t="s">
        <v>29</v>
      </c>
      <c r="I186" s="5">
        <v>45204</v>
      </c>
      <c r="J186" s="4" t="s">
        <v>30</v>
      </c>
      <c r="K186" s="5">
        <v>45336</v>
      </c>
      <c r="L186" s="4" t="s">
        <v>31</v>
      </c>
      <c r="M186" s="6">
        <v>22902</v>
      </c>
      <c r="N186" s="6">
        <v>8907</v>
      </c>
      <c r="O186" s="4" t="s">
        <v>32</v>
      </c>
      <c r="P186" s="4" t="s">
        <v>32</v>
      </c>
      <c r="Q186" s="4" t="s">
        <v>33</v>
      </c>
      <c r="R186" s="4" t="s">
        <v>33</v>
      </c>
      <c r="S186" s="4" t="s">
        <v>41</v>
      </c>
      <c r="T186" s="7">
        <v>2.5712000000000002</v>
      </c>
      <c r="U186" s="8">
        <v>132</v>
      </c>
      <c r="V186" s="8">
        <v>2024</v>
      </c>
      <c r="W186" s="4" t="s">
        <v>35</v>
      </c>
    </row>
    <row r="187" spans="1:23" s="9" customFormat="1" ht="15.75" hidden="1" customHeight="1" x14ac:dyDescent="0.25">
      <c r="A187" s="10" t="s">
        <v>619</v>
      </c>
      <c r="B187" s="10" t="s">
        <v>620</v>
      </c>
      <c r="C187" s="10" t="s">
        <v>621</v>
      </c>
      <c r="D187" s="21" t="s">
        <v>6086</v>
      </c>
      <c r="E187" s="10" t="s">
        <v>87</v>
      </c>
      <c r="F187" s="10" t="s">
        <v>27</v>
      </c>
      <c r="G187" s="10" t="s">
        <v>5</v>
      </c>
      <c r="H187" s="10" t="s">
        <v>161</v>
      </c>
      <c r="I187" s="11">
        <v>45450</v>
      </c>
      <c r="J187" s="10" t="s">
        <v>40</v>
      </c>
      <c r="K187" s="11">
        <v>45638</v>
      </c>
      <c r="L187" s="10" t="s">
        <v>66</v>
      </c>
      <c r="M187" s="12">
        <v>82851</v>
      </c>
      <c r="N187" s="12">
        <v>6051</v>
      </c>
      <c r="O187" s="10" t="s">
        <v>32</v>
      </c>
      <c r="P187" s="10" t="s">
        <v>32</v>
      </c>
      <c r="Q187" s="10" t="s">
        <v>33</v>
      </c>
      <c r="R187" s="10" t="s">
        <v>33</v>
      </c>
      <c r="S187" s="10" t="s">
        <v>34</v>
      </c>
      <c r="T187" s="13">
        <v>13.6921</v>
      </c>
      <c r="U187" s="14">
        <v>188</v>
      </c>
      <c r="V187" s="14">
        <v>2024</v>
      </c>
      <c r="W187" s="10" t="s">
        <v>89</v>
      </c>
    </row>
    <row r="188" spans="1:23" s="9" customFormat="1" ht="15.75" hidden="1" customHeight="1" x14ac:dyDescent="0.25">
      <c r="A188" s="4" t="s">
        <v>622</v>
      </c>
      <c r="B188" s="4" t="s">
        <v>623</v>
      </c>
      <c r="C188" s="4" t="s">
        <v>624</v>
      </c>
      <c r="D188" s="21" t="s">
        <v>6086</v>
      </c>
      <c r="E188" s="4" t="s">
        <v>87</v>
      </c>
      <c r="F188" s="4" t="s">
        <v>46</v>
      </c>
      <c r="G188" s="4" t="s">
        <v>5</v>
      </c>
      <c r="H188" s="4" t="s">
        <v>72</v>
      </c>
      <c r="I188" s="5">
        <v>45129</v>
      </c>
      <c r="J188" s="4" t="s">
        <v>30</v>
      </c>
      <c r="K188" s="5">
        <v>45388</v>
      </c>
      <c r="L188" s="4" t="s">
        <v>59</v>
      </c>
      <c r="M188" s="6">
        <v>59118</v>
      </c>
      <c r="N188" s="6">
        <v>8519</v>
      </c>
      <c r="O188" s="4">
        <v>45</v>
      </c>
      <c r="P188" s="5">
        <v>45433</v>
      </c>
      <c r="Q188" s="4" t="s">
        <v>33</v>
      </c>
      <c r="R188" s="4" t="s">
        <v>33</v>
      </c>
      <c r="S188" s="4" t="s">
        <v>60</v>
      </c>
      <c r="T188" s="7">
        <v>6.9394999999999998</v>
      </c>
      <c r="U188" s="8">
        <v>259</v>
      </c>
      <c r="V188" s="8">
        <v>2024</v>
      </c>
      <c r="W188" s="4" t="s">
        <v>47</v>
      </c>
    </row>
    <row r="189" spans="1:23" s="9" customFormat="1" ht="15.75" hidden="1" customHeight="1" x14ac:dyDescent="0.25">
      <c r="A189" s="10" t="s">
        <v>625</v>
      </c>
      <c r="B189" s="10" t="s">
        <v>626</v>
      </c>
      <c r="C189" s="10" t="s">
        <v>627</v>
      </c>
      <c r="D189" s="22" t="s">
        <v>6090</v>
      </c>
      <c r="E189" s="10" t="s">
        <v>87</v>
      </c>
      <c r="F189" s="10" t="s">
        <v>65</v>
      </c>
      <c r="G189" s="10" t="s">
        <v>57</v>
      </c>
      <c r="H189" s="10" t="s">
        <v>118</v>
      </c>
      <c r="I189" s="11">
        <v>45299</v>
      </c>
      <c r="J189" s="10" t="s">
        <v>30</v>
      </c>
      <c r="K189" s="11">
        <v>45506</v>
      </c>
      <c r="L189" s="10" t="s">
        <v>31</v>
      </c>
      <c r="M189" s="12">
        <v>39769</v>
      </c>
      <c r="N189" s="12">
        <v>7024</v>
      </c>
      <c r="O189" s="10" t="s">
        <v>32</v>
      </c>
      <c r="P189" s="10" t="s">
        <v>32</v>
      </c>
      <c r="Q189" s="10" t="s">
        <v>33</v>
      </c>
      <c r="R189" s="10" t="s">
        <v>33</v>
      </c>
      <c r="S189" s="10" t="s">
        <v>34</v>
      </c>
      <c r="T189" s="13">
        <v>5.6619000000000002</v>
      </c>
      <c r="U189" s="14">
        <v>207</v>
      </c>
      <c r="V189" s="14">
        <v>2024</v>
      </c>
      <c r="W189" s="10" t="s">
        <v>114</v>
      </c>
    </row>
    <row r="190" spans="1:23" s="9" customFormat="1" ht="15.75" hidden="1" customHeight="1" x14ac:dyDescent="0.25">
      <c r="A190" s="4" t="s">
        <v>628</v>
      </c>
      <c r="B190" s="4" t="s">
        <v>629</v>
      </c>
      <c r="C190" s="4" t="s">
        <v>630</v>
      </c>
      <c r="D190" s="22" t="s">
        <v>6090</v>
      </c>
      <c r="E190" s="4" t="s">
        <v>51</v>
      </c>
      <c r="F190" s="21" t="s">
        <v>6092</v>
      </c>
      <c r="G190" s="4" t="s">
        <v>28</v>
      </c>
      <c r="H190" s="4" t="s">
        <v>39</v>
      </c>
      <c r="I190" s="5">
        <v>45198</v>
      </c>
      <c r="J190" s="4" t="s">
        <v>30</v>
      </c>
      <c r="K190" s="5">
        <v>45371</v>
      </c>
      <c r="L190" s="4" t="s">
        <v>59</v>
      </c>
      <c r="M190" s="6">
        <v>15637</v>
      </c>
      <c r="N190" s="6">
        <v>8168</v>
      </c>
      <c r="O190" s="4">
        <v>41</v>
      </c>
      <c r="P190" s="5">
        <v>45412</v>
      </c>
      <c r="Q190" s="4" t="s">
        <v>33</v>
      </c>
      <c r="R190" s="4" t="s">
        <v>33</v>
      </c>
      <c r="S190" s="4" t="s">
        <v>34</v>
      </c>
      <c r="T190" s="7">
        <v>1.9144000000000001</v>
      </c>
      <c r="U190" s="8">
        <v>173</v>
      </c>
      <c r="V190" s="8">
        <v>2024</v>
      </c>
      <c r="W190" s="4" t="s">
        <v>77</v>
      </c>
    </row>
    <row r="191" spans="1:23" s="9" customFormat="1" ht="15.75" hidden="1" customHeight="1" x14ac:dyDescent="0.25">
      <c r="A191" s="10" t="s">
        <v>631</v>
      </c>
      <c r="B191" s="10" t="s">
        <v>632</v>
      </c>
      <c r="C191" s="10" t="s">
        <v>633</v>
      </c>
      <c r="D191" s="21" t="s">
        <v>6091</v>
      </c>
      <c r="E191" s="10" t="s">
        <v>87</v>
      </c>
      <c r="F191" s="10" t="s">
        <v>56</v>
      </c>
      <c r="G191" s="10" t="s">
        <v>57</v>
      </c>
      <c r="H191" s="10" t="s">
        <v>58</v>
      </c>
      <c r="I191" s="11">
        <v>45098</v>
      </c>
      <c r="J191" s="10" t="s">
        <v>30</v>
      </c>
      <c r="K191" s="11">
        <v>45434</v>
      </c>
      <c r="L191" s="10" t="s">
        <v>59</v>
      </c>
      <c r="M191" s="12">
        <v>13180</v>
      </c>
      <c r="N191" s="12">
        <v>8374</v>
      </c>
      <c r="O191" s="10">
        <v>28</v>
      </c>
      <c r="P191" s="11">
        <v>45462</v>
      </c>
      <c r="Q191" s="10" t="s">
        <v>94</v>
      </c>
      <c r="R191" s="10" t="s">
        <v>33</v>
      </c>
      <c r="S191" s="10" t="s">
        <v>41</v>
      </c>
      <c r="T191" s="13">
        <v>1.5739000000000001</v>
      </c>
      <c r="U191" s="14">
        <v>336</v>
      </c>
      <c r="V191" s="14">
        <v>2024</v>
      </c>
      <c r="W191" s="10" t="s">
        <v>52</v>
      </c>
    </row>
    <row r="192" spans="1:23" s="9" customFormat="1" ht="15.75" hidden="1" customHeight="1" x14ac:dyDescent="0.25">
      <c r="A192" s="4" t="s">
        <v>634</v>
      </c>
      <c r="B192" s="4" t="s">
        <v>635</v>
      </c>
      <c r="C192" s="4" t="s">
        <v>636</v>
      </c>
      <c r="D192" s="21" t="s">
        <v>6089</v>
      </c>
      <c r="E192" s="4" t="s">
        <v>51</v>
      </c>
      <c r="F192" s="4" t="s">
        <v>65</v>
      </c>
      <c r="G192" s="4" t="s">
        <v>5</v>
      </c>
      <c r="H192" s="4" t="s">
        <v>88</v>
      </c>
      <c r="I192" s="5">
        <v>45092</v>
      </c>
      <c r="J192" s="4" t="s">
        <v>40</v>
      </c>
      <c r="K192" s="5">
        <v>45364</v>
      </c>
      <c r="L192" s="4" t="s">
        <v>66</v>
      </c>
      <c r="M192" s="6">
        <v>44652</v>
      </c>
      <c r="N192" s="6">
        <v>3431</v>
      </c>
      <c r="O192" s="4" t="s">
        <v>32</v>
      </c>
      <c r="P192" s="4" t="s">
        <v>32</v>
      </c>
      <c r="Q192" s="4" t="s">
        <v>94</v>
      </c>
      <c r="R192" s="4" t="s">
        <v>94</v>
      </c>
      <c r="S192" s="4" t="s">
        <v>41</v>
      </c>
      <c r="T192" s="7">
        <v>13.0143</v>
      </c>
      <c r="U192" s="8">
        <v>272</v>
      </c>
      <c r="V192" s="8">
        <v>2024</v>
      </c>
      <c r="W192" s="4" t="s">
        <v>77</v>
      </c>
    </row>
    <row r="193" spans="1:23" s="9" customFormat="1" ht="15.75" hidden="1" customHeight="1" x14ac:dyDescent="0.25">
      <c r="A193" s="10" t="s">
        <v>637</v>
      </c>
      <c r="B193" s="10" t="s">
        <v>638</v>
      </c>
      <c r="C193" s="10" t="s">
        <v>639</v>
      </c>
      <c r="D193" s="21" t="s">
        <v>6089</v>
      </c>
      <c r="E193" s="10" t="s">
        <v>26</v>
      </c>
      <c r="F193" s="10" t="s">
        <v>65</v>
      </c>
      <c r="G193" s="10" t="s">
        <v>28</v>
      </c>
      <c r="H193" s="10" t="s">
        <v>58</v>
      </c>
      <c r="I193" s="11">
        <v>45333</v>
      </c>
      <c r="J193" s="10" t="s">
        <v>30</v>
      </c>
      <c r="K193" s="11">
        <v>45649</v>
      </c>
      <c r="L193" s="10" t="s">
        <v>59</v>
      </c>
      <c r="M193" s="12">
        <v>10866</v>
      </c>
      <c r="N193" s="12">
        <v>3226</v>
      </c>
      <c r="O193" s="10">
        <v>26</v>
      </c>
      <c r="P193" s="11">
        <v>45675</v>
      </c>
      <c r="Q193" s="10" t="s">
        <v>33</v>
      </c>
      <c r="R193" s="10" t="s">
        <v>33</v>
      </c>
      <c r="S193" s="10" t="s">
        <v>41</v>
      </c>
      <c r="T193" s="13">
        <v>3.3683000000000001</v>
      </c>
      <c r="U193" s="14">
        <v>316</v>
      </c>
      <c r="V193" s="14">
        <v>2024</v>
      </c>
      <c r="W193" s="10" t="s">
        <v>89</v>
      </c>
    </row>
    <row r="194" spans="1:23" s="9" customFormat="1" ht="15.75" hidden="1" customHeight="1" x14ac:dyDescent="0.25">
      <c r="A194" s="4" t="s">
        <v>640</v>
      </c>
      <c r="B194" s="4" t="s">
        <v>641</v>
      </c>
      <c r="C194" s="4" t="s">
        <v>642</v>
      </c>
      <c r="D194" s="22" t="s">
        <v>6087</v>
      </c>
      <c r="E194" s="4" t="s">
        <v>51</v>
      </c>
      <c r="F194" s="21" t="s">
        <v>6092</v>
      </c>
      <c r="G194" s="4" t="s">
        <v>28</v>
      </c>
      <c r="H194" s="4" t="s">
        <v>29</v>
      </c>
      <c r="I194" s="5">
        <v>45272</v>
      </c>
      <c r="J194" s="4" t="s">
        <v>30</v>
      </c>
      <c r="K194" s="5">
        <v>45443</v>
      </c>
      <c r="L194" s="4" t="s">
        <v>59</v>
      </c>
      <c r="M194" s="6">
        <v>20795</v>
      </c>
      <c r="N194" s="6">
        <v>2600</v>
      </c>
      <c r="O194" s="4">
        <v>24</v>
      </c>
      <c r="P194" s="5">
        <v>45467</v>
      </c>
      <c r="Q194" s="4" t="s">
        <v>33</v>
      </c>
      <c r="R194" s="4" t="s">
        <v>33</v>
      </c>
      <c r="S194" s="4" t="s">
        <v>34</v>
      </c>
      <c r="T194" s="7">
        <v>7.9981</v>
      </c>
      <c r="U194" s="8">
        <v>171</v>
      </c>
      <c r="V194" s="8">
        <v>2024</v>
      </c>
      <c r="W194" s="4" t="s">
        <v>52</v>
      </c>
    </row>
    <row r="195" spans="1:23" s="9" customFormat="1" ht="15.75" hidden="1" customHeight="1" x14ac:dyDescent="0.25">
      <c r="A195" s="10" t="s">
        <v>643</v>
      </c>
      <c r="B195" s="10" t="s">
        <v>644</v>
      </c>
      <c r="C195" s="10" t="s">
        <v>645</v>
      </c>
      <c r="D195" s="21" t="s">
        <v>6086</v>
      </c>
      <c r="E195" s="10" t="s">
        <v>26</v>
      </c>
      <c r="F195" s="10" t="s">
        <v>56</v>
      </c>
      <c r="G195" s="10" t="s">
        <v>57</v>
      </c>
      <c r="H195" s="10" t="s">
        <v>39</v>
      </c>
      <c r="I195" s="11">
        <v>45021</v>
      </c>
      <c r="J195" s="10" t="s">
        <v>40</v>
      </c>
      <c r="K195" s="11">
        <v>45304</v>
      </c>
      <c r="L195" s="10" t="s">
        <v>59</v>
      </c>
      <c r="M195" s="12">
        <v>69609</v>
      </c>
      <c r="N195" s="12">
        <v>895</v>
      </c>
      <c r="O195" s="10">
        <v>22</v>
      </c>
      <c r="P195" s="11">
        <v>45326</v>
      </c>
      <c r="Q195" s="10" t="s">
        <v>33</v>
      </c>
      <c r="R195" s="10" t="s">
        <v>33</v>
      </c>
      <c r="S195" s="10" t="s">
        <v>60</v>
      </c>
      <c r="T195" s="13">
        <v>77.775400000000005</v>
      </c>
      <c r="U195" s="14">
        <v>283</v>
      </c>
      <c r="V195" s="14">
        <v>2024</v>
      </c>
      <c r="W195" s="10" t="s">
        <v>73</v>
      </c>
    </row>
    <row r="196" spans="1:23" s="9" customFormat="1" ht="15.75" hidden="1" customHeight="1" x14ac:dyDescent="0.25">
      <c r="A196" s="4" t="s">
        <v>646</v>
      </c>
      <c r="B196" s="4" t="s">
        <v>647</v>
      </c>
      <c r="C196" s="4" t="s">
        <v>648</v>
      </c>
      <c r="D196" s="22" t="s">
        <v>6087</v>
      </c>
      <c r="E196" s="4" t="s">
        <v>51</v>
      </c>
      <c r="F196" s="4" t="s">
        <v>46</v>
      </c>
      <c r="G196" s="4" t="s">
        <v>28</v>
      </c>
      <c r="H196" s="4" t="s">
        <v>58</v>
      </c>
      <c r="I196" s="5">
        <v>45117</v>
      </c>
      <c r="J196" s="4" t="s">
        <v>30</v>
      </c>
      <c r="K196" s="5">
        <v>45428</v>
      </c>
      <c r="L196" s="4" t="s">
        <v>59</v>
      </c>
      <c r="M196" s="6">
        <v>25550</v>
      </c>
      <c r="N196" s="6">
        <v>1599</v>
      </c>
      <c r="O196" s="4">
        <v>3</v>
      </c>
      <c r="P196" s="5">
        <v>45431</v>
      </c>
      <c r="Q196" s="4" t="s">
        <v>33</v>
      </c>
      <c r="R196" s="4" t="s">
        <v>33</v>
      </c>
      <c r="S196" s="4" t="s">
        <v>41</v>
      </c>
      <c r="T196" s="7">
        <v>15.9787</v>
      </c>
      <c r="U196" s="8">
        <v>311</v>
      </c>
      <c r="V196" s="8">
        <v>2024</v>
      </c>
      <c r="W196" s="4" t="s">
        <v>52</v>
      </c>
    </row>
    <row r="197" spans="1:23" s="9" customFormat="1" ht="15.75" hidden="1" customHeight="1" x14ac:dyDescent="0.25">
      <c r="A197" s="10" t="s">
        <v>649</v>
      </c>
      <c r="B197" s="10" t="s">
        <v>650</v>
      </c>
      <c r="C197" s="10" t="s">
        <v>651</v>
      </c>
      <c r="D197" s="21" t="s">
        <v>6088</v>
      </c>
      <c r="E197" s="10" t="s">
        <v>87</v>
      </c>
      <c r="F197" s="10" t="s">
        <v>46</v>
      </c>
      <c r="G197" s="10" t="s">
        <v>5</v>
      </c>
      <c r="H197" s="10" t="s">
        <v>161</v>
      </c>
      <c r="I197" s="11">
        <v>45082</v>
      </c>
      <c r="J197" s="10" t="s">
        <v>40</v>
      </c>
      <c r="K197" s="11">
        <v>45330</v>
      </c>
      <c r="L197" s="10" t="s">
        <v>59</v>
      </c>
      <c r="M197" s="12">
        <v>59936</v>
      </c>
      <c r="N197" s="12">
        <v>6403</v>
      </c>
      <c r="O197" s="10">
        <v>44</v>
      </c>
      <c r="P197" s="11">
        <v>45374</v>
      </c>
      <c r="Q197" s="10" t="s">
        <v>33</v>
      </c>
      <c r="R197" s="10" t="s">
        <v>33</v>
      </c>
      <c r="S197" s="10" t="s">
        <v>41</v>
      </c>
      <c r="T197" s="13">
        <v>9.3605999999999998</v>
      </c>
      <c r="U197" s="14">
        <v>248</v>
      </c>
      <c r="V197" s="14">
        <v>2024</v>
      </c>
      <c r="W197" s="10" t="s">
        <v>35</v>
      </c>
    </row>
    <row r="198" spans="1:23" s="9" customFormat="1" ht="15.75" hidden="1" customHeight="1" x14ac:dyDescent="0.25">
      <c r="A198" s="4" t="s">
        <v>652</v>
      </c>
      <c r="B198" s="4" t="s">
        <v>653</v>
      </c>
      <c r="C198" s="4" t="s">
        <v>654</v>
      </c>
      <c r="D198" s="21" t="s">
        <v>6086</v>
      </c>
      <c r="E198" s="4" t="s">
        <v>51</v>
      </c>
      <c r="F198" s="4" t="s">
        <v>46</v>
      </c>
      <c r="G198" s="4" t="s">
        <v>28</v>
      </c>
      <c r="H198" s="4" t="s">
        <v>58</v>
      </c>
      <c r="I198" s="5">
        <v>45413</v>
      </c>
      <c r="J198" s="4" t="s">
        <v>40</v>
      </c>
      <c r="K198" s="5">
        <v>45547</v>
      </c>
      <c r="L198" s="4" t="s">
        <v>59</v>
      </c>
      <c r="M198" s="6">
        <v>93090</v>
      </c>
      <c r="N198" s="6">
        <v>7344</v>
      </c>
      <c r="O198" s="4">
        <v>26</v>
      </c>
      <c r="P198" s="5">
        <v>45573</v>
      </c>
      <c r="Q198" s="4" t="s">
        <v>33</v>
      </c>
      <c r="R198" s="4" t="s">
        <v>33</v>
      </c>
      <c r="S198" s="4" t="s">
        <v>60</v>
      </c>
      <c r="T198" s="7">
        <v>12.675700000000001</v>
      </c>
      <c r="U198" s="8">
        <v>134</v>
      </c>
      <c r="V198" s="8">
        <v>2024</v>
      </c>
      <c r="W198" s="4" t="s">
        <v>168</v>
      </c>
    </row>
    <row r="199" spans="1:23" s="9" customFormat="1" ht="15.75" hidden="1" customHeight="1" x14ac:dyDescent="0.25">
      <c r="A199" s="10" t="s">
        <v>655</v>
      </c>
      <c r="B199" s="10" t="s">
        <v>656</v>
      </c>
      <c r="C199" s="10" t="s">
        <v>657</v>
      </c>
      <c r="D199" s="22" t="s">
        <v>6087</v>
      </c>
      <c r="E199" s="10" t="s">
        <v>26</v>
      </c>
      <c r="F199" s="10" t="s">
        <v>27</v>
      </c>
      <c r="G199" s="10" t="s">
        <v>5</v>
      </c>
      <c r="H199" s="10" t="s">
        <v>88</v>
      </c>
      <c r="I199" s="11">
        <v>45252</v>
      </c>
      <c r="J199" s="10" t="s">
        <v>40</v>
      </c>
      <c r="K199" s="11">
        <v>45515</v>
      </c>
      <c r="L199" s="10" t="s">
        <v>59</v>
      </c>
      <c r="M199" s="12">
        <v>32562</v>
      </c>
      <c r="N199" s="12">
        <v>1369</v>
      </c>
      <c r="O199" s="10">
        <v>19</v>
      </c>
      <c r="P199" s="11">
        <v>45534</v>
      </c>
      <c r="Q199" s="10" t="s">
        <v>33</v>
      </c>
      <c r="R199" s="10" t="s">
        <v>33</v>
      </c>
      <c r="S199" s="10" t="s">
        <v>41</v>
      </c>
      <c r="T199" s="13">
        <v>23.7852</v>
      </c>
      <c r="U199" s="14">
        <v>263</v>
      </c>
      <c r="V199" s="14">
        <v>2024</v>
      </c>
      <c r="W199" s="10" t="s">
        <v>114</v>
      </c>
    </row>
    <row r="200" spans="1:23" s="9" customFormat="1" ht="15.75" hidden="1" customHeight="1" x14ac:dyDescent="0.25">
      <c r="A200" s="4" t="s">
        <v>658</v>
      </c>
      <c r="B200" s="4" t="s">
        <v>659</v>
      </c>
      <c r="C200" s="4" t="s">
        <v>660</v>
      </c>
      <c r="D200" s="22" t="s">
        <v>6090</v>
      </c>
      <c r="E200" s="4" t="s">
        <v>26</v>
      </c>
      <c r="F200" s="4" t="s">
        <v>56</v>
      </c>
      <c r="G200" s="4" t="s">
        <v>28</v>
      </c>
      <c r="H200" s="4" t="s">
        <v>58</v>
      </c>
      <c r="I200" s="5">
        <v>45202</v>
      </c>
      <c r="J200" s="4" t="s">
        <v>40</v>
      </c>
      <c r="K200" s="5">
        <v>45548</v>
      </c>
      <c r="L200" s="4" t="s">
        <v>59</v>
      </c>
      <c r="M200" s="6">
        <v>31515</v>
      </c>
      <c r="N200" s="6">
        <v>8896</v>
      </c>
      <c r="O200" s="4">
        <v>41</v>
      </c>
      <c r="P200" s="5">
        <v>45589</v>
      </c>
      <c r="Q200" s="4" t="s">
        <v>33</v>
      </c>
      <c r="R200" s="4" t="s">
        <v>33</v>
      </c>
      <c r="S200" s="4" t="s">
        <v>60</v>
      </c>
      <c r="T200" s="7">
        <v>3.5426000000000002</v>
      </c>
      <c r="U200" s="8">
        <v>346</v>
      </c>
      <c r="V200" s="8">
        <v>2024</v>
      </c>
      <c r="W200" s="4" t="s">
        <v>168</v>
      </c>
    </row>
    <row r="201" spans="1:23" s="9" customFormat="1" ht="15.75" hidden="1" customHeight="1" x14ac:dyDescent="0.25">
      <c r="A201" s="10" t="s">
        <v>661</v>
      </c>
      <c r="B201" s="10" t="s">
        <v>662</v>
      </c>
      <c r="C201" s="10" t="s">
        <v>663</v>
      </c>
      <c r="D201" s="22" t="s">
        <v>6090</v>
      </c>
      <c r="E201" s="10" t="s">
        <v>26</v>
      </c>
      <c r="F201" s="10" t="s">
        <v>46</v>
      </c>
      <c r="G201" s="10" t="s">
        <v>5</v>
      </c>
      <c r="H201" s="10" t="s">
        <v>29</v>
      </c>
      <c r="I201" s="11">
        <v>45126</v>
      </c>
      <c r="J201" s="10" t="s">
        <v>30</v>
      </c>
      <c r="K201" s="11">
        <v>45295</v>
      </c>
      <c r="L201" s="10" t="s">
        <v>59</v>
      </c>
      <c r="M201" s="12">
        <v>18154</v>
      </c>
      <c r="N201" s="12">
        <v>5277</v>
      </c>
      <c r="O201" s="10">
        <v>22</v>
      </c>
      <c r="P201" s="11">
        <v>45317</v>
      </c>
      <c r="Q201" s="10" t="s">
        <v>33</v>
      </c>
      <c r="R201" s="10" t="s">
        <v>33</v>
      </c>
      <c r="S201" s="10" t="s">
        <v>34</v>
      </c>
      <c r="T201" s="13">
        <v>3.4401999999999999</v>
      </c>
      <c r="U201" s="14">
        <v>169</v>
      </c>
      <c r="V201" s="14">
        <v>2024</v>
      </c>
      <c r="W201" s="10" t="s">
        <v>73</v>
      </c>
    </row>
    <row r="202" spans="1:23" s="9" customFormat="1" ht="15.75" hidden="1" customHeight="1" x14ac:dyDescent="0.25">
      <c r="A202" s="4" t="s">
        <v>664</v>
      </c>
      <c r="B202" s="4" t="s">
        <v>665</v>
      </c>
      <c r="C202" s="4" t="s">
        <v>666</v>
      </c>
      <c r="D202" s="21" t="s">
        <v>6091</v>
      </c>
      <c r="E202" s="4" t="s">
        <v>87</v>
      </c>
      <c r="F202" s="4" t="s">
        <v>65</v>
      </c>
      <c r="G202" s="4" t="s">
        <v>28</v>
      </c>
      <c r="H202" s="4" t="s">
        <v>39</v>
      </c>
      <c r="I202" s="5">
        <v>45255</v>
      </c>
      <c r="J202" s="4" t="s">
        <v>40</v>
      </c>
      <c r="K202" s="5">
        <v>45453</v>
      </c>
      <c r="L202" s="4" t="s">
        <v>59</v>
      </c>
      <c r="M202" s="6">
        <v>5405</v>
      </c>
      <c r="N202" s="6">
        <v>8144</v>
      </c>
      <c r="O202" s="4">
        <v>30</v>
      </c>
      <c r="P202" s="5">
        <v>45483</v>
      </c>
      <c r="Q202" s="4" t="s">
        <v>33</v>
      </c>
      <c r="R202" s="4" t="s">
        <v>33</v>
      </c>
      <c r="S202" s="4" t="s">
        <v>60</v>
      </c>
      <c r="T202" s="7">
        <v>0.66369999999999996</v>
      </c>
      <c r="U202" s="8">
        <v>198</v>
      </c>
      <c r="V202" s="8">
        <v>2024</v>
      </c>
      <c r="W202" s="4" t="s">
        <v>67</v>
      </c>
    </row>
    <row r="203" spans="1:23" s="9" customFormat="1" ht="15.75" hidden="1" customHeight="1" x14ac:dyDescent="0.25">
      <c r="A203" s="10" t="s">
        <v>667</v>
      </c>
      <c r="B203" s="10" t="s">
        <v>668</v>
      </c>
      <c r="C203" s="10" t="s">
        <v>669</v>
      </c>
      <c r="D203" s="21" t="s">
        <v>6086</v>
      </c>
      <c r="E203" s="10" t="s">
        <v>87</v>
      </c>
      <c r="F203" s="21" t="s">
        <v>6092</v>
      </c>
      <c r="G203" s="10" t="s">
        <v>28</v>
      </c>
      <c r="H203" s="10" t="s">
        <v>72</v>
      </c>
      <c r="I203" s="11">
        <v>45214</v>
      </c>
      <c r="J203" s="10" t="s">
        <v>30</v>
      </c>
      <c r="K203" s="11">
        <v>45554</v>
      </c>
      <c r="L203" s="10" t="s">
        <v>31</v>
      </c>
      <c r="M203" s="12">
        <v>48818</v>
      </c>
      <c r="N203" s="12">
        <v>4324</v>
      </c>
      <c r="O203" s="10" t="s">
        <v>32</v>
      </c>
      <c r="P203" s="10" t="s">
        <v>32</v>
      </c>
      <c r="Q203" s="10" t="s">
        <v>33</v>
      </c>
      <c r="R203" s="10" t="s">
        <v>33</v>
      </c>
      <c r="S203" s="10" t="s">
        <v>41</v>
      </c>
      <c r="T203" s="13">
        <v>11.29</v>
      </c>
      <c r="U203" s="14">
        <v>340</v>
      </c>
      <c r="V203" s="14">
        <v>2024</v>
      </c>
      <c r="W203" s="10" t="s">
        <v>168</v>
      </c>
    </row>
    <row r="204" spans="1:23" s="9" customFormat="1" ht="15.75" hidden="1" customHeight="1" x14ac:dyDescent="0.25">
      <c r="A204" s="4" t="s">
        <v>670</v>
      </c>
      <c r="B204" s="4" t="s">
        <v>671</v>
      </c>
      <c r="C204" s="4" t="s">
        <v>672</v>
      </c>
      <c r="D204" s="22" t="s">
        <v>6087</v>
      </c>
      <c r="E204" s="4" t="s">
        <v>51</v>
      </c>
      <c r="F204" s="4" t="s">
        <v>65</v>
      </c>
      <c r="G204" s="4" t="s">
        <v>28</v>
      </c>
      <c r="H204" s="4" t="s">
        <v>39</v>
      </c>
      <c r="I204" s="5">
        <v>45277</v>
      </c>
      <c r="J204" s="4" t="s">
        <v>40</v>
      </c>
      <c r="K204" s="5">
        <v>45436</v>
      </c>
      <c r="L204" s="4" t="s">
        <v>31</v>
      </c>
      <c r="M204" s="6">
        <v>34901</v>
      </c>
      <c r="N204" s="6">
        <v>4769</v>
      </c>
      <c r="O204" s="4" t="s">
        <v>32</v>
      </c>
      <c r="P204" s="4" t="s">
        <v>32</v>
      </c>
      <c r="Q204" s="4" t="s">
        <v>33</v>
      </c>
      <c r="R204" s="4" t="s">
        <v>33</v>
      </c>
      <c r="S204" s="4" t="s">
        <v>34</v>
      </c>
      <c r="T204" s="7">
        <v>7.3182999999999998</v>
      </c>
      <c r="U204" s="8">
        <v>159</v>
      </c>
      <c r="V204" s="8">
        <v>2024</v>
      </c>
      <c r="W204" s="4" t="s">
        <v>52</v>
      </c>
    </row>
    <row r="205" spans="1:23" s="9" customFormat="1" ht="15.75" hidden="1" customHeight="1" x14ac:dyDescent="0.25">
      <c r="A205" s="10" t="s">
        <v>673</v>
      </c>
      <c r="B205" s="10" t="s">
        <v>674</v>
      </c>
      <c r="C205" s="10" t="s">
        <v>675</v>
      </c>
      <c r="D205" s="21" t="s">
        <v>6089</v>
      </c>
      <c r="E205" s="10" t="s">
        <v>87</v>
      </c>
      <c r="F205" s="10" t="s">
        <v>71</v>
      </c>
      <c r="G205" s="10" t="s">
        <v>28</v>
      </c>
      <c r="H205" s="10" t="s">
        <v>118</v>
      </c>
      <c r="I205" s="11">
        <v>45219</v>
      </c>
      <c r="J205" s="10" t="s">
        <v>40</v>
      </c>
      <c r="K205" s="11">
        <v>45292</v>
      </c>
      <c r="L205" s="10" t="s">
        <v>59</v>
      </c>
      <c r="M205" s="12">
        <v>30605</v>
      </c>
      <c r="N205" s="12">
        <v>1143</v>
      </c>
      <c r="O205" s="10">
        <v>8</v>
      </c>
      <c r="P205" s="11">
        <v>45300</v>
      </c>
      <c r="Q205" s="10" t="s">
        <v>33</v>
      </c>
      <c r="R205" s="10" t="s">
        <v>33</v>
      </c>
      <c r="S205" s="10" t="s">
        <v>60</v>
      </c>
      <c r="T205" s="13">
        <v>26.776</v>
      </c>
      <c r="U205" s="14">
        <v>73</v>
      </c>
      <c r="V205" s="14">
        <v>2024</v>
      </c>
      <c r="W205" s="10" t="s">
        <v>73</v>
      </c>
    </row>
    <row r="206" spans="1:23" s="9" customFormat="1" ht="15.75" hidden="1" customHeight="1" x14ac:dyDescent="0.25">
      <c r="A206" s="4" t="s">
        <v>676</v>
      </c>
      <c r="B206" s="4" t="s">
        <v>677</v>
      </c>
      <c r="C206" s="4" t="s">
        <v>678</v>
      </c>
      <c r="D206" s="22" t="s">
        <v>6090</v>
      </c>
      <c r="E206" s="4" t="s">
        <v>26</v>
      </c>
      <c r="F206" s="4" t="s">
        <v>46</v>
      </c>
      <c r="G206" s="4" t="s">
        <v>28</v>
      </c>
      <c r="H206" s="4" t="s">
        <v>29</v>
      </c>
      <c r="I206" s="5">
        <v>45441</v>
      </c>
      <c r="J206" s="4" t="s">
        <v>30</v>
      </c>
      <c r="K206" s="5">
        <v>45508</v>
      </c>
      <c r="L206" s="4" t="s">
        <v>66</v>
      </c>
      <c r="M206" s="6">
        <v>10211</v>
      </c>
      <c r="N206" s="6">
        <v>8860</v>
      </c>
      <c r="O206" s="4" t="s">
        <v>32</v>
      </c>
      <c r="P206" s="4" t="s">
        <v>32</v>
      </c>
      <c r="Q206" s="4" t="s">
        <v>94</v>
      </c>
      <c r="R206" s="4" t="s">
        <v>33</v>
      </c>
      <c r="S206" s="4" t="s">
        <v>41</v>
      </c>
      <c r="T206" s="7">
        <v>1.1525000000000001</v>
      </c>
      <c r="U206" s="8">
        <v>67</v>
      </c>
      <c r="V206" s="8">
        <v>2024</v>
      </c>
      <c r="W206" s="4" t="s">
        <v>114</v>
      </c>
    </row>
    <row r="207" spans="1:23" s="9" customFormat="1" ht="15.75" hidden="1" customHeight="1" x14ac:dyDescent="0.25">
      <c r="A207" s="10" t="s">
        <v>679</v>
      </c>
      <c r="B207" s="10" t="s">
        <v>680</v>
      </c>
      <c r="C207" s="10" t="s">
        <v>681</v>
      </c>
      <c r="D207" s="22" t="s">
        <v>6090</v>
      </c>
      <c r="E207" s="10" t="s">
        <v>87</v>
      </c>
      <c r="F207" s="10" t="s">
        <v>56</v>
      </c>
      <c r="G207" s="10" t="s">
        <v>28</v>
      </c>
      <c r="H207" s="10" t="s">
        <v>93</v>
      </c>
      <c r="I207" s="11">
        <v>45366</v>
      </c>
      <c r="J207" s="10" t="s">
        <v>30</v>
      </c>
      <c r="K207" s="11">
        <v>45397</v>
      </c>
      <c r="L207" s="10" t="s">
        <v>59</v>
      </c>
      <c r="M207" s="12">
        <v>38667</v>
      </c>
      <c r="N207" s="12">
        <v>2135</v>
      </c>
      <c r="O207" s="10">
        <v>7</v>
      </c>
      <c r="P207" s="11">
        <v>45404</v>
      </c>
      <c r="Q207" s="10" t="s">
        <v>33</v>
      </c>
      <c r="R207" s="10" t="s">
        <v>33</v>
      </c>
      <c r="S207" s="10" t="s">
        <v>60</v>
      </c>
      <c r="T207" s="13">
        <v>18.111000000000001</v>
      </c>
      <c r="U207" s="14">
        <v>31</v>
      </c>
      <c r="V207" s="14">
        <v>2024</v>
      </c>
      <c r="W207" s="10" t="s">
        <v>47</v>
      </c>
    </row>
    <row r="208" spans="1:23" s="9" customFormat="1" ht="15.75" hidden="1" customHeight="1" x14ac:dyDescent="0.25">
      <c r="A208" s="4" t="s">
        <v>682</v>
      </c>
      <c r="B208" s="4" t="s">
        <v>683</v>
      </c>
      <c r="C208" s="4" t="s">
        <v>684</v>
      </c>
      <c r="D208" s="21" t="s">
        <v>6089</v>
      </c>
      <c r="E208" s="4" t="s">
        <v>51</v>
      </c>
      <c r="F208" s="4" t="s">
        <v>56</v>
      </c>
      <c r="G208" s="4" t="s">
        <v>57</v>
      </c>
      <c r="H208" s="4" t="s">
        <v>58</v>
      </c>
      <c r="I208" s="5">
        <v>45084</v>
      </c>
      <c r="J208" s="4" t="s">
        <v>30</v>
      </c>
      <c r="K208" s="5">
        <v>45353</v>
      </c>
      <c r="L208" s="4" t="s">
        <v>59</v>
      </c>
      <c r="M208" s="6">
        <v>18873</v>
      </c>
      <c r="N208" s="6">
        <v>2469</v>
      </c>
      <c r="O208" s="4">
        <v>11</v>
      </c>
      <c r="P208" s="5">
        <v>45364</v>
      </c>
      <c r="Q208" s="4" t="s">
        <v>33</v>
      </c>
      <c r="R208" s="4" t="s">
        <v>33</v>
      </c>
      <c r="S208" s="4" t="s">
        <v>60</v>
      </c>
      <c r="T208" s="7">
        <v>7.6440000000000001</v>
      </c>
      <c r="U208" s="8">
        <v>269</v>
      </c>
      <c r="V208" s="8">
        <v>2024</v>
      </c>
      <c r="W208" s="4" t="s">
        <v>77</v>
      </c>
    </row>
    <row r="209" spans="1:23" s="9" customFormat="1" ht="15.75" hidden="1" customHeight="1" x14ac:dyDescent="0.25">
      <c r="A209" s="10" t="s">
        <v>685</v>
      </c>
      <c r="B209" s="10" t="s">
        <v>686</v>
      </c>
      <c r="C209" s="10" t="s">
        <v>687</v>
      </c>
      <c r="D209" s="22" t="s">
        <v>6090</v>
      </c>
      <c r="E209" s="10" t="s">
        <v>51</v>
      </c>
      <c r="F209" s="10" t="s">
        <v>56</v>
      </c>
      <c r="G209" s="10" t="s">
        <v>57</v>
      </c>
      <c r="H209" s="10" t="s">
        <v>58</v>
      </c>
      <c r="I209" s="11">
        <v>45536</v>
      </c>
      <c r="J209" s="10" t="s">
        <v>40</v>
      </c>
      <c r="K209" s="11">
        <v>45652</v>
      </c>
      <c r="L209" s="10" t="s">
        <v>59</v>
      </c>
      <c r="M209" s="12">
        <v>21171</v>
      </c>
      <c r="N209" s="12">
        <v>5778</v>
      </c>
      <c r="O209" s="10">
        <v>11</v>
      </c>
      <c r="P209" s="11">
        <v>45663</v>
      </c>
      <c r="Q209" s="10" t="s">
        <v>33</v>
      </c>
      <c r="R209" s="10" t="s">
        <v>33</v>
      </c>
      <c r="S209" s="10" t="s">
        <v>41</v>
      </c>
      <c r="T209" s="13">
        <v>3.6640999999999999</v>
      </c>
      <c r="U209" s="14">
        <v>116</v>
      </c>
      <c r="V209" s="14">
        <v>2024</v>
      </c>
      <c r="W209" s="10" t="s">
        <v>89</v>
      </c>
    </row>
    <row r="210" spans="1:23" s="9" customFormat="1" ht="15.75" hidden="1" customHeight="1" x14ac:dyDescent="0.25">
      <c r="A210" s="4" t="s">
        <v>688</v>
      </c>
      <c r="B210" s="4" t="s">
        <v>689</v>
      </c>
      <c r="C210" s="4" t="s">
        <v>690</v>
      </c>
      <c r="D210" s="22" t="s">
        <v>6090</v>
      </c>
      <c r="E210" s="4" t="s">
        <v>87</v>
      </c>
      <c r="F210" s="4" t="s">
        <v>71</v>
      </c>
      <c r="G210" s="4" t="s">
        <v>28</v>
      </c>
      <c r="H210" s="4" t="s">
        <v>72</v>
      </c>
      <c r="I210" s="5">
        <v>45396</v>
      </c>
      <c r="J210" s="4" t="s">
        <v>40</v>
      </c>
      <c r="K210" s="5">
        <v>45586</v>
      </c>
      <c r="L210" s="4" t="s">
        <v>59</v>
      </c>
      <c r="M210" s="6">
        <v>5302</v>
      </c>
      <c r="N210" s="6">
        <v>1390</v>
      </c>
      <c r="O210" s="4">
        <v>37</v>
      </c>
      <c r="P210" s="5">
        <v>45623</v>
      </c>
      <c r="Q210" s="4" t="s">
        <v>33</v>
      </c>
      <c r="R210" s="4" t="s">
        <v>33</v>
      </c>
      <c r="S210" s="4" t="s">
        <v>60</v>
      </c>
      <c r="T210" s="7">
        <v>3.8144</v>
      </c>
      <c r="U210" s="8">
        <v>190</v>
      </c>
      <c r="V210" s="8">
        <v>2024</v>
      </c>
      <c r="W210" s="4" t="s">
        <v>95</v>
      </c>
    </row>
    <row r="211" spans="1:23" s="9" customFormat="1" ht="15.75" hidden="1" customHeight="1" x14ac:dyDescent="0.25">
      <c r="A211" s="10" t="s">
        <v>691</v>
      </c>
      <c r="B211" s="10" t="s">
        <v>692</v>
      </c>
      <c r="C211" s="10" t="s">
        <v>693</v>
      </c>
      <c r="D211" s="21" t="s">
        <v>6089</v>
      </c>
      <c r="E211" s="10" t="s">
        <v>26</v>
      </c>
      <c r="F211" s="10" t="s">
        <v>65</v>
      </c>
      <c r="G211" s="10" t="s">
        <v>57</v>
      </c>
      <c r="H211" s="10" t="s">
        <v>29</v>
      </c>
      <c r="I211" s="11">
        <v>45180</v>
      </c>
      <c r="J211" s="10" t="s">
        <v>40</v>
      </c>
      <c r="K211" s="11">
        <v>45514</v>
      </c>
      <c r="L211" s="10" t="s">
        <v>59</v>
      </c>
      <c r="M211" s="12">
        <v>39438</v>
      </c>
      <c r="N211" s="12">
        <v>1602</v>
      </c>
      <c r="O211" s="10">
        <v>24</v>
      </c>
      <c r="P211" s="11">
        <v>45538</v>
      </c>
      <c r="Q211" s="10" t="s">
        <v>33</v>
      </c>
      <c r="R211" s="10" t="s">
        <v>33</v>
      </c>
      <c r="S211" s="10" t="s">
        <v>34</v>
      </c>
      <c r="T211" s="13">
        <v>24.617999999999999</v>
      </c>
      <c r="U211" s="14">
        <v>334</v>
      </c>
      <c r="V211" s="14">
        <v>2024</v>
      </c>
      <c r="W211" s="10" t="s">
        <v>114</v>
      </c>
    </row>
    <row r="212" spans="1:23" s="9" customFormat="1" ht="15.75" hidden="1" customHeight="1" x14ac:dyDescent="0.25">
      <c r="A212" s="4" t="s">
        <v>694</v>
      </c>
      <c r="B212" s="4" t="s">
        <v>695</v>
      </c>
      <c r="C212" s="4" t="s">
        <v>696</v>
      </c>
      <c r="D212" s="22" t="s">
        <v>6090</v>
      </c>
      <c r="E212" s="4" t="s">
        <v>26</v>
      </c>
      <c r="F212" s="21" t="s">
        <v>6092</v>
      </c>
      <c r="G212" s="4" t="s">
        <v>57</v>
      </c>
      <c r="H212" s="4" t="s">
        <v>29</v>
      </c>
      <c r="I212" s="5">
        <v>45208</v>
      </c>
      <c r="J212" s="4" t="s">
        <v>40</v>
      </c>
      <c r="K212" s="5">
        <v>45563</v>
      </c>
      <c r="L212" s="4" t="s">
        <v>66</v>
      </c>
      <c r="M212" s="6">
        <v>34027</v>
      </c>
      <c r="N212" s="6">
        <v>3283</v>
      </c>
      <c r="O212" s="4" t="s">
        <v>32</v>
      </c>
      <c r="P212" s="4" t="s">
        <v>32</v>
      </c>
      <c r="Q212" s="4" t="s">
        <v>33</v>
      </c>
      <c r="R212" s="4" t="s">
        <v>33</v>
      </c>
      <c r="S212" s="4" t="s">
        <v>41</v>
      </c>
      <c r="T212" s="7">
        <v>10.364599999999999</v>
      </c>
      <c r="U212" s="8">
        <v>355</v>
      </c>
      <c r="V212" s="8">
        <v>2024</v>
      </c>
      <c r="W212" s="4" t="s">
        <v>168</v>
      </c>
    </row>
    <row r="213" spans="1:23" s="9" customFormat="1" ht="15.75" hidden="1" customHeight="1" x14ac:dyDescent="0.25">
      <c r="A213" s="10" t="s">
        <v>697</v>
      </c>
      <c r="B213" s="10" t="s">
        <v>698</v>
      </c>
      <c r="C213" s="10" t="s">
        <v>699</v>
      </c>
      <c r="D213" s="22" t="s">
        <v>6087</v>
      </c>
      <c r="E213" s="10" t="s">
        <v>26</v>
      </c>
      <c r="F213" s="10" t="s">
        <v>65</v>
      </c>
      <c r="G213" s="10" t="s">
        <v>28</v>
      </c>
      <c r="H213" s="10" t="s">
        <v>118</v>
      </c>
      <c r="I213" s="11">
        <v>45196</v>
      </c>
      <c r="J213" s="10" t="s">
        <v>40</v>
      </c>
      <c r="K213" s="11">
        <v>45334</v>
      </c>
      <c r="L213" s="10" t="s">
        <v>59</v>
      </c>
      <c r="M213" s="12">
        <v>19843</v>
      </c>
      <c r="N213" s="12">
        <v>3318</v>
      </c>
      <c r="O213" s="10">
        <v>12</v>
      </c>
      <c r="P213" s="11">
        <v>45346</v>
      </c>
      <c r="Q213" s="10" t="s">
        <v>33</v>
      </c>
      <c r="R213" s="10" t="s">
        <v>33</v>
      </c>
      <c r="S213" s="10" t="s">
        <v>41</v>
      </c>
      <c r="T213" s="13">
        <v>5.9804000000000004</v>
      </c>
      <c r="U213" s="14">
        <v>138</v>
      </c>
      <c r="V213" s="14">
        <v>2024</v>
      </c>
      <c r="W213" s="10" t="s">
        <v>35</v>
      </c>
    </row>
    <row r="214" spans="1:23" s="9" customFormat="1" ht="15.75" hidden="1" customHeight="1" x14ac:dyDescent="0.25">
      <c r="A214" s="4" t="s">
        <v>700</v>
      </c>
      <c r="B214" s="4" t="s">
        <v>701</v>
      </c>
      <c r="C214" s="4" t="s">
        <v>702</v>
      </c>
      <c r="D214" s="22" t="s">
        <v>6087</v>
      </c>
      <c r="E214" s="4" t="s">
        <v>87</v>
      </c>
      <c r="F214" s="4" t="s">
        <v>56</v>
      </c>
      <c r="G214" s="4" t="s">
        <v>28</v>
      </c>
      <c r="H214" s="4" t="s">
        <v>58</v>
      </c>
      <c r="I214" s="5">
        <v>45169</v>
      </c>
      <c r="J214" s="4" t="s">
        <v>30</v>
      </c>
      <c r="K214" s="5">
        <v>45327</v>
      </c>
      <c r="L214" s="4" t="s">
        <v>66</v>
      </c>
      <c r="M214" s="6">
        <v>30714</v>
      </c>
      <c r="N214" s="6">
        <v>7193</v>
      </c>
      <c r="O214" s="4" t="s">
        <v>32</v>
      </c>
      <c r="P214" s="4" t="s">
        <v>32</v>
      </c>
      <c r="Q214" s="4" t="s">
        <v>33</v>
      </c>
      <c r="R214" s="4" t="s">
        <v>33</v>
      </c>
      <c r="S214" s="4" t="s">
        <v>34</v>
      </c>
      <c r="T214" s="7">
        <v>4.2699999999999996</v>
      </c>
      <c r="U214" s="8">
        <v>158</v>
      </c>
      <c r="V214" s="8">
        <v>2024</v>
      </c>
      <c r="W214" s="4" t="s">
        <v>35</v>
      </c>
    </row>
    <row r="215" spans="1:23" s="9" customFormat="1" ht="15.75" hidden="1" customHeight="1" x14ac:dyDescent="0.25">
      <c r="A215" s="10" t="s">
        <v>703</v>
      </c>
      <c r="B215" s="10" t="s">
        <v>704</v>
      </c>
      <c r="C215" s="10" t="s">
        <v>705</v>
      </c>
      <c r="D215" s="21" t="s">
        <v>6086</v>
      </c>
      <c r="E215" s="10" t="s">
        <v>87</v>
      </c>
      <c r="F215" s="10" t="s">
        <v>71</v>
      </c>
      <c r="G215" s="10" t="s">
        <v>57</v>
      </c>
      <c r="H215" s="10" t="s">
        <v>93</v>
      </c>
      <c r="I215" s="11">
        <v>45323</v>
      </c>
      <c r="J215" s="10" t="s">
        <v>40</v>
      </c>
      <c r="K215" s="11">
        <v>45504</v>
      </c>
      <c r="L215" s="10" t="s">
        <v>59</v>
      </c>
      <c r="M215" s="12">
        <v>42671</v>
      </c>
      <c r="N215" s="12">
        <v>5437</v>
      </c>
      <c r="O215" s="10">
        <v>30</v>
      </c>
      <c r="P215" s="11">
        <v>45534</v>
      </c>
      <c r="Q215" s="10" t="s">
        <v>33</v>
      </c>
      <c r="R215" s="10" t="s">
        <v>33</v>
      </c>
      <c r="S215" s="10" t="s">
        <v>60</v>
      </c>
      <c r="T215" s="13">
        <v>7.8483000000000001</v>
      </c>
      <c r="U215" s="14">
        <v>181</v>
      </c>
      <c r="V215" s="14">
        <v>2024</v>
      </c>
      <c r="W215" s="10" t="s">
        <v>42</v>
      </c>
    </row>
    <row r="216" spans="1:23" s="9" customFormat="1" ht="15.75" hidden="1" customHeight="1" x14ac:dyDescent="0.25">
      <c r="A216" s="4" t="s">
        <v>706</v>
      </c>
      <c r="B216" s="4" t="s">
        <v>707</v>
      </c>
      <c r="C216" s="4" t="s">
        <v>708</v>
      </c>
      <c r="D216" s="22" t="s">
        <v>6087</v>
      </c>
      <c r="E216" s="4" t="s">
        <v>51</v>
      </c>
      <c r="F216" s="4" t="s">
        <v>46</v>
      </c>
      <c r="G216" s="4" t="s">
        <v>57</v>
      </c>
      <c r="H216" s="4" t="s">
        <v>72</v>
      </c>
      <c r="I216" s="5">
        <v>45184</v>
      </c>
      <c r="J216" s="4" t="s">
        <v>30</v>
      </c>
      <c r="K216" s="5">
        <v>45369</v>
      </c>
      <c r="L216" s="4" t="s">
        <v>66</v>
      </c>
      <c r="M216" s="6">
        <v>36141</v>
      </c>
      <c r="N216" s="6">
        <v>4670</v>
      </c>
      <c r="O216" s="4" t="s">
        <v>32</v>
      </c>
      <c r="P216" s="4" t="s">
        <v>32</v>
      </c>
      <c r="Q216" s="4" t="s">
        <v>33</v>
      </c>
      <c r="R216" s="4" t="s">
        <v>33</v>
      </c>
      <c r="S216" s="4" t="s">
        <v>41</v>
      </c>
      <c r="T216" s="7">
        <v>7.7389999999999999</v>
      </c>
      <c r="U216" s="8">
        <v>185</v>
      </c>
      <c r="V216" s="8">
        <v>2024</v>
      </c>
      <c r="W216" s="4" t="s">
        <v>77</v>
      </c>
    </row>
    <row r="217" spans="1:23" s="9" customFormat="1" ht="15.75" hidden="1" customHeight="1" x14ac:dyDescent="0.25">
      <c r="A217" s="10" t="s">
        <v>709</v>
      </c>
      <c r="B217" s="10" t="s">
        <v>710</v>
      </c>
      <c r="C217" s="10" t="s">
        <v>711</v>
      </c>
      <c r="D217" s="21" t="s">
        <v>6088</v>
      </c>
      <c r="E217" s="10" t="s">
        <v>51</v>
      </c>
      <c r="F217" s="10" t="s">
        <v>27</v>
      </c>
      <c r="G217" s="10" t="s">
        <v>57</v>
      </c>
      <c r="H217" s="10" t="s">
        <v>118</v>
      </c>
      <c r="I217" s="11">
        <v>45240</v>
      </c>
      <c r="J217" s="10" t="s">
        <v>30</v>
      </c>
      <c r="K217" s="11">
        <v>45462</v>
      </c>
      <c r="L217" s="10" t="s">
        <v>59</v>
      </c>
      <c r="M217" s="12">
        <v>28786</v>
      </c>
      <c r="N217" s="12">
        <v>5590</v>
      </c>
      <c r="O217" s="10">
        <v>36</v>
      </c>
      <c r="P217" s="11">
        <v>45498</v>
      </c>
      <c r="Q217" s="10" t="s">
        <v>33</v>
      </c>
      <c r="R217" s="10" t="s">
        <v>33</v>
      </c>
      <c r="S217" s="10" t="s">
        <v>34</v>
      </c>
      <c r="T217" s="13">
        <v>5.1496000000000004</v>
      </c>
      <c r="U217" s="14">
        <v>222</v>
      </c>
      <c r="V217" s="14">
        <v>2024</v>
      </c>
      <c r="W217" s="10" t="s">
        <v>67</v>
      </c>
    </row>
    <row r="218" spans="1:23" s="9" customFormat="1" ht="15.75" hidden="1" customHeight="1" x14ac:dyDescent="0.25">
      <c r="A218" s="4" t="s">
        <v>712</v>
      </c>
      <c r="B218" s="4" t="s">
        <v>713</v>
      </c>
      <c r="C218" s="4" t="s">
        <v>714</v>
      </c>
      <c r="D218" s="21" t="s">
        <v>6089</v>
      </c>
      <c r="E218" s="4" t="s">
        <v>87</v>
      </c>
      <c r="F218" s="4" t="s">
        <v>65</v>
      </c>
      <c r="G218" s="4" t="s">
        <v>5</v>
      </c>
      <c r="H218" s="4" t="s">
        <v>118</v>
      </c>
      <c r="I218" s="5">
        <v>45205</v>
      </c>
      <c r="J218" s="4" t="s">
        <v>30</v>
      </c>
      <c r="K218" s="5">
        <v>45369</v>
      </c>
      <c r="L218" s="4" t="s">
        <v>59</v>
      </c>
      <c r="M218" s="6">
        <v>24271</v>
      </c>
      <c r="N218" s="6">
        <v>6380</v>
      </c>
      <c r="O218" s="4">
        <v>40</v>
      </c>
      <c r="P218" s="5">
        <v>45409</v>
      </c>
      <c r="Q218" s="4" t="s">
        <v>33</v>
      </c>
      <c r="R218" s="4" t="s">
        <v>33</v>
      </c>
      <c r="S218" s="4" t="s">
        <v>34</v>
      </c>
      <c r="T218" s="7">
        <v>3.8041999999999998</v>
      </c>
      <c r="U218" s="8">
        <v>164</v>
      </c>
      <c r="V218" s="8">
        <v>2024</v>
      </c>
      <c r="W218" s="4" t="s">
        <v>77</v>
      </c>
    </row>
    <row r="219" spans="1:23" s="9" customFormat="1" ht="15.75" hidden="1" customHeight="1" x14ac:dyDescent="0.25">
      <c r="A219" s="10" t="s">
        <v>715</v>
      </c>
      <c r="B219" s="10" t="s">
        <v>716</v>
      </c>
      <c r="C219" s="10" t="s">
        <v>717</v>
      </c>
      <c r="D219" s="21" t="s">
        <v>6088</v>
      </c>
      <c r="E219" s="10" t="s">
        <v>87</v>
      </c>
      <c r="F219" s="10" t="s">
        <v>71</v>
      </c>
      <c r="G219" s="10" t="s">
        <v>57</v>
      </c>
      <c r="H219" s="10" t="s">
        <v>93</v>
      </c>
      <c r="I219" s="11">
        <v>45458</v>
      </c>
      <c r="J219" s="10" t="s">
        <v>30</v>
      </c>
      <c r="K219" s="11">
        <v>45543</v>
      </c>
      <c r="L219" s="10" t="s">
        <v>66</v>
      </c>
      <c r="M219" s="12">
        <v>43306</v>
      </c>
      <c r="N219" s="12">
        <v>3549</v>
      </c>
      <c r="O219" s="10" t="s">
        <v>32</v>
      </c>
      <c r="P219" s="10" t="s">
        <v>32</v>
      </c>
      <c r="Q219" s="10" t="s">
        <v>94</v>
      </c>
      <c r="R219" s="10" t="s">
        <v>33</v>
      </c>
      <c r="S219" s="10" t="s">
        <v>41</v>
      </c>
      <c r="T219" s="13">
        <v>12.202299999999999</v>
      </c>
      <c r="U219" s="14">
        <v>85</v>
      </c>
      <c r="V219" s="14">
        <v>2024</v>
      </c>
      <c r="W219" s="10" t="s">
        <v>168</v>
      </c>
    </row>
    <row r="220" spans="1:23" s="9" customFormat="1" ht="15.75" hidden="1" customHeight="1" x14ac:dyDescent="0.25">
      <c r="A220" s="4" t="s">
        <v>718</v>
      </c>
      <c r="B220" s="4" t="s">
        <v>719</v>
      </c>
      <c r="C220" s="4" t="s">
        <v>720</v>
      </c>
      <c r="D220" s="22" t="s">
        <v>6090</v>
      </c>
      <c r="E220" s="4" t="s">
        <v>51</v>
      </c>
      <c r="F220" s="4" t="s">
        <v>46</v>
      </c>
      <c r="G220" s="4" t="s">
        <v>5</v>
      </c>
      <c r="H220" s="4" t="s">
        <v>118</v>
      </c>
      <c r="I220" s="5">
        <v>45065</v>
      </c>
      <c r="J220" s="4" t="s">
        <v>30</v>
      </c>
      <c r="K220" s="5">
        <v>45292</v>
      </c>
      <c r="L220" s="4" t="s">
        <v>59</v>
      </c>
      <c r="M220" s="6">
        <v>56412</v>
      </c>
      <c r="N220" s="6">
        <v>639</v>
      </c>
      <c r="O220" s="4">
        <v>39</v>
      </c>
      <c r="P220" s="5">
        <v>45331</v>
      </c>
      <c r="Q220" s="4" t="s">
        <v>94</v>
      </c>
      <c r="R220" s="4" t="s">
        <v>33</v>
      </c>
      <c r="S220" s="4" t="s">
        <v>34</v>
      </c>
      <c r="T220" s="7">
        <v>88.281700000000001</v>
      </c>
      <c r="U220" s="8">
        <v>227</v>
      </c>
      <c r="V220" s="8">
        <v>2024</v>
      </c>
      <c r="W220" s="4" t="s">
        <v>73</v>
      </c>
    </row>
    <row r="221" spans="1:23" s="9" customFormat="1" ht="15.75" hidden="1" customHeight="1" x14ac:dyDescent="0.25">
      <c r="A221" s="10" t="s">
        <v>721</v>
      </c>
      <c r="B221" s="10" t="s">
        <v>722</v>
      </c>
      <c r="C221" s="10" t="s">
        <v>723</v>
      </c>
      <c r="D221" s="21" t="s">
        <v>6088</v>
      </c>
      <c r="E221" s="10" t="s">
        <v>26</v>
      </c>
      <c r="F221" s="10" t="s">
        <v>56</v>
      </c>
      <c r="G221" s="10" t="s">
        <v>28</v>
      </c>
      <c r="H221" s="10" t="s">
        <v>161</v>
      </c>
      <c r="I221" s="11">
        <v>45441</v>
      </c>
      <c r="J221" s="10" t="s">
        <v>40</v>
      </c>
      <c r="K221" s="11">
        <v>45549</v>
      </c>
      <c r="L221" s="10" t="s">
        <v>59</v>
      </c>
      <c r="M221" s="12">
        <v>78952</v>
      </c>
      <c r="N221" s="12">
        <v>4173</v>
      </c>
      <c r="O221" s="10">
        <v>17</v>
      </c>
      <c r="P221" s="11">
        <v>45566</v>
      </c>
      <c r="Q221" s="10" t="s">
        <v>33</v>
      </c>
      <c r="R221" s="10" t="s">
        <v>33</v>
      </c>
      <c r="S221" s="10" t="s">
        <v>34</v>
      </c>
      <c r="T221" s="13">
        <v>18.919699999999999</v>
      </c>
      <c r="U221" s="14">
        <v>108</v>
      </c>
      <c r="V221" s="14">
        <v>2024</v>
      </c>
      <c r="W221" s="10" t="s">
        <v>168</v>
      </c>
    </row>
    <row r="222" spans="1:23" s="9" customFormat="1" ht="15.75" hidden="1" customHeight="1" x14ac:dyDescent="0.25">
      <c r="A222" s="4" t="s">
        <v>724</v>
      </c>
      <c r="B222" s="4" t="s">
        <v>725</v>
      </c>
      <c r="C222" s="4" t="s">
        <v>726</v>
      </c>
      <c r="D222" s="21" t="s">
        <v>6088</v>
      </c>
      <c r="E222" s="4" t="s">
        <v>51</v>
      </c>
      <c r="F222" s="4" t="s">
        <v>56</v>
      </c>
      <c r="G222" s="4" t="s">
        <v>57</v>
      </c>
      <c r="H222" s="4" t="s">
        <v>58</v>
      </c>
      <c r="I222" s="5">
        <v>45359</v>
      </c>
      <c r="J222" s="4" t="s">
        <v>40</v>
      </c>
      <c r="K222" s="5">
        <v>45476</v>
      </c>
      <c r="L222" s="4" t="s">
        <v>59</v>
      </c>
      <c r="M222" s="6">
        <v>10660</v>
      </c>
      <c r="N222" s="6">
        <v>1094</v>
      </c>
      <c r="O222" s="4">
        <v>23</v>
      </c>
      <c r="P222" s="5">
        <v>45499</v>
      </c>
      <c r="Q222" s="4" t="s">
        <v>94</v>
      </c>
      <c r="R222" s="4" t="s">
        <v>33</v>
      </c>
      <c r="S222" s="4" t="s">
        <v>34</v>
      </c>
      <c r="T222" s="7">
        <v>9.7440999999999995</v>
      </c>
      <c r="U222" s="8">
        <v>117</v>
      </c>
      <c r="V222" s="8">
        <v>2024</v>
      </c>
      <c r="W222" s="4" t="s">
        <v>42</v>
      </c>
    </row>
    <row r="223" spans="1:23" s="9" customFormat="1" ht="15.75" hidden="1" customHeight="1" x14ac:dyDescent="0.25">
      <c r="A223" s="10" t="s">
        <v>727</v>
      </c>
      <c r="B223" s="10" t="s">
        <v>728</v>
      </c>
      <c r="C223" s="10" t="s">
        <v>729</v>
      </c>
      <c r="D223" s="21" t="s">
        <v>6086</v>
      </c>
      <c r="E223" s="10" t="s">
        <v>87</v>
      </c>
      <c r="F223" s="10" t="s">
        <v>46</v>
      </c>
      <c r="G223" s="10" t="s">
        <v>57</v>
      </c>
      <c r="H223" s="10" t="s">
        <v>118</v>
      </c>
      <c r="I223" s="11">
        <v>45313</v>
      </c>
      <c r="J223" s="10" t="s">
        <v>30</v>
      </c>
      <c r="K223" s="11">
        <v>45634</v>
      </c>
      <c r="L223" s="10" t="s">
        <v>59</v>
      </c>
      <c r="M223" s="12">
        <v>64343</v>
      </c>
      <c r="N223" s="12">
        <v>5751</v>
      </c>
      <c r="O223" s="10">
        <v>27</v>
      </c>
      <c r="P223" s="11">
        <v>45661</v>
      </c>
      <c r="Q223" s="10" t="s">
        <v>33</v>
      </c>
      <c r="R223" s="10" t="s">
        <v>33</v>
      </c>
      <c r="S223" s="10" t="s">
        <v>60</v>
      </c>
      <c r="T223" s="13">
        <v>11.1881</v>
      </c>
      <c r="U223" s="14">
        <v>321</v>
      </c>
      <c r="V223" s="14">
        <v>2024</v>
      </c>
      <c r="W223" s="10" t="s">
        <v>89</v>
      </c>
    </row>
    <row r="224" spans="1:23" s="9" customFormat="1" ht="15.75" hidden="1" customHeight="1" x14ac:dyDescent="0.25">
      <c r="A224" s="4" t="s">
        <v>730</v>
      </c>
      <c r="B224" s="4" t="s">
        <v>731</v>
      </c>
      <c r="C224" s="4" t="s">
        <v>732</v>
      </c>
      <c r="D224" s="21" t="s">
        <v>6091</v>
      </c>
      <c r="E224" s="4" t="s">
        <v>87</v>
      </c>
      <c r="F224" s="21" t="s">
        <v>6092</v>
      </c>
      <c r="G224" s="4" t="s">
        <v>57</v>
      </c>
      <c r="H224" s="4" t="s">
        <v>161</v>
      </c>
      <c r="I224" s="5">
        <v>45353</v>
      </c>
      <c r="J224" s="4" t="s">
        <v>40</v>
      </c>
      <c r="K224" s="5">
        <v>45563</v>
      </c>
      <c r="L224" s="4" t="s">
        <v>66</v>
      </c>
      <c r="M224" s="6">
        <v>15642</v>
      </c>
      <c r="N224" s="6">
        <v>5527</v>
      </c>
      <c r="O224" s="4" t="s">
        <v>32</v>
      </c>
      <c r="P224" s="4" t="s">
        <v>32</v>
      </c>
      <c r="Q224" s="4" t="s">
        <v>33</v>
      </c>
      <c r="R224" s="4" t="s">
        <v>33</v>
      </c>
      <c r="S224" s="4" t="s">
        <v>60</v>
      </c>
      <c r="T224" s="7">
        <v>2.8300999999999998</v>
      </c>
      <c r="U224" s="8">
        <v>210</v>
      </c>
      <c r="V224" s="8">
        <v>2024</v>
      </c>
      <c r="W224" s="4" t="s">
        <v>168</v>
      </c>
    </row>
    <row r="225" spans="1:23" s="9" customFormat="1" ht="15.75" hidden="1" customHeight="1" x14ac:dyDescent="0.25">
      <c r="A225" s="10" t="s">
        <v>733</v>
      </c>
      <c r="B225" s="10" t="s">
        <v>734</v>
      </c>
      <c r="C225" s="10" t="s">
        <v>735</v>
      </c>
      <c r="D225" s="22" t="s">
        <v>6090</v>
      </c>
      <c r="E225" s="10" t="s">
        <v>87</v>
      </c>
      <c r="F225" s="10" t="s">
        <v>71</v>
      </c>
      <c r="G225" s="10" t="s">
        <v>5</v>
      </c>
      <c r="H225" s="10" t="s">
        <v>58</v>
      </c>
      <c r="I225" s="11">
        <v>45251</v>
      </c>
      <c r="J225" s="10" t="s">
        <v>30</v>
      </c>
      <c r="K225" s="11">
        <v>45502</v>
      </c>
      <c r="L225" s="10" t="s">
        <v>66</v>
      </c>
      <c r="M225" s="12">
        <v>22370</v>
      </c>
      <c r="N225" s="12">
        <v>3833</v>
      </c>
      <c r="O225" s="10" t="s">
        <v>32</v>
      </c>
      <c r="P225" s="10" t="s">
        <v>32</v>
      </c>
      <c r="Q225" s="10" t="s">
        <v>33</v>
      </c>
      <c r="R225" s="10" t="s">
        <v>33</v>
      </c>
      <c r="S225" s="10" t="s">
        <v>41</v>
      </c>
      <c r="T225" s="13">
        <v>5.8361999999999998</v>
      </c>
      <c r="U225" s="14">
        <v>251</v>
      </c>
      <c r="V225" s="14">
        <v>2024</v>
      </c>
      <c r="W225" s="10" t="s">
        <v>42</v>
      </c>
    </row>
    <row r="226" spans="1:23" s="9" customFormat="1" ht="15.75" hidden="1" customHeight="1" x14ac:dyDescent="0.25">
      <c r="A226" s="4" t="s">
        <v>736</v>
      </c>
      <c r="B226" s="4" t="s">
        <v>737</v>
      </c>
      <c r="C226" s="4" t="s">
        <v>738</v>
      </c>
      <c r="D226" s="22" t="s">
        <v>6087</v>
      </c>
      <c r="E226" s="4" t="s">
        <v>87</v>
      </c>
      <c r="F226" s="4" t="s">
        <v>71</v>
      </c>
      <c r="G226" s="4" t="s">
        <v>57</v>
      </c>
      <c r="H226" s="4" t="s">
        <v>72</v>
      </c>
      <c r="I226" s="5">
        <v>45062</v>
      </c>
      <c r="J226" s="4" t="s">
        <v>40</v>
      </c>
      <c r="K226" s="5">
        <v>45427</v>
      </c>
      <c r="L226" s="4" t="s">
        <v>59</v>
      </c>
      <c r="M226" s="6">
        <v>30723</v>
      </c>
      <c r="N226" s="6">
        <v>1044</v>
      </c>
      <c r="O226" s="4">
        <v>36</v>
      </c>
      <c r="P226" s="5">
        <v>45463</v>
      </c>
      <c r="Q226" s="4" t="s">
        <v>33</v>
      </c>
      <c r="R226" s="4" t="s">
        <v>33</v>
      </c>
      <c r="S226" s="4" t="s">
        <v>34</v>
      </c>
      <c r="T226" s="7">
        <v>29.4282</v>
      </c>
      <c r="U226" s="8">
        <v>365</v>
      </c>
      <c r="V226" s="8">
        <v>2024</v>
      </c>
      <c r="W226" s="4" t="s">
        <v>52</v>
      </c>
    </row>
    <row r="227" spans="1:23" s="9" customFormat="1" ht="15.75" hidden="1" customHeight="1" x14ac:dyDescent="0.25">
      <c r="A227" s="10" t="s">
        <v>739</v>
      </c>
      <c r="B227" s="10" t="s">
        <v>740</v>
      </c>
      <c r="C227" s="10" t="s">
        <v>741</v>
      </c>
      <c r="D227" s="22" t="s">
        <v>6090</v>
      </c>
      <c r="E227" s="10" t="s">
        <v>51</v>
      </c>
      <c r="F227" s="10" t="s">
        <v>46</v>
      </c>
      <c r="G227" s="10" t="s">
        <v>57</v>
      </c>
      <c r="H227" s="10" t="s">
        <v>29</v>
      </c>
      <c r="I227" s="11">
        <v>45442</v>
      </c>
      <c r="J227" s="10" t="s">
        <v>40</v>
      </c>
      <c r="K227" s="11">
        <v>45487</v>
      </c>
      <c r="L227" s="10" t="s">
        <v>59</v>
      </c>
      <c r="M227" s="12">
        <v>49874</v>
      </c>
      <c r="N227" s="12">
        <v>7406</v>
      </c>
      <c r="O227" s="10">
        <v>12</v>
      </c>
      <c r="P227" s="11">
        <v>45499</v>
      </c>
      <c r="Q227" s="10" t="s">
        <v>33</v>
      </c>
      <c r="R227" s="10" t="s">
        <v>33</v>
      </c>
      <c r="S227" s="10" t="s">
        <v>60</v>
      </c>
      <c r="T227" s="13">
        <v>6.7343000000000002</v>
      </c>
      <c r="U227" s="14">
        <v>45</v>
      </c>
      <c r="V227" s="14">
        <v>2024</v>
      </c>
      <c r="W227" s="10" t="s">
        <v>42</v>
      </c>
    </row>
    <row r="228" spans="1:23" s="9" customFormat="1" ht="15.75" hidden="1" customHeight="1" x14ac:dyDescent="0.25">
      <c r="A228" s="4" t="s">
        <v>742</v>
      </c>
      <c r="B228" s="4" t="s">
        <v>743</v>
      </c>
      <c r="C228" s="4" t="s">
        <v>744</v>
      </c>
      <c r="D228" s="22" t="s">
        <v>6090</v>
      </c>
      <c r="E228" s="4" t="s">
        <v>26</v>
      </c>
      <c r="F228" s="4" t="s">
        <v>56</v>
      </c>
      <c r="G228" s="4" t="s">
        <v>57</v>
      </c>
      <c r="H228" s="4" t="s">
        <v>88</v>
      </c>
      <c r="I228" s="5">
        <v>45218</v>
      </c>
      <c r="J228" s="4" t="s">
        <v>40</v>
      </c>
      <c r="K228" s="5">
        <v>45485</v>
      </c>
      <c r="L228" s="4" t="s">
        <v>59</v>
      </c>
      <c r="M228" s="6">
        <v>23959</v>
      </c>
      <c r="N228" s="6">
        <v>7152</v>
      </c>
      <c r="O228" s="4">
        <v>36</v>
      </c>
      <c r="P228" s="5">
        <v>45521</v>
      </c>
      <c r="Q228" s="4" t="s">
        <v>33</v>
      </c>
      <c r="R228" s="4" t="s">
        <v>33</v>
      </c>
      <c r="S228" s="4" t="s">
        <v>60</v>
      </c>
      <c r="T228" s="7">
        <v>3.35</v>
      </c>
      <c r="U228" s="8">
        <v>267</v>
      </c>
      <c r="V228" s="8">
        <v>2024</v>
      </c>
      <c r="W228" s="4" t="s">
        <v>42</v>
      </c>
    </row>
    <row r="229" spans="1:23" s="9" customFormat="1" ht="15.75" hidden="1" customHeight="1" x14ac:dyDescent="0.25">
      <c r="A229" s="10" t="s">
        <v>745</v>
      </c>
      <c r="B229" s="10" t="s">
        <v>746</v>
      </c>
      <c r="C229" s="10" t="s">
        <v>747</v>
      </c>
      <c r="D229" s="22" t="s">
        <v>6090</v>
      </c>
      <c r="E229" s="10" t="s">
        <v>87</v>
      </c>
      <c r="F229" s="10" t="s">
        <v>56</v>
      </c>
      <c r="G229" s="10" t="s">
        <v>28</v>
      </c>
      <c r="H229" s="10" t="s">
        <v>88</v>
      </c>
      <c r="I229" s="11">
        <v>45345</v>
      </c>
      <c r="J229" s="10" t="s">
        <v>40</v>
      </c>
      <c r="K229" s="11">
        <v>45651</v>
      </c>
      <c r="L229" s="10" t="s">
        <v>59</v>
      </c>
      <c r="M229" s="12">
        <v>11150</v>
      </c>
      <c r="N229" s="12">
        <v>1980</v>
      </c>
      <c r="O229" s="10">
        <v>16</v>
      </c>
      <c r="P229" s="11">
        <v>45667</v>
      </c>
      <c r="Q229" s="10" t="s">
        <v>33</v>
      </c>
      <c r="R229" s="10" t="s">
        <v>33</v>
      </c>
      <c r="S229" s="10" t="s">
        <v>41</v>
      </c>
      <c r="T229" s="13">
        <v>5.6313000000000004</v>
      </c>
      <c r="U229" s="14">
        <v>306</v>
      </c>
      <c r="V229" s="14">
        <v>2024</v>
      </c>
      <c r="W229" s="10" t="s">
        <v>89</v>
      </c>
    </row>
    <row r="230" spans="1:23" s="9" customFormat="1" ht="15.75" hidden="1" customHeight="1" x14ac:dyDescent="0.25">
      <c r="A230" s="4" t="s">
        <v>748</v>
      </c>
      <c r="B230" s="4" t="s">
        <v>749</v>
      </c>
      <c r="C230" s="4" t="s">
        <v>750</v>
      </c>
      <c r="D230" s="22" t="s">
        <v>6090</v>
      </c>
      <c r="E230" s="4" t="s">
        <v>26</v>
      </c>
      <c r="F230" s="21" t="s">
        <v>6092</v>
      </c>
      <c r="G230" s="4" t="s">
        <v>5</v>
      </c>
      <c r="H230" s="4" t="s">
        <v>118</v>
      </c>
      <c r="I230" s="5">
        <v>45070</v>
      </c>
      <c r="J230" s="4" t="s">
        <v>30</v>
      </c>
      <c r="K230" s="5">
        <v>45310</v>
      </c>
      <c r="L230" s="4" t="s">
        <v>59</v>
      </c>
      <c r="M230" s="6">
        <v>23399</v>
      </c>
      <c r="N230" s="6">
        <v>2341</v>
      </c>
      <c r="O230" s="4">
        <v>3</v>
      </c>
      <c r="P230" s="5">
        <v>45313</v>
      </c>
      <c r="Q230" s="4" t="s">
        <v>33</v>
      </c>
      <c r="R230" s="4" t="s">
        <v>33</v>
      </c>
      <c r="S230" s="4" t="s">
        <v>60</v>
      </c>
      <c r="T230" s="7">
        <v>9.9953000000000003</v>
      </c>
      <c r="U230" s="8">
        <v>240</v>
      </c>
      <c r="V230" s="8">
        <v>2024</v>
      </c>
      <c r="W230" s="4" t="s">
        <v>73</v>
      </c>
    </row>
    <row r="231" spans="1:23" s="9" customFormat="1" ht="15.75" hidden="1" customHeight="1" x14ac:dyDescent="0.25">
      <c r="A231" s="10" t="s">
        <v>751</v>
      </c>
      <c r="B231" s="10" t="s">
        <v>752</v>
      </c>
      <c r="C231" s="10" t="s">
        <v>753</v>
      </c>
      <c r="D231" s="21" t="s">
        <v>6089</v>
      </c>
      <c r="E231" s="10" t="s">
        <v>51</v>
      </c>
      <c r="F231" s="10" t="s">
        <v>71</v>
      </c>
      <c r="G231" s="10" t="s">
        <v>28</v>
      </c>
      <c r="H231" s="10" t="s">
        <v>118</v>
      </c>
      <c r="I231" s="11">
        <v>45149</v>
      </c>
      <c r="J231" s="10" t="s">
        <v>40</v>
      </c>
      <c r="K231" s="11">
        <v>45387</v>
      </c>
      <c r="L231" s="10" t="s">
        <v>31</v>
      </c>
      <c r="M231" s="12">
        <v>21746</v>
      </c>
      <c r="N231" s="12">
        <v>6363</v>
      </c>
      <c r="O231" s="10" t="s">
        <v>32</v>
      </c>
      <c r="P231" s="10" t="s">
        <v>32</v>
      </c>
      <c r="Q231" s="10" t="s">
        <v>33</v>
      </c>
      <c r="R231" s="10" t="s">
        <v>33</v>
      </c>
      <c r="S231" s="10" t="s">
        <v>34</v>
      </c>
      <c r="T231" s="13">
        <v>3.4176000000000002</v>
      </c>
      <c r="U231" s="14">
        <v>238</v>
      </c>
      <c r="V231" s="14">
        <v>2024</v>
      </c>
      <c r="W231" s="10" t="s">
        <v>47</v>
      </c>
    </row>
    <row r="232" spans="1:23" s="9" customFormat="1" ht="15.75" hidden="1" customHeight="1" x14ac:dyDescent="0.25">
      <c r="A232" s="4" t="s">
        <v>754</v>
      </c>
      <c r="B232" s="4" t="s">
        <v>755</v>
      </c>
      <c r="C232" s="4" t="s">
        <v>756</v>
      </c>
      <c r="D232" s="21" t="s">
        <v>6089</v>
      </c>
      <c r="E232" s="4" t="s">
        <v>51</v>
      </c>
      <c r="F232" s="4" t="s">
        <v>56</v>
      </c>
      <c r="G232" s="4" t="s">
        <v>28</v>
      </c>
      <c r="H232" s="4" t="s">
        <v>93</v>
      </c>
      <c r="I232" s="5">
        <v>45085</v>
      </c>
      <c r="J232" s="4" t="s">
        <v>30</v>
      </c>
      <c r="K232" s="5">
        <v>45375</v>
      </c>
      <c r="L232" s="4" t="s">
        <v>59</v>
      </c>
      <c r="M232" s="6">
        <v>48644</v>
      </c>
      <c r="N232" s="6">
        <v>6337</v>
      </c>
      <c r="O232" s="4">
        <v>9</v>
      </c>
      <c r="P232" s="5">
        <v>45384</v>
      </c>
      <c r="Q232" s="4" t="s">
        <v>94</v>
      </c>
      <c r="R232" s="4" t="s">
        <v>33</v>
      </c>
      <c r="S232" s="4" t="s">
        <v>41</v>
      </c>
      <c r="T232" s="7">
        <v>7.6761999999999997</v>
      </c>
      <c r="U232" s="8">
        <v>290</v>
      </c>
      <c r="V232" s="8">
        <v>2024</v>
      </c>
      <c r="W232" s="4" t="s">
        <v>77</v>
      </c>
    </row>
    <row r="233" spans="1:23" s="9" customFormat="1" ht="15.75" hidden="1" customHeight="1" x14ac:dyDescent="0.25">
      <c r="A233" s="10" t="s">
        <v>757</v>
      </c>
      <c r="B233" s="10" t="s">
        <v>758</v>
      </c>
      <c r="C233" s="10" t="s">
        <v>759</v>
      </c>
      <c r="D233" s="22" t="s">
        <v>6087</v>
      </c>
      <c r="E233" s="10" t="s">
        <v>87</v>
      </c>
      <c r="F233" s="10" t="s">
        <v>71</v>
      </c>
      <c r="G233" s="10" t="s">
        <v>57</v>
      </c>
      <c r="H233" s="10" t="s">
        <v>72</v>
      </c>
      <c r="I233" s="11">
        <v>45451</v>
      </c>
      <c r="J233" s="10" t="s">
        <v>30</v>
      </c>
      <c r="K233" s="11">
        <v>45546</v>
      </c>
      <c r="L233" s="10" t="s">
        <v>59</v>
      </c>
      <c r="M233" s="12">
        <v>18158</v>
      </c>
      <c r="N233" s="12">
        <v>5142</v>
      </c>
      <c r="O233" s="10">
        <v>25</v>
      </c>
      <c r="P233" s="11">
        <v>45571</v>
      </c>
      <c r="Q233" s="10" t="s">
        <v>33</v>
      </c>
      <c r="R233" s="10" t="s">
        <v>33</v>
      </c>
      <c r="S233" s="10" t="s">
        <v>60</v>
      </c>
      <c r="T233" s="13">
        <v>3.5312999999999999</v>
      </c>
      <c r="U233" s="14">
        <v>95</v>
      </c>
      <c r="V233" s="14">
        <v>2024</v>
      </c>
      <c r="W233" s="10" t="s">
        <v>168</v>
      </c>
    </row>
    <row r="234" spans="1:23" s="9" customFormat="1" ht="15.75" hidden="1" customHeight="1" x14ac:dyDescent="0.25">
      <c r="A234" s="4" t="s">
        <v>760</v>
      </c>
      <c r="B234" s="4" t="s">
        <v>761</v>
      </c>
      <c r="C234" s="4" t="s">
        <v>762</v>
      </c>
      <c r="D234" s="21" t="s">
        <v>6088</v>
      </c>
      <c r="E234" s="4" t="s">
        <v>87</v>
      </c>
      <c r="F234" s="4" t="s">
        <v>71</v>
      </c>
      <c r="G234" s="4" t="s">
        <v>28</v>
      </c>
      <c r="H234" s="4" t="s">
        <v>58</v>
      </c>
      <c r="I234" s="5">
        <v>45399</v>
      </c>
      <c r="J234" s="4" t="s">
        <v>40</v>
      </c>
      <c r="K234" s="5">
        <v>45484</v>
      </c>
      <c r="L234" s="4" t="s">
        <v>59</v>
      </c>
      <c r="M234" s="6">
        <v>52218</v>
      </c>
      <c r="N234" s="6">
        <v>2091</v>
      </c>
      <c r="O234" s="4">
        <v>8</v>
      </c>
      <c r="P234" s="5">
        <v>45492</v>
      </c>
      <c r="Q234" s="4" t="s">
        <v>33</v>
      </c>
      <c r="R234" s="4" t="s">
        <v>33</v>
      </c>
      <c r="S234" s="4" t="s">
        <v>60</v>
      </c>
      <c r="T234" s="7">
        <v>24.9727</v>
      </c>
      <c r="U234" s="8">
        <v>85</v>
      </c>
      <c r="V234" s="8">
        <v>2024</v>
      </c>
      <c r="W234" s="4" t="s">
        <v>42</v>
      </c>
    </row>
    <row r="235" spans="1:23" s="9" customFormat="1" ht="15.75" hidden="1" customHeight="1" x14ac:dyDescent="0.25">
      <c r="A235" s="10" t="s">
        <v>763</v>
      </c>
      <c r="B235" s="10" t="s">
        <v>764</v>
      </c>
      <c r="C235" s="10" t="s">
        <v>765</v>
      </c>
      <c r="D235" s="22" t="s">
        <v>6090</v>
      </c>
      <c r="E235" s="10" t="s">
        <v>51</v>
      </c>
      <c r="F235" s="21" t="s">
        <v>6092</v>
      </c>
      <c r="G235" s="10" t="s">
        <v>28</v>
      </c>
      <c r="H235" s="10" t="s">
        <v>58</v>
      </c>
      <c r="I235" s="11">
        <v>45239</v>
      </c>
      <c r="J235" s="10" t="s">
        <v>30</v>
      </c>
      <c r="K235" s="11">
        <v>45396</v>
      </c>
      <c r="L235" s="10" t="s">
        <v>59</v>
      </c>
      <c r="M235" s="12">
        <v>59371</v>
      </c>
      <c r="N235" s="12">
        <v>6577</v>
      </c>
      <c r="O235" s="10">
        <v>35</v>
      </c>
      <c r="P235" s="11">
        <v>45431</v>
      </c>
      <c r="Q235" s="10" t="s">
        <v>33</v>
      </c>
      <c r="R235" s="10" t="s">
        <v>33</v>
      </c>
      <c r="S235" s="10" t="s">
        <v>41</v>
      </c>
      <c r="T235" s="13">
        <v>9.0271000000000008</v>
      </c>
      <c r="U235" s="14">
        <v>157</v>
      </c>
      <c r="V235" s="14">
        <v>2024</v>
      </c>
      <c r="W235" s="10" t="s">
        <v>47</v>
      </c>
    </row>
    <row r="236" spans="1:23" s="9" customFormat="1" ht="15.75" hidden="1" customHeight="1" x14ac:dyDescent="0.25">
      <c r="A236" s="4" t="s">
        <v>766</v>
      </c>
      <c r="B236" s="4" t="s">
        <v>767</v>
      </c>
      <c r="C236" s="4" t="s">
        <v>768</v>
      </c>
      <c r="D236" s="21" t="s">
        <v>6091</v>
      </c>
      <c r="E236" s="4" t="s">
        <v>26</v>
      </c>
      <c r="F236" s="4" t="s">
        <v>27</v>
      </c>
      <c r="G236" s="4" t="s">
        <v>5</v>
      </c>
      <c r="H236" s="4" t="s">
        <v>88</v>
      </c>
      <c r="I236" s="5">
        <v>45221</v>
      </c>
      <c r="J236" s="4" t="s">
        <v>40</v>
      </c>
      <c r="K236" s="5">
        <v>45540</v>
      </c>
      <c r="L236" s="4" t="s">
        <v>59</v>
      </c>
      <c r="M236" s="6">
        <v>16021</v>
      </c>
      <c r="N236" s="6">
        <v>4130</v>
      </c>
      <c r="O236" s="4">
        <v>4</v>
      </c>
      <c r="P236" s="5">
        <v>45544</v>
      </c>
      <c r="Q236" s="4" t="s">
        <v>33</v>
      </c>
      <c r="R236" s="4" t="s">
        <v>33</v>
      </c>
      <c r="S236" s="4" t="s">
        <v>34</v>
      </c>
      <c r="T236" s="7">
        <v>3.8792</v>
      </c>
      <c r="U236" s="8">
        <v>319</v>
      </c>
      <c r="V236" s="8">
        <v>2024</v>
      </c>
      <c r="W236" s="4" t="s">
        <v>168</v>
      </c>
    </row>
    <row r="237" spans="1:23" s="9" customFormat="1" ht="15.75" hidden="1" customHeight="1" x14ac:dyDescent="0.25">
      <c r="A237" s="10" t="s">
        <v>769</v>
      </c>
      <c r="B237" s="10" t="s">
        <v>770</v>
      </c>
      <c r="C237" s="10" t="s">
        <v>771</v>
      </c>
      <c r="D237" s="22" t="s">
        <v>6087</v>
      </c>
      <c r="E237" s="10" t="s">
        <v>51</v>
      </c>
      <c r="F237" s="10" t="s">
        <v>56</v>
      </c>
      <c r="G237" s="10" t="s">
        <v>5</v>
      </c>
      <c r="H237" s="10" t="s">
        <v>118</v>
      </c>
      <c r="I237" s="11">
        <v>45481</v>
      </c>
      <c r="J237" s="10" t="s">
        <v>30</v>
      </c>
      <c r="K237" s="11">
        <v>45597</v>
      </c>
      <c r="L237" s="10" t="s">
        <v>59</v>
      </c>
      <c r="M237" s="12">
        <v>4534</v>
      </c>
      <c r="N237" s="12">
        <v>2879</v>
      </c>
      <c r="O237" s="10">
        <v>7</v>
      </c>
      <c r="P237" s="11">
        <v>45604</v>
      </c>
      <c r="Q237" s="10" t="s">
        <v>33</v>
      </c>
      <c r="R237" s="10" t="s">
        <v>33</v>
      </c>
      <c r="S237" s="10" t="s">
        <v>60</v>
      </c>
      <c r="T237" s="13">
        <v>1.5749</v>
      </c>
      <c r="U237" s="14">
        <v>116</v>
      </c>
      <c r="V237" s="14">
        <v>2024</v>
      </c>
      <c r="W237" s="10" t="s">
        <v>61</v>
      </c>
    </row>
    <row r="238" spans="1:23" s="9" customFormat="1" ht="15.75" hidden="1" customHeight="1" x14ac:dyDescent="0.25">
      <c r="A238" s="4" t="s">
        <v>772</v>
      </c>
      <c r="B238" s="4" t="s">
        <v>773</v>
      </c>
      <c r="C238" s="4" t="s">
        <v>774</v>
      </c>
      <c r="D238" s="21" t="s">
        <v>6088</v>
      </c>
      <c r="E238" s="4" t="s">
        <v>26</v>
      </c>
      <c r="F238" s="21" t="s">
        <v>6092</v>
      </c>
      <c r="G238" s="4" t="s">
        <v>5</v>
      </c>
      <c r="H238" s="4" t="s">
        <v>93</v>
      </c>
      <c r="I238" s="5">
        <v>45585</v>
      </c>
      <c r="J238" s="4" t="s">
        <v>40</v>
      </c>
      <c r="K238" s="5">
        <v>45644</v>
      </c>
      <c r="L238" s="4" t="s">
        <v>59</v>
      </c>
      <c r="M238" s="6">
        <v>19128</v>
      </c>
      <c r="N238" s="6">
        <v>3405</v>
      </c>
      <c r="O238" s="4">
        <v>23</v>
      </c>
      <c r="P238" s="5">
        <v>45667</v>
      </c>
      <c r="Q238" s="4" t="s">
        <v>33</v>
      </c>
      <c r="R238" s="4" t="s">
        <v>33</v>
      </c>
      <c r="S238" s="4" t="s">
        <v>60</v>
      </c>
      <c r="T238" s="7">
        <v>5.6176000000000004</v>
      </c>
      <c r="U238" s="8">
        <v>59</v>
      </c>
      <c r="V238" s="8">
        <v>2024</v>
      </c>
      <c r="W238" s="4" t="s">
        <v>89</v>
      </c>
    </row>
    <row r="239" spans="1:23" s="9" customFormat="1" ht="15.75" hidden="1" customHeight="1" x14ac:dyDescent="0.25">
      <c r="A239" s="10" t="s">
        <v>775</v>
      </c>
      <c r="B239" s="10" t="s">
        <v>776</v>
      </c>
      <c r="C239" s="10" t="s">
        <v>777</v>
      </c>
      <c r="D239" s="22" t="s">
        <v>6090</v>
      </c>
      <c r="E239" s="10" t="s">
        <v>26</v>
      </c>
      <c r="F239" s="21" t="s">
        <v>6092</v>
      </c>
      <c r="G239" s="10" t="s">
        <v>28</v>
      </c>
      <c r="H239" s="10" t="s">
        <v>161</v>
      </c>
      <c r="I239" s="11">
        <v>45292</v>
      </c>
      <c r="J239" s="10" t="s">
        <v>40</v>
      </c>
      <c r="K239" s="11">
        <v>45523</v>
      </c>
      <c r="L239" s="10" t="s">
        <v>59</v>
      </c>
      <c r="M239" s="12">
        <v>36724</v>
      </c>
      <c r="N239" s="12">
        <v>2910</v>
      </c>
      <c r="O239" s="10">
        <v>41</v>
      </c>
      <c r="P239" s="11">
        <v>45564</v>
      </c>
      <c r="Q239" s="10" t="s">
        <v>33</v>
      </c>
      <c r="R239" s="10" t="s">
        <v>33</v>
      </c>
      <c r="S239" s="10" t="s">
        <v>60</v>
      </c>
      <c r="T239" s="13">
        <v>12.619899999999999</v>
      </c>
      <c r="U239" s="14">
        <v>231</v>
      </c>
      <c r="V239" s="14">
        <v>2024</v>
      </c>
      <c r="W239" s="10" t="s">
        <v>114</v>
      </c>
    </row>
    <row r="240" spans="1:23" s="9" customFormat="1" ht="15.75" hidden="1" customHeight="1" x14ac:dyDescent="0.25">
      <c r="A240" s="4" t="s">
        <v>778</v>
      </c>
      <c r="B240" s="4" t="s">
        <v>779</v>
      </c>
      <c r="C240" s="4" t="s">
        <v>780</v>
      </c>
      <c r="D240" s="21" t="s">
        <v>6089</v>
      </c>
      <c r="E240" s="4" t="s">
        <v>26</v>
      </c>
      <c r="F240" s="21" t="s">
        <v>6092</v>
      </c>
      <c r="G240" s="4" t="s">
        <v>5</v>
      </c>
      <c r="H240" s="4" t="s">
        <v>93</v>
      </c>
      <c r="I240" s="5">
        <v>45441</v>
      </c>
      <c r="J240" s="4" t="s">
        <v>40</v>
      </c>
      <c r="K240" s="5">
        <v>45631</v>
      </c>
      <c r="L240" s="4" t="s">
        <v>59</v>
      </c>
      <c r="M240" s="6">
        <v>21543</v>
      </c>
      <c r="N240" s="6">
        <v>7586</v>
      </c>
      <c r="O240" s="4">
        <v>44</v>
      </c>
      <c r="P240" s="5">
        <v>45675</v>
      </c>
      <c r="Q240" s="4" t="s">
        <v>33</v>
      </c>
      <c r="R240" s="4" t="s">
        <v>33</v>
      </c>
      <c r="S240" s="4" t="s">
        <v>41</v>
      </c>
      <c r="T240" s="7">
        <v>2.8397999999999999</v>
      </c>
      <c r="U240" s="8">
        <v>190</v>
      </c>
      <c r="V240" s="8">
        <v>2024</v>
      </c>
      <c r="W240" s="4" t="s">
        <v>89</v>
      </c>
    </row>
    <row r="241" spans="1:23" s="9" customFormat="1" ht="15.75" hidden="1" customHeight="1" x14ac:dyDescent="0.25">
      <c r="A241" s="10" t="s">
        <v>781</v>
      </c>
      <c r="B241" s="10" t="s">
        <v>782</v>
      </c>
      <c r="C241" s="10" t="s">
        <v>783</v>
      </c>
      <c r="D241" s="22" t="s">
        <v>6087</v>
      </c>
      <c r="E241" s="10" t="s">
        <v>87</v>
      </c>
      <c r="F241" s="10" t="s">
        <v>27</v>
      </c>
      <c r="G241" s="10" t="s">
        <v>5</v>
      </c>
      <c r="H241" s="10" t="s">
        <v>118</v>
      </c>
      <c r="I241" s="11">
        <v>45206</v>
      </c>
      <c r="J241" s="10" t="s">
        <v>40</v>
      </c>
      <c r="K241" s="11">
        <v>45377</v>
      </c>
      <c r="L241" s="10" t="s">
        <v>59</v>
      </c>
      <c r="M241" s="12">
        <v>33194</v>
      </c>
      <c r="N241" s="12">
        <v>3849</v>
      </c>
      <c r="O241" s="10">
        <v>39</v>
      </c>
      <c r="P241" s="11">
        <v>45416</v>
      </c>
      <c r="Q241" s="10" t="s">
        <v>94</v>
      </c>
      <c r="R241" s="10" t="s">
        <v>94</v>
      </c>
      <c r="S241" s="10" t="s">
        <v>34</v>
      </c>
      <c r="T241" s="13">
        <v>8.6241000000000003</v>
      </c>
      <c r="U241" s="14">
        <v>171</v>
      </c>
      <c r="V241" s="14">
        <v>2024</v>
      </c>
      <c r="W241" s="10" t="s">
        <v>77</v>
      </c>
    </row>
    <row r="242" spans="1:23" s="9" customFormat="1" ht="15.75" hidden="1" customHeight="1" x14ac:dyDescent="0.25">
      <c r="A242" s="4" t="s">
        <v>784</v>
      </c>
      <c r="B242" s="4" t="s">
        <v>785</v>
      </c>
      <c r="C242" s="4" t="s">
        <v>786</v>
      </c>
      <c r="D242" s="22" t="s">
        <v>6090</v>
      </c>
      <c r="E242" s="4" t="s">
        <v>26</v>
      </c>
      <c r="F242" s="4" t="s">
        <v>46</v>
      </c>
      <c r="G242" s="4" t="s">
        <v>5</v>
      </c>
      <c r="H242" s="4" t="s">
        <v>118</v>
      </c>
      <c r="I242" s="5">
        <v>45223</v>
      </c>
      <c r="J242" s="4" t="s">
        <v>40</v>
      </c>
      <c r="K242" s="5">
        <v>45305</v>
      </c>
      <c r="L242" s="4" t="s">
        <v>59</v>
      </c>
      <c r="M242" s="6">
        <v>9018</v>
      </c>
      <c r="N242" s="6">
        <v>4078</v>
      </c>
      <c r="O242" s="4">
        <v>33</v>
      </c>
      <c r="P242" s="5">
        <v>45338</v>
      </c>
      <c r="Q242" s="4" t="s">
        <v>33</v>
      </c>
      <c r="R242" s="4" t="s">
        <v>33</v>
      </c>
      <c r="S242" s="4" t="s">
        <v>60</v>
      </c>
      <c r="T242" s="7">
        <v>2.2113999999999998</v>
      </c>
      <c r="U242" s="8">
        <v>82</v>
      </c>
      <c r="V242" s="8">
        <v>2024</v>
      </c>
      <c r="W242" s="4" t="s">
        <v>73</v>
      </c>
    </row>
    <row r="243" spans="1:23" s="9" customFormat="1" ht="15.75" hidden="1" customHeight="1" x14ac:dyDescent="0.25">
      <c r="A243" s="10" t="s">
        <v>787</v>
      </c>
      <c r="B243" s="10" t="s">
        <v>788</v>
      </c>
      <c r="C243" s="10" t="s">
        <v>789</v>
      </c>
      <c r="D243" s="22" t="s">
        <v>6090</v>
      </c>
      <c r="E243" s="10" t="s">
        <v>87</v>
      </c>
      <c r="F243" s="10" t="s">
        <v>56</v>
      </c>
      <c r="G243" s="10" t="s">
        <v>5</v>
      </c>
      <c r="H243" s="10" t="s">
        <v>29</v>
      </c>
      <c r="I243" s="11">
        <v>45262</v>
      </c>
      <c r="J243" s="10" t="s">
        <v>40</v>
      </c>
      <c r="K243" s="11">
        <v>45340</v>
      </c>
      <c r="L243" s="10" t="s">
        <v>59</v>
      </c>
      <c r="M243" s="12">
        <v>53608</v>
      </c>
      <c r="N243" s="12">
        <v>1533</v>
      </c>
      <c r="O243" s="10">
        <v>34</v>
      </c>
      <c r="P243" s="11">
        <v>45374</v>
      </c>
      <c r="Q243" s="10" t="s">
        <v>33</v>
      </c>
      <c r="R243" s="10" t="s">
        <v>33</v>
      </c>
      <c r="S243" s="10" t="s">
        <v>60</v>
      </c>
      <c r="T243" s="13">
        <v>34.969299999999997</v>
      </c>
      <c r="U243" s="14">
        <v>78</v>
      </c>
      <c r="V243" s="14">
        <v>2024</v>
      </c>
      <c r="W243" s="10" t="s">
        <v>35</v>
      </c>
    </row>
    <row r="244" spans="1:23" s="9" customFormat="1" ht="15.75" hidden="1" customHeight="1" x14ac:dyDescent="0.25">
      <c r="A244" s="4" t="s">
        <v>790</v>
      </c>
      <c r="B244" s="4" t="s">
        <v>791</v>
      </c>
      <c r="C244" s="4" t="s">
        <v>792</v>
      </c>
      <c r="D244" s="21" t="s">
        <v>6089</v>
      </c>
      <c r="E244" s="4" t="s">
        <v>87</v>
      </c>
      <c r="F244" s="21" t="s">
        <v>6092</v>
      </c>
      <c r="G244" s="4" t="s">
        <v>5</v>
      </c>
      <c r="H244" s="4" t="s">
        <v>58</v>
      </c>
      <c r="I244" s="5">
        <v>45345</v>
      </c>
      <c r="J244" s="4" t="s">
        <v>40</v>
      </c>
      <c r="K244" s="5">
        <v>45641</v>
      </c>
      <c r="L244" s="4" t="s">
        <v>59</v>
      </c>
      <c r="M244" s="6">
        <v>48934</v>
      </c>
      <c r="N244" s="6">
        <v>6670</v>
      </c>
      <c r="O244" s="4">
        <v>43</v>
      </c>
      <c r="P244" s="5">
        <v>45684</v>
      </c>
      <c r="Q244" s="4" t="s">
        <v>33</v>
      </c>
      <c r="R244" s="4" t="s">
        <v>33</v>
      </c>
      <c r="S244" s="4" t="s">
        <v>34</v>
      </c>
      <c r="T244" s="7">
        <v>7.3364000000000003</v>
      </c>
      <c r="U244" s="8">
        <v>296</v>
      </c>
      <c r="V244" s="8">
        <v>2024</v>
      </c>
      <c r="W244" s="4" t="s">
        <v>89</v>
      </c>
    </row>
    <row r="245" spans="1:23" s="9" customFormat="1" ht="15.75" hidden="1" customHeight="1" x14ac:dyDescent="0.25">
      <c r="A245" s="10" t="s">
        <v>793</v>
      </c>
      <c r="B245" s="10" t="s">
        <v>794</v>
      </c>
      <c r="C245" s="10" t="s">
        <v>795</v>
      </c>
      <c r="D245" s="21" t="s">
        <v>6089</v>
      </c>
      <c r="E245" s="10" t="s">
        <v>26</v>
      </c>
      <c r="F245" s="10" t="s">
        <v>65</v>
      </c>
      <c r="G245" s="10" t="s">
        <v>5</v>
      </c>
      <c r="H245" s="10" t="s">
        <v>29</v>
      </c>
      <c r="I245" s="11">
        <v>45186</v>
      </c>
      <c r="J245" s="10" t="s">
        <v>40</v>
      </c>
      <c r="K245" s="11">
        <v>45348</v>
      </c>
      <c r="L245" s="10" t="s">
        <v>31</v>
      </c>
      <c r="M245" s="12">
        <v>27117</v>
      </c>
      <c r="N245" s="12">
        <v>5070</v>
      </c>
      <c r="O245" s="10" t="s">
        <v>32</v>
      </c>
      <c r="P245" s="10" t="s">
        <v>32</v>
      </c>
      <c r="Q245" s="10" t="s">
        <v>33</v>
      </c>
      <c r="R245" s="10" t="s">
        <v>33</v>
      </c>
      <c r="S245" s="10" t="s">
        <v>34</v>
      </c>
      <c r="T245" s="13">
        <v>5.3484999999999996</v>
      </c>
      <c r="U245" s="14">
        <v>162</v>
      </c>
      <c r="V245" s="14">
        <v>2024</v>
      </c>
      <c r="W245" s="10" t="s">
        <v>35</v>
      </c>
    </row>
    <row r="246" spans="1:23" s="9" customFormat="1" ht="15.75" hidden="1" customHeight="1" x14ac:dyDescent="0.25">
      <c r="A246" s="4" t="s">
        <v>796</v>
      </c>
      <c r="B246" s="4" t="s">
        <v>797</v>
      </c>
      <c r="C246" s="4" t="s">
        <v>798</v>
      </c>
      <c r="D246" s="22" t="s">
        <v>6090</v>
      </c>
      <c r="E246" s="4" t="s">
        <v>51</v>
      </c>
      <c r="F246" s="4" t="s">
        <v>27</v>
      </c>
      <c r="G246" s="4" t="s">
        <v>57</v>
      </c>
      <c r="H246" s="4" t="s">
        <v>39</v>
      </c>
      <c r="I246" s="5">
        <v>45429</v>
      </c>
      <c r="J246" s="4" t="s">
        <v>40</v>
      </c>
      <c r="K246" s="5">
        <v>45556</v>
      </c>
      <c r="L246" s="4" t="s">
        <v>59</v>
      </c>
      <c r="M246" s="6">
        <v>15801</v>
      </c>
      <c r="N246" s="6">
        <v>2974</v>
      </c>
      <c r="O246" s="4">
        <v>44</v>
      </c>
      <c r="P246" s="5">
        <v>45600</v>
      </c>
      <c r="Q246" s="4" t="s">
        <v>33</v>
      </c>
      <c r="R246" s="4" t="s">
        <v>33</v>
      </c>
      <c r="S246" s="4" t="s">
        <v>41</v>
      </c>
      <c r="T246" s="7">
        <v>5.3129999999999997</v>
      </c>
      <c r="U246" s="8">
        <v>127</v>
      </c>
      <c r="V246" s="8">
        <v>2024</v>
      </c>
      <c r="W246" s="4" t="s">
        <v>168</v>
      </c>
    </row>
    <row r="247" spans="1:23" s="9" customFormat="1" ht="15.75" hidden="1" customHeight="1" x14ac:dyDescent="0.25">
      <c r="A247" s="10" t="s">
        <v>799</v>
      </c>
      <c r="B247" s="10" t="s">
        <v>800</v>
      </c>
      <c r="C247" s="10" t="s">
        <v>801</v>
      </c>
      <c r="D247" s="21" t="s">
        <v>6089</v>
      </c>
      <c r="E247" s="10" t="s">
        <v>87</v>
      </c>
      <c r="F247" s="10" t="s">
        <v>65</v>
      </c>
      <c r="G247" s="10" t="s">
        <v>57</v>
      </c>
      <c r="H247" s="10" t="s">
        <v>58</v>
      </c>
      <c r="I247" s="11">
        <v>45229</v>
      </c>
      <c r="J247" s="10" t="s">
        <v>30</v>
      </c>
      <c r="K247" s="11">
        <v>45423</v>
      </c>
      <c r="L247" s="10" t="s">
        <v>31</v>
      </c>
      <c r="M247" s="12">
        <v>41673</v>
      </c>
      <c r="N247" s="12">
        <v>608</v>
      </c>
      <c r="O247" s="10" t="s">
        <v>32</v>
      </c>
      <c r="P247" s="10" t="s">
        <v>32</v>
      </c>
      <c r="Q247" s="10" t="s">
        <v>33</v>
      </c>
      <c r="R247" s="10" t="s">
        <v>33</v>
      </c>
      <c r="S247" s="10" t="s">
        <v>41</v>
      </c>
      <c r="T247" s="13">
        <v>68.5411</v>
      </c>
      <c r="U247" s="14">
        <v>194</v>
      </c>
      <c r="V247" s="14">
        <v>2024</v>
      </c>
      <c r="W247" s="10" t="s">
        <v>52</v>
      </c>
    </row>
    <row r="248" spans="1:23" s="9" customFormat="1" ht="15.75" hidden="1" customHeight="1" x14ac:dyDescent="0.25">
      <c r="A248" s="4" t="s">
        <v>802</v>
      </c>
      <c r="B248" s="4" t="s">
        <v>803</v>
      </c>
      <c r="C248" s="4" t="s">
        <v>804</v>
      </c>
      <c r="D248" s="21" t="s">
        <v>6091</v>
      </c>
      <c r="E248" s="4" t="s">
        <v>26</v>
      </c>
      <c r="F248" s="4" t="s">
        <v>56</v>
      </c>
      <c r="G248" s="4" t="s">
        <v>5</v>
      </c>
      <c r="H248" s="4" t="s">
        <v>29</v>
      </c>
      <c r="I248" s="5">
        <v>45043</v>
      </c>
      <c r="J248" s="4" t="s">
        <v>40</v>
      </c>
      <c r="K248" s="5">
        <v>45338</v>
      </c>
      <c r="L248" s="4" t="s">
        <v>66</v>
      </c>
      <c r="M248" s="6">
        <v>19243</v>
      </c>
      <c r="N248" s="6">
        <v>2351</v>
      </c>
      <c r="O248" s="4" t="s">
        <v>32</v>
      </c>
      <c r="P248" s="4" t="s">
        <v>32</v>
      </c>
      <c r="Q248" s="4" t="s">
        <v>33</v>
      </c>
      <c r="R248" s="4" t="s">
        <v>33</v>
      </c>
      <c r="S248" s="4" t="s">
        <v>41</v>
      </c>
      <c r="T248" s="7">
        <v>8.1850000000000005</v>
      </c>
      <c r="U248" s="8">
        <v>295</v>
      </c>
      <c r="V248" s="8">
        <v>2024</v>
      </c>
      <c r="W248" s="4" t="s">
        <v>35</v>
      </c>
    </row>
    <row r="249" spans="1:23" s="9" customFormat="1" ht="15.75" hidden="1" customHeight="1" x14ac:dyDescent="0.25">
      <c r="A249" s="10" t="s">
        <v>805</v>
      </c>
      <c r="B249" s="10" t="s">
        <v>806</v>
      </c>
      <c r="C249" s="10" t="s">
        <v>807</v>
      </c>
      <c r="D249" s="21" t="s">
        <v>6086</v>
      </c>
      <c r="E249" s="10" t="s">
        <v>26</v>
      </c>
      <c r="F249" s="10" t="s">
        <v>56</v>
      </c>
      <c r="G249" s="10" t="s">
        <v>5</v>
      </c>
      <c r="H249" s="10" t="s">
        <v>29</v>
      </c>
      <c r="I249" s="11">
        <v>45175</v>
      </c>
      <c r="J249" s="10" t="s">
        <v>40</v>
      </c>
      <c r="K249" s="11">
        <v>45460</v>
      </c>
      <c r="L249" s="10" t="s">
        <v>59</v>
      </c>
      <c r="M249" s="12">
        <v>50508</v>
      </c>
      <c r="N249" s="12">
        <v>1646</v>
      </c>
      <c r="O249" s="10">
        <v>32</v>
      </c>
      <c r="P249" s="11">
        <v>45492</v>
      </c>
      <c r="Q249" s="10" t="s">
        <v>33</v>
      </c>
      <c r="R249" s="10" t="s">
        <v>33</v>
      </c>
      <c r="S249" s="10" t="s">
        <v>34</v>
      </c>
      <c r="T249" s="13">
        <v>30.685300000000002</v>
      </c>
      <c r="U249" s="14">
        <v>285</v>
      </c>
      <c r="V249" s="14">
        <v>2024</v>
      </c>
      <c r="W249" s="10" t="s">
        <v>67</v>
      </c>
    </row>
    <row r="250" spans="1:23" s="9" customFormat="1" ht="15.75" hidden="1" customHeight="1" x14ac:dyDescent="0.25">
      <c r="A250" s="4" t="s">
        <v>808</v>
      </c>
      <c r="B250" s="4" t="s">
        <v>809</v>
      </c>
      <c r="C250" s="4" t="s">
        <v>810</v>
      </c>
      <c r="D250" s="22" t="s">
        <v>6087</v>
      </c>
      <c r="E250" s="4" t="s">
        <v>51</v>
      </c>
      <c r="F250" s="4" t="s">
        <v>71</v>
      </c>
      <c r="G250" s="4" t="s">
        <v>57</v>
      </c>
      <c r="H250" s="4" t="s">
        <v>118</v>
      </c>
      <c r="I250" s="5">
        <v>45268</v>
      </c>
      <c r="J250" s="4" t="s">
        <v>30</v>
      </c>
      <c r="K250" s="5">
        <v>45386</v>
      </c>
      <c r="L250" s="4" t="s">
        <v>59</v>
      </c>
      <c r="M250" s="6">
        <v>2945</v>
      </c>
      <c r="N250" s="6">
        <v>1043</v>
      </c>
      <c r="O250" s="4">
        <v>18</v>
      </c>
      <c r="P250" s="5">
        <v>45404</v>
      </c>
      <c r="Q250" s="4" t="s">
        <v>33</v>
      </c>
      <c r="R250" s="4" t="s">
        <v>33</v>
      </c>
      <c r="S250" s="4" t="s">
        <v>60</v>
      </c>
      <c r="T250" s="7">
        <v>2.8235999999999999</v>
      </c>
      <c r="U250" s="8">
        <v>118</v>
      </c>
      <c r="V250" s="8">
        <v>2024</v>
      </c>
      <c r="W250" s="4" t="s">
        <v>47</v>
      </c>
    </row>
    <row r="251" spans="1:23" s="9" customFormat="1" ht="15.75" hidden="1" customHeight="1" x14ac:dyDescent="0.25">
      <c r="A251" s="10" t="s">
        <v>811</v>
      </c>
      <c r="B251" s="10" t="s">
        <v>812</v>
      </c>
      <c r="C251" s="10" t="s">
        <v>813</v>
      </c>
      <c r="D251" s="21" t="s">
        <v>6088</v>
      </c>
      <c r="E251" s="10" t="s">
        <v>26</v>
      </c>
      <c r="F251" s="10" t="s">
        <v>71</v>
      </c>
      <c r="G251" s="10" t="s">
        <v>28</v>
      </c>
      <c r="H251" s="10" t="s">
        <v>88</v>
      </c>
      <c r="I251" s="11">
        <v>45240</v>
      </c>
      <c r="J251" s="10" t="s">
        <v>40</v>
      </c>
      <c r="K251" s="11">
        <v>45602</v>
      </c>
      <c r="L251" s="10" t="s">
        <v>31</v>
      </c>
      <c r="M251" s="12">
        <v>63635</v>
      </c>
      <c r="N251" s="12">
        <v>4673</v>
      </c>
      <c r="O251" s="10" t="s">
        <v>32</v>
      </c>
      <c r="P251" s="10" t="s">
        <v>32</v>
      </c>
      <c r="Q251" s="10" t="s">
        <v>33</v>
      </c>
      <c r="R251" s="10" t="s">
        <v>33</v>
      </c>
      <c r="S251" s="10" t="s">
        <v>34</v>
      </c>
      <c r="T251" s="13">
        <v>13.617599999999999</v>
      </c>
      <c r="U251" s="14">
        <v>362</v>
      </c>
      <c r="V251" s="14">
        <v>2024</v>
      </c>
      <c r="W251" s="10" t="s">
        <v>61</v>
      </c>
    </row>
    <row r="252" spans="1:23" s="9" customFormat="1" ht="15.75" hidden="1" customHeight="1" x14ac:dyDescent="0.25">
      <c r="A252" s="4" t="s">
        <v>814</v>
      </c>
      <c r="B252" s="4" t="s">
        <v>815</v>
      </c>
      <c r="C252" s="4" t="s">
        <v>816</v>
      </c>
      <c r="D252" s="22" t="s">
        <v>6090</v>
      </c>
      <c r="E252" s="4" t="s">
        <v>26</v>
      </c>
      <c r="F252" s="4" t="s">
        <v>46</v>
      </c>
      <c r="G252" s="4" t="s">
        <v>28</v>
      </c>
      <c r="H252" s="4" t="s">
        <v>161</v>
      </c>
      <c r="I252" s="5">
        <v>45201</v>
      </c>
      <c r="J252" s="4" t="s">
        <v>40</v>
      </c>
      <c r="K252" s="5">
        <v>45552</v>
      </c>
      <c r="L252" s="4" t="s">
        <v>59</v>
      </c>
      <c r="M252" s="6">
        <v>3684</v>
      </c>
      <c r="N252" s="6">
        <v>1323</v>
      </c>
      <c r="O252" s="4">
        <v>17</v>
      </c>
      <c r="P252" s="5">
        <v>45569</v>
      </c>
      <c r="Q252" s="4" t="s">
        <v>33</v>
      </c>
      <c r="R252" s="4" t="s">
        <v>33</v>
      </c>
      <c r="S252" s="4" t="s">
        <v>60</v>
      </c>
      <c r="T252" s="7">
        <v>2.7846000000000002</v>
      </c>
      <c r="U252" s="8">
        <v>351</v>
      </c>
      <c r="V252" s="8">
        <v>2024</v>
      </c>
      <c r="W252" s="4" t="s">
        <v>168</v>
      </c>
    </row>
    <row r="253" spans="1:23" s="9" customFormat="1" ht="15.75" hidden="1" customHeight="1" x14ac:dyDescent="0.25">
      <c r="A253" s="10" t="s">
        <v>817</v>
      </c>
      <c r="B253" s="10" t="s">
        <v>818</v>
      </c>
      <c r="C253" s="10" t="s">
        <v>819</v>
      </c>
      <c r="D253" s="21" t="s">
        <v>6086</v>
      </c>
      <c r="E253" s="10" t="s">
        <v>26</v>
      </c>
      <c r="F253" s="10" t="s">
        <v>27</v>
      </c>
      <c r="G253" s="10" t="s">
        <v>28</v>
      </c>
      <c r="H253" s="10" t="s">
        <v>93</v>
      </c>
      <c r="I253" s="11">
        <v>45398</v>
      </c>
      <c r="J253" s="10" t="s">
        <v>30</v>
      </c>
      <c r="K253" s="11">
        <v>45431</v>
      </c>
      <c r="L253" s="10" t="s">
        <v>59</v>
      </c>
      <c r="M253" s="12">
        <v>54679</v>
      </c>
      <c r="N253" s="12">
        <v>7516</v>
      </c>
      <c r="O253" s="10">
        <v>35</v>
      </c>
      <c r="P253" s="11">
        <v>45466</v>
      </c>
      <c r="Q253" s="10" t="s">
        <v>33</v>
      </c>
      <c r="R253" s="10" t="s">
        <v>33</v>
      </c>
      <c r="S253" s="10" t="s">
        <v>60</v>
      </c>
      <c r="T253" s="13">
        <v>7.2750000000000004</v>
      </c>
      <c r="U253" s="14">
        <v>33</v>
      </c>
      <c r="V253" s="14">
        <v>2024</v>
      </c>
      <c r="W253" s="10" t="s">
        <v>52</v>
      </c>
    </row>
    <row r="254" spans="1:23" s="9" customFormat="1" ht="15.75" hidden="1" customHeight="1" x14ac:dyDescent="0.25">
      <c r="A254" s="4" t="s">
        <v>820</v>
      </c>
      <c r="B254" s="4" t="s">
        <v>821</v>
      </c>
      <c r="C254" s="4" t="s">
        <v>822</v>
      </c>
      <c r="D254" s="21" t="s">
        <v>6088</v>
      </c>
      <c r="E254" s="4" t="s">
        <v>26</v>
      </c>
      <c r="F254" s="4" t="s">
        <v>71</v>
      </c>
      <c r="G254" s="4" t="s">
        <v>28</v>
      </c>
      <c r="H254" s="4" t="s">
        <v>88</v>
      </c>
      <c r="I254" s="5">
        <v>45307</v>
      </c>
      <c r="J254" s="4" t="s">
        <v>40</v>
      </c>
      <c r="K254" s="5">
        <v>45485</v>
      </c>
      <c r="L254" s="4" t="s">
        <v>66</v>
      </c>
      <c r="M254" s="6">
        <v>37610</v>
      </c>
      <c r="N254" s="6">
        <v>2131</v>
      </c>
      <c r="O254" s="4" t="s">
        <v>32</v>
      </c>
      <c r="P254" s="4" t="s">
        <v>32</v>
      </c>
      <c r="Q254" s="4" t="s">
        <v>33</v>
      </c>
      <c r="R254" s="4" t="s">
        <v>33</v>
      </c>
      <c r="S254" s="4" t="s">
        <v>41</v>
      </c>
      <c r="T254" s="7">
        <v>17.649000000000001</v>
      </c>
      <c r="U254" s="8">
        <v>178</v>
      </c>
      <c r="V254" s="8">
        <v>2024</v>
      </c>
      <c r="W254" s="4" t="s">
        <v>42</v>
      </c>
    </row>
    <row r="255" spans="1:23" s="9" customFormat="1" ht="15.75" hidden="1" customHeight="1" x14ac:dyDescent="0.25">
      <c r="A255" s="10" t="s">
        <v>823</v>
      </c>
      <c r="B255" s="10" t="s">
        <v>824</v>
      </c>
      <c r="C255" s="10" t="s">
        <v>825</v>
      </c>
      <c r="D255" s="21" t="s">
        <v>6088</v>
      </c>
      <c r="E255" s="10" t="s">
        <v>87</v>
      </c>
      <c r="F255" s="10" t="s">
        <v>71</v>
      </c>
      <c r="G255" s="10" t="s">
        <v>57</v>
      </c>
      <c r="H255" s="10" t="s">
        <v>72</v>
      </c>
      <c r="I255" s="11">
        <v>45211</v>
      </c>
      <c r="J255" s="10" t="s">
        <v>40</v>
      </c>
      <c r="K255" s="11">
        <v>45551</v>
      </c>
      <c r="L255" s="10" t="s">
        <v>59</v>
      </c>
      <c r="M255" s="12">
        <v>48150</v>
      </c>
      <c r="N255" s="12">
        <v>7506</v>
      </c>
      <c r="O255" s="10">
        <v>19</v>
      </c>
      <c r="P255" s="11">
        <v>45570</v>
      </c>
      <c r="Q255" s="10" t="s">
        <v>94</v>
      </c>
      <c r="R255" s="10" t="s">
        <v>33</v>
      </c>
      <c r="S255" s="10" t="s">
        <v>60</v>
      </c>
      <c r="T255" s="13">
        <v>6.4149000000000003</v>
      </c>
      <c r="U255" s="14">
        <v>340</v>
      </c>
      <c r="V255" s="14">
        <v>2024</v>
      </c>
      <c r="W255" s="10" t="s">
        <v>168</v>
      </c>
    </row>
    <row r="256" spans="1:23" s="9" customFormat="1" ht="15.75" hidden="1" customHeight="1" x14ac:dyDescent="0.25">
      <c r="A256" s="4" t="s">
        <v>826</v>
      </c>
      <c r="B256" s="4" t="s">
        <v>827</v>
      </c>
      <c r="C256" s="4" t="s">
        <v>828</v>
      </c>
      <c r="D256" s="22" t="s">
        <v>6087</v>
      </c>
      <c r="E256" s="4" t="s">
        <v>26</v>
      </c>
      <c r="F256" s="4" t="s">
        <v>27</v>
      </c>
      <c r="G256" s="4" t="s">
        <v>5</v>
      </c>
      <c r="H256" s="4" t="s">
        <v>39</v>
      </c>
      <c r="I256" s="5">
        <v>45037</v>
      </c>
      <c r="J256" s="4" t="s">
        <v>30</v>
      </c>
      <c r="K256" s="5">
        <v>45360</v>
      </c>
      <c r="L256" s="4" t="s">
        <v>59</v>
      </c>
      <c r="M256" s="6">
        <v>32988</v>
      </c>
      <c r="N256" s="6">
        <v>807</v>
      </c>
      <c r="O256" s="4">
        <v>43</v>
      </c>
      <c r="P256" s="5">
        <v>45403</v>
      </c>
      <c r="Q256" s="4" t="s">
        <v>94</v>
      </c>
      <c r="R256" s="4" t="s">
        <v>33</v>
      </c>
      <c r="S256" s="4" t="s">
        <v>60</v>
      </c>
      <c r="T256" s="7">
        <v>40.877299999999998</v>
      </c>
      <c r="U256" s="8">
        <v>323</v>
      </c>
      <c r="V256" s="8">
        <v>2024</v>
      </c>
      <c r="W256" s="4" t="s">
        <v>77</v>
      </c>
    </row>
    <row r="257" spans="1:23" s="9" customFormat="1" ht="15.75" hidden="1" customHeight="1" x14ac:dyDescent="0.25">
      <c r="A257" s="10" t="s">
        <v>829</v>
      </c>
      <c r="B257" s="10" t="s">
        <v>830</v>
      </c>
      <c r="C257" s="10" t="s">
        <v>831</v>
      </c>
      <c r="D257" s="22" t="s">
        <v>6087</v>
      </c>
      <c r="E257" s="10" t="s">
        <v>26</v>
      </c>
      <c r="F257" s="10" t="s">
        <v>71</v>
      </c>
      <c r="G257" s="10" t="s">
        <v>5</v>
      </c>
      <c r="H257" s="10" t="s">
        <v>88</v>
      </c>
      <c r="I257" s="11">
        <v>45116</v>
      </c>
      <c r="J257" s="10" t="s">
        <v>40</v>
      </c>
      <c r="K257" s="11">
        <v>45427</v>
      </c>
      <c r="L257" s="10" t="s">
        <v>31</v>
      </c>
      <c r="M257" s="12">
        <v>36317</v>
      </c>
      <c r="N257" s="12">
        <v>8247</v>
      </c>
      <c r="O257" s="10" t="s">
        <v>32</v>
      </c>
      <c r="P257" s="10" t="s">
        <v>32</v>
      </c>
      <c r="Q257" s="10" t="s">
        <v>33</v>
      </c>
      <c r="R257" s="10" t="s">
        <v>33</v>
      </c>
      <c r="S257" s="10" t="s">
        <v>60</v>
      </c>
      <c r="T257" s="13">
        <v>4.4036999999999997</v>
      </c>
      <c r="U257" s="14">
        <v>311</v>
      </c>
      <c r="V257" s="14">
        <v>2024</v>
      </c>
      <c r="W257" s="10" t="s">
        <v>52</v>
      </c>
    </row>
    <row r="258" spans="1:23" s="9" customFormat="1" ht="15.75" hidden="1" customHeight="1" x14ac:dyDescent="0.25">
      <c r="A258" s="4" t="s">
        <v>832</v>
      </c>
      <c r="B258" s="4" t="s">
        <v>833</v>
      </c>
      <c r="C258" s="4" t="s">
        <v>834</v>
      </c>
      <c r="D258" s="22" t="s">
        <v>6087</v>
      </c>
      <c r="E258" s="4" t="s">
        <v>26</v>
      </c>
      <c r="F258" s="4" t="s">
        <v>56</v>
      </c>
      <c r="G258" s="4" t="s">
        <v>28</v>
      </c>
      <c r="H258" s="4" t="s">
        <v>58</v>
      </c>
      <c r="I258" s="5">
        <v>45165</v>
      </c>
      <c r="J258" s="4" t="s">
        <v>30</v>
      </c>
      <c r="K258" s="5">
        <v>45395</v>
      </c>
      <c r="L258" s="4" t="s">
        <v>66</v>
      </c>
      <c r="M258" s="6">
        <v>17042</v>
      </c>
      <c r="N258" s="6">
        <v>4960</v>
      </c>
      <c r="O258" s="4" t="s">
        <v>32</v>
      </c>
      <c r="P258" s="4" t="s">
        <v>32</v>
      </c>
      <c r="Q258" s="4" t="s">
        <v>94</v>
      </c>
      <c r="R258" s="4" t="s">
        <v>94</v>
      </c>
      <c r="S258" s="4" t="s">
        <v>34</v>
      </c>
      <c r="T258" s="7">
        <v>3.4359000000000002</v>
      </c>
      <c r="U258" s="8">
        <v>230</v>
      </c>
      <c r="V258" s="8">
        <v>2024</v>
      </c>
      <c r="W258" s="4" t="s">
        <v>47</v>
      </c>
    </row>
    <row r="259" spans="1:23" s="9" customFormat="1" ht="15.75" hidden="1" customHeight="1" x14ac:dyDescent="0.25">
      <c r="A259" s="10" t="s">
        <v>835</v>
      </c>
      <c r="B259" s="10" t="s">
        <v>836</v>
      </c>
      <c r="C259" s="10" t="s">
        <v>837</v>
      </c>
      <c r="D259" s="21" t="s">
        <v>6089</v>
      </c>
      <c r="E259" s="10" t="s">
        <v>87</v>
      </c>
      <c r="F259" s="10" t="s">
        <v>27</v>
      </c>
      <c r="G259" s="10" t="s">
        <v>28</v>
      </c>
      <c r="H259" s="10" t="s">
        <v>93</v>
      </c>
      <c r="I259" s="11">
        <v>45175</v>
      </c>
      <c r="J259" s="10" t="s">
        <v>30</v>
      </c>
      <c r="K259" s="11">
        <v>45498</v>
      </c>
      <c r="L259" s="10" t="s">
        <v>31</v>
      </c>
      <c r="M259" s="12">
        <v>51052</v>
      </c>
      <c r="N259" s="12">
        <v>5947</v>
      </c>
      <c r="O259" s="10" t="s">
        <v>32</v>
      </c>
      <c r="P259" s="10" t="s">
        <v>32</v>
      </c>
      <c r="Q259" s="10" t="s">
        <v>33</v>
      </c>
      <c r="R259" s="10" t="s">
        <v>33</v>
      </c>
      <c r="S259" s="10" t="s">
        <v>60</v>
      </c>
      <c r="T259" s="13">
        <v>8.5845000000000002</v>
      </c>
      <c r="U259" s="14">
        <v>323</v>
      </c>
      <c r="V259" s="14">
        <v>2024</v>
      </c>
      <c r="W259" s="10" t="s">
        <v>42</v>
      </c>
    </row>
    <row r="260" spans="1:23" s="9" customFormat="1" ht="15.75" hidden="1" customHeight="1" x14ac:dyDescent="0.25">
      <c r="A260" s="4" t="s">
        <v>838</v>
      </c>
      <c r="B260" s="4" t="s">
        <v>839</v>
      </c>
      <c r="C260" s="4" t="s">
        <v>840</v>
      </c>
      <c r="D260" s="21" t="s">
        <v>6086</v>
      </c>
      <c r="E260" s="4" t="s">
        <v>87</v>
      </c>
      <c r="F260" s="4" t="s">
        <v>46</v>
      </c>
      <c r="G260" s="4" t="s">
        <v>5</v>
      </c>
      <c r="H260" s="4" t="s">
        <v>58</v>
      </c>
      <c r="I260" s="5">
        <v>45056</v>
      </c>
      <c r="J260" s="4" t="s">
        <v>30</v>
      </c>
      <c r="K260" s="5">
        <v>45341</v>
      </c>
      <c r="L260" s="4" t="s">
        <v>59</v>
      </c>
      <c r="M260" s="6">
        <v>84170</v>
      </c>
      <c r="N260" s="6">
        <v>3577</v>
      </c>
      <c r="O260" s="4">
        <v>42</v>
      </c>
      <c r="P260" s="5">
        <v>45383</v>
      </c>
      <c r="Q260" s="4" t="s">
        <v>33</v>
      </c>
      <c r="R260" s="4" t="s">
        <v>33</v>
      </c>
      <c r="S260" s="4" t="s">
        <v>60</v>
      </c>
      <c r="T260" s="7">
        <v>23.530899999999999</v>
      </c>
      <c r="U260" s="8">
        <v>285</v>
      </c>
      <c r="V260" s="8">
        <v>2024</v>
      </c>
      <c r="W260" s="4" t="s">
        <v>35</v>
      </c>
    </row>
    <row r="261" spans="1:23" s="9" customFormat="1" ht="15.75" hidden="1" customHeight="1" x14ac:dyDescent="0.25">
      <c r="A261" s="10" t="s">
        <v>841</v>
      </c>
      <c r="B261" s="10" t="s">
        <v>842</v>
      </c>
      <c r="C261" s="10" t="s">
        <v>843</v>
      </c>
      <c r="D261" s="21" t="s">
        <v>6088</v>
      </c>
      <c r="E261" s="10" t="s">
        <v>87</v>
      </c>
      <c r="F261" s="10" t="s">
        <v>65</v>
      </c>
      <c r="G261" s="10" t="s">
        <v>57</v>
      </c>
      <c r="H261" s="10" t="s">
        <v>72</v>
      </c>
      <c r="I261" s="11">
        <v>45322</v>
      </c>
      <c r="J261" s="10" t="s">
        <v>40</v>
      </c>
      <c r="K261" s="11">
        <v>45448</v>
      </c>
      <c r="L261" s="10" t="s">
        <v>59</v>
      </c>
      <c r="M261" s="12">
        <v>13135</v>
      </c>
      <c r="N261" s="12">
        <v>6305</v>
      </c>
      <c r="O261" s="10">
        <v>13</v>
      </c>
      <c r="P261" s="11">
        <v>45461</v>
      </c>
      <c r="Q261" s="10" t="s">
        <v>33</v>
      </c>
      <c r="R261" s="10" t="s">
        <v>33</v>
      </c>
      <c r="S261" s="10" t="s">
        <v>60</v>
      </c>
      <c r="T261" s="13">
        <v>2.0832999999999999</v>
      </c>
      <c r="U261" s="14">
        <v>126</v>
      </c>
      <c r="V261" s="14">
        <v>2024</v>
      </c>
      <c r="W261" s="10" t="s">
        <v>67</v>
      </c>
    </row>
    <row r="262" spans="1:23" s="9" customFormat="1" ht="15.75" hidden="1" customHeight="1" x14ac:dyDescent="0.25">
      <c r="A262" s="4" t="s">
        <v>844</v>
      </c>
      <c r="B262" s="4" t="s">
        <v>845</v>
      </c>
      <c r="C262" s="4" t="s">
        <v>846</v>
      </c>
      <c r="D262" s="21" t="s">
        <v>6086</v>
      </c>
      <c r="E262" s="4" t="s">
        <v>87</v>
      </c>
      <c r="F262" s="4" t="s">
        <v>71</v>
      </c>
      <c r="G262" s="4" t="s">
        <v>57</v>
      </c>
      <c r="H262" s="4" t="s">
        <v>72</v>
      </c>
      <c r="I262" s="5">
        <v>45179</v>
      </c>
      <c r="J262" s="4" t="s">
        <v>40</v>
      </c>
      <c r="K262" s="5">
        <v>45386</v>
      </c>
      <c r="L262" s="4" t="s">
        <v>59</v>
      </c>
      <c r="M262" s="6">
        <v>63671</v>
      </c>
      <c r="N262" s="6">
        <v>4837</v>
      </c>
      <c r="O262" s="4">
        <v>14</v>
      </c>
      <c r="P262" s="5">
        <v>45400</v>
      </c>
      <c r="Q262" s="4" t="s">
        <v>33</v>
      </c>
      <c r="R262" s="4" t="s">
        <v>33</v>
      </c>
      <c r="S262" s="4" t="s">
        <v>34</v>
      </c>
      <c r="T262" s="7">
        <v>13.1633</v>
      </c>
      <c r="U262" s="8">
        <v>207</v>
      </c>
      <c r="V262" s="8">
        <v>2024</v>
      </c>
      <c r="W262" s="4" t="s">
        <v>47</v>
      </c>
    </row>
    <row r="263" spans="1:23" s="9" customFormat="1" ht="15.75" hidden="1" customHeight="1" x14ac:dyDescent="0.25">
      <c r="A263" s="10" t="s">
        <v>847</v>
      </c>
      <c r="B263" s="10" t="s">
        <v>848</v>
      </c>
      <c r="C263" s="10" t="s">
        <v>849</v>
      </c>
      <c r="D263" s="21" t="s">
        <v>6088</v>
      </c>
      <c r="E263" s="10" t="s">
        <v>87</v>
      </c>
      <c r="F263" s="21" t="s">
        <v>6092</v>
      </c>
      <c r="G263" s="10" t="s">
        <v>57</v>
      </c>
      <c r="H263" s="10" t="s">
        <v>29</v>
      </c>
      <c r="I263" s="11">
        <v>45254</v>
      </c>
      <c r="J263" s="10" t="s">
        <v>30</v>
      </c>
      <c r="K263" s="11">
        <v>45464</v>
      </c>
      <c r="L263" s="10" t="s">
        <v>59</v>
      </c>
      <c r="M263" s="12">
        <v>50860</v>
      </c>
      <c r="N263" s="12">
        <v>1694</v>
      </c>
      <c r="O263" s="10">
        <v>35</v>
      </c>
      <c r="P263" s="11">
        <v>45499</v>
      </c>
      <c r="Q263" s="10" t="s">
        <v>33</v>
      </c>
      <c r="R263" s="10" t="s">
        <v>33</v>
      </c>
      <c r="S263" s="10" t="s">
        <v>41</v>
      </c>
      <c r="T263" s="13">
        <v>30.023599999999998</v>
      </c>
      <c r="U263" s="14">
        <v>210</v>
      </c>
      <c r="V263" s="14">
        <v>2024</v>
      </c>
      <c r="W263" s="10" t="s">
        <v>67</v>
      </c>
    </row>
    <row r="264" spans="1:23" s="9" customFormat="1" ht="15.75" hidden="1" customHeight="1" x14ac:dyDescent="0.25">
      <c r="A264" s="4" t="s">
        <v>850</v>
      </c>
      <c r="B264" s="4" t="s">
        <v>851</v>
      </c>
      <c r="C264" s="4" t="s">
        <v>852</v>
      </c>
      <c r="D264" s="21" t="s">
        <v>6086</v>
      </c>
      <c r="E264" s="4" t="s">
        <v>26</v>
      </c>
      <c r="F264" s="4" t="s">
        <v>46</v>
      </c>
      <c r="G264" s="4" t="s">
        <v>5</v>
      </c>
      <c r="H264" s="4" t="s">
        <v>29</v>
      </c>
      <c r="I264" s="5">
        <v>45204</v>
      </c>
      <c r="J264" s="4" t="s">
        <v>40</v>
      </c>
      <c r="K264" s="5">
        <v>45441</v>
      </c>
      <c r="L264" s="4" t="s">
        <v>31</v>
      </c>
      <c r="M264" s="6">
        <v>29500</v>
      </c>
      <c r="N264" s="6">
        <v>8552</v>
      </c>
      <c r="O264" s="4" t="s">
        <v>32</v>
      </c>
      <c r="P264" s="4" t="s">
        <v>32</v>
      </c>
      <c r="Q264" s="4" t="s">
        <v>33</v>
      </c>
      <c r="R264" s="4" t="s">
        <v>33</v>
      </c>
      <c r="S264" s="4" t="s">
        <v>60</v>
      </c>
      <c r="T264" s="7">
        <v>3.4495</v>
      </c>
      <c r="U264" s="8">
        <v>237</v>
      </c>
      <c r="V264" s="8">
        <v>2024</v>
      </c>
      <c r="W264" s="4" t="s">
        <v>52</v>
      </c>
    </row>
    <row r="265" spans="1:23" s="9" customFormat="1" ht="15.75" hidden="1" customHeight="1" x14ac:dyDescent="0.25">
      <c r="A265" s="10" t="s">
        <v>853</v>
      </c>
      <c r="B265" s="10" t="s">
        <v>854</v>
      </c>
      <c r="C265" s="10" t="s">
        <v>855</v>
      </c>
      <c r="D265" s="21" t="s">
        <v>6088</v>
      </c>
      <c r="E265" s="10" t="s">
        <v>51</v>
      </c>
      <c r="F265" s="10" t="s">
        <v>46</v>
      </c>
      <c r="G265" s="10" t="s">
        <v>57</v>
      </c>
      <c r="H265" s="10" t="s">
        <v>88</v>
      </c>
      <c r="I265" s="11">
        <v>45554</v>
      </c>
      <c r="J265" s="10" t="s">
        <v>40</v>
      </c>
      <c r="K265" s="11">
        <v>45614</v>
      </c>
      <c r="L265" s="10" t="s">
        <v>59</v>
      </c>
      <c r="M265" s="12">
        <v>31361</v>
      </c>
      <c r="N265" s="12">
        <v>7506</v>
      </c>
      <c r="O265" s="10">
        <v>14</v>
      </c>
      <c r="P265" s="11">
        <v>45628</v>
      </c>
      <c r="Q265" s="10" t="s">
        <v>33</v>
      </c>
      <c r="R265" s="10" t="s">
        <v>33</v>
      </c>
      <c r="S265" s="10" t="s">
        <v>41</v>
      </c>
      <c r="T265" s="13">
        <v>4.1780999999999997</v>
      </c>
      <c r="U265" s="14">
        <v>60</v>
      </c>
      <c r="V265" s="14">
        <v>2024</v>
      </c>
      <c r="W265" s="10" t="s">
        <v>61</v>
      </c>
    </row>
    <row r="266" spans="1:23" s="9" customFormat="1" ht="15.75" hidden="1" customHeight="1" x14ac:dyDescent="0.25">
      <c r="A266" s="4" t="s">
        <v>856</v>
      </c>
      <c r="B266" s="4" t="s">
        <v>857</v>
      </c>
      <c r="C266" s="4" t="s">
        <v>858</v>
      </c>
      <c r="D266" s="21" t="s">
        <v>6088</v>
      </c>
      <c r="E266" s="4" t="s">
        <v>51</v>
      </c>
      <c r="F266" s="4" t="s">
        <v>46</v>
      </c>
      <c r="G266" s="4" t="s">
        <v>28</v>
      </c>
      <c r="H266" s="4" t="s">
        <v>72</v>
      </c>
      <c r="I266" s="5">
        <v>45290</v>
      </c>
      <c r="J266" s="4" t="s">
        <v>40</v>
      </c>
      <c r="K266" s="5">
        <v>45485</v>
      </c>
      <c r="L266" s="4" t="s">
        <v>66</v>
      </c>
      <c r="M266" s="6">
        <v>65031</v>
      </c>
      <c r="N266" s="6">
        <v>2642</v>
      </c>
      <c r="O266" s="4" t="s">
        <v>32</v>
      </c>
      <c r="P266" s="4" t="s">
        <v>32</v>
      </c>
      <c r="Q266" s="4" t="s">
        <v>33</v>
      </c>
      <c r="R266" s="4" t="s">
        <v>33</v>
      </c>
      <c r="S266" s="4" t="s">
        <v>34</v>
      </c>
      <c r="T266" s="7">
        <v>24.6143</v>
      </c>
      <c r="U266" s="8">
        <v>195</v>
      </c>
      <c r="V266" s="8">
        <v>2024</v>
      </c>
      <c r="W266" s="4" t="s">
        <v>42</v>
      </c>
    </row>
    <row r="267" spans="1:23" s="9" customFormat="1" ht="15.75" hidden="1" customHeight="1" x14ac:dyDescent="0.25">
      <c r="A267" s="10" t="s">
        <v>859</v>
      </c>
      <c r="B267" s="10" t="s">
        <v>860</v>
      </c>
      <c r="C267" s="10" t="s">
        <v>861</v>
      </c>
      <c r="D267" s="21" t="s">
        <v>6086</v>
      </c>
      <c r="E267" s="10" t="s">
        <v>51</v>
      </c>
      <c r="F267" s="10" t="s">
        <v>56</v>
      </c>
      <c r="G267" s="10" t="s">
        <v>28</v>
      </c>
      <c r="H267" s="10" t="s">
        <v>58</v>
      </c>
      <c r="I267" s="11">
        <v>45196</v>
      </c>
      <c r="J267" s="10" t="s">
        <v>30</v>
      </c>
      <c r="K267" s="11">
        <v>45439</v>
      </c>
      <c r="L267" s="10" t="s">
        <v>59</v>
      </c>
      <c r="M267" s="12">
        <v>96222</v>
      </c>
      <c r="N267" s="12">
        <v>5865</v>
      </c>
      <c r="O267" s="10">
        <v>19</v>
      </c>
      <c r="P267" s="11">
        <v>45458</v>
      </c>
      <c r="Q267" s="10" t="s">
        <v>33</v>
      </c>
      <c r="R267" s="10" t="s">
        <v>33</v>
      </c>
      <c r="S267" s="10" t="s">
        <v>41</v>
      </c>
      <c r="T267" s="13">
        <v>16.406099999999999</v>
      </c>
      <c r="U267" s="14">
        <v>243</v>
      </c>
      <c r="V267" s="14">
        <v>2024</v>
      </c>
      <c r="W267" s="10" t="s">
        <v>52</v>
      </c>
    </row>
    <row r="268" spans="1:23" s="9" customFormat="1" ht="15.75" hidden="1" customHeight="1" x14ac:dyDescent="0.25">
      <c r="A268" s="4" t="s">
        <v>862</v>
      </c>
      <c r="B268" s="4" t="s">
        <v>863</v>
      </c>
      <c r="C268" s="4" t="s">
        <v>864</v>
      </c>
      <c r="D268" s="21" t="s">
        <v>6086</v>
      </c>
      <c r="E268" s="4" t="s">
        <v>26</v>
      </c>
      <c r="F268" s="4" t="s">
        <v>46</v>
      </c>
      <c r="G268" s="4" t="s">
        <v>5</v>
      </c>
      <c r="H268" s="4" t="s">
        <v>118</v>
      </c>
      <c r="I268" s="5">
        <v>45531</v>
      </c>
      <c r="J268" s="4" t="s">
        <v>30</v>
      </c>
      <c r="K268" s="5">
        <v>45635</v>
      </c>
      <c r="L268" s="4" t="s">
        <v>66</v>
      </c>
      <c r="M268" s="6">
        <v>97479</v>
      </c>
      <c r="N268" s="6">
        <v>3554</v>
      </c>
      <c r="O268" s="4" t="s">
        <v>32</v>
      </c>
      <c r="P268" s="4" t="s">
        <v>32</v>
      </c>
      <c r="Q268" s="4" t="s">
        <v>33</v>
      </c>
      <c r="R268" s="4" t="s">
        <v>33</v>
      </c>
      <c r="S268" s="4" t="s">
        <v>60</v>
      </c>
      <c r="T268" s="7">
        <v>27.428000000000001</v>
      </c>
      <c r="U268" s="8">
        <v>104</v>
      </c>
      <c r="V268" s="8">
        <v>2024</v>
      </c>
      <c r="W268" s="4" t="s">
        <v>89</v>
      </c>
    </row>
    <row r="269" spans="1:23" s="9" customFormat="1" ht="15.75" hidden="1" customHeight="1" x14ac:dyDescent="0.25">
      <c r="A269" s="10" t="s">
        <v>865</v>
      </c>
      <c r="B269" s="10" t="s">
        <v>866</v>
      </c>
      <c r="C269" s="10" t="s">
        <v>867</v>
      </c>
      <c r="D269" s="21" t="s">
        <v>6091</v>
      </c>
      <c r="E269" s="10" t="s">
        <v>51</v>
      </c>
      <c r="F269" s="10" t="s">
        <v>56</v>
      </c>
      <c r="G269" s="10" t="s">
        <v>28</v>
      </c>
      <c r="H269" s="10" t="s">
        <v>88</v>
      </c>
      <c r="I269" s="11">
        <v>45028</v>
      </c>
      <c r="J269" s="10" t="s">
        <v>40</v>
      </c>
      <c r="K269" s="11">
        <v>45389</v>
      </c>
      <c r="L269" s="10" t="s">
        <v>66</v>
      </c>
      <c r="M269" s="12">
        <v>4019</v>
      </c>
      <c r="N269" s="12">
        <v>2223</v>
      </c>
      <c r="O269" s="10" t="s">
        <v>32</v>
      </c>
      <c r="P269" s="10" t="s">
        <v>32</v>
      </c>
      <c r="Q269" s="10" t="s">
        <v>33</v>
      </c>
      <c r="R269" s="10" t="s">
        <v>33</v>
      </c>
      <c r="S269" s="10" t="s">
        <v>41</v>
      </c>
      <c r="T269" s="13">
        <v>1.8079000000000001</v>
      </c>
      <c r="U269" s="14">
        <v>361</v>
      </c>
      <c r="V269" s="14">
        <v>2024</v>
      </c>
      <c r="W269" s="10" t="s">
        <v>47</v>
      </c>
    </row>
    <row r="270" spans="1:23" s="9" customFormat="1" ht="15.75" hidden="1" customHeight="1" x14ac:dyDescent="0.25">
      <c r="A270" s="4" t="s">
        <v>868</v>
      </c>
      <c r="B270" s="4" t="s">
        <v>869</v>
      </c>
      <c r="C270" s="4" t="s">
        <v>870</v>
      </c>
      <c r="D270" s="21" t="s">
        <v>6089</v>
      </c>
      <c r="E270" s="4" t="s">
        <v>26</v>
      </c>
      <c r="F270" s="21" t="s">
        <v>6092</v>
      </c>
      <c r="G270" s="4" t="s">
        <v>5</v>
      </c>
      <c r="H270" s="4" t="s">
        <v>58</v>
      </c>
      <c r="I270" s="5">
        <v>45169</v>
      </c>
      <c r="J270" s="4" t="s">
        <v>30</v>
      </c>
      <c r="K270" s="5">
        <v>45460</v>
      </c>
      <c r="L270" s="4" t="s">
        <v>59</v>
      </c>
      <c r="M270" s="6">
        <v>20593</v>
      </c>
      <c r="N270" s="6">
        <v>7888</v>
      </c>
      <c r="O270" s="4">
        <v>26</v>
      </c>
      <c r="P270" s="5">
        <v>45486</v>
      </c>
      <c r="Q270" s="4" t="s">
        <v>33</v>
      </c>
      <c r="R270" s="4" t="s">
        <v>33</v>
      </c>
      <c r="S270" s="4" t="s">
        <v>41</v>
      </c>
      <c r="T270" s="7">
        <v>2.6107</v>
      </c>
      <c r="U270" s="8">
        <v>291</v>
      </c>
      <c r="V270" s="8">
        <v>2024</v>
      </c>
      <c r="W270" s="4" t="s">
        <v>67</v>
      </c>
    </row>
    <row r="271" spans="1:23" s="9" customFormat="1" ht="15.75" hidden="1" customHeight="1" x14ac:dyDescent="0.25">
      <c r="A271" s="10" t="s">
        <v>871</v>
      </c>
      <c r="B271" s="10" t="s">
        <v>872</v>
      </c>
      <c r="C271" s="10" t="s">
        <v>873</v>
      </c>
      <c r="D271" s="22" t="s">
        <v>6090</v>
      </c>
      <c r="E271" s="10" t="s">
        <v>87</v>
      </c>
      <c r="F271" s="10" t="s">
        <v>56</v>
      </c>
      <c r="G271" s="10" t="s">
        <v>57</v>
      </c>
      <c r="H271" s="10" t="s">
        <v>39</v>
      </c>
      <c r="I271" s="11">
        <v>45320</v>
      </c>
      <c r="J271" s="10" t="s">
        <v>30</v>
      </c>
      <c r="K271" s="11">
        <v>45456</v>
      </c>
      <c r="L271" s="10" t="s">
        <v>66</v>
      </c>
      <c r="M271" s="12">
        <v>5459</v>
      </c>
      <c r="N271" s="12">
        <v>7123</v>
      </c>
      <c r="O271" s="10" t="s">
        <v>32</v>
      </c>
      <c r="P271" s="10" t="s">
        <v>32</v>
      </c>
      <c r="Q271" s="10" t="s">
        <v>33</v>
      </c>
      <c r="R271" s="10" t="s">
        <v>33</v>
      </c>
      <c r="S271" s="10" t="s">
        <v>41</v>
      </c>
      <c r="T271" s="13">
        <v>0.76639999999999997</v>
      </c>
      <c r="U271" s="14">
        <v>136</v>
      </c>
      <c r="V271" s="14">
        <v>2024</v>
      </c>
      <c r="W271" s="10" t="s">
        <v>67</v>
      </c>
    </row>
    <row r="272" spans="1:23" s="9" customFormat="1" ht="15.75" hidden="1" customHeight="1" x14ac:dyDescent="0.25">
      <c r="A272" s="4" t="s">
        <v>874</v>
      </c>
      <c r="B272" s="4" t="s">
        <v>875</v>
      </c>
      <c r="C272" s="4" t="s">
        <v>876</v>
      </c>
      <c r="D272" s="22" t="s">
        <v>6090</v>
      </c>
      <c r="E272" s="4" t="s">
        <v>87</v>
      </c>
      <c r="F272" s="4" t="s">
        <v>65</v>
      </c>
      <c r="G272" s="4" t="s">
        <v>5</v>
      </c>
      <c r="H272" s="4" t="s">
        <v>88</v>
      </c>
      <c r="I272" s="5">
        <v>45379</v>
      </c>
      <c r="J272" s="4" t="s">
        <v>40</v>
      </c>
      <c r="K272" s="5">
        <v>45643</v>
      </c>
      <c r="L272" s="4" t="s">
        <v>66</v>
      </c>
      <c r="M272" s="6">
        <v>39868</v>
      </c>
      <c r="N272" s="6">
        <v>5517</v>
      </c>
      <c r="O272" s="4" t="s">
        <v>32</v>
      </c>
      <c r="P272" s="4" t="s">
        <v>32</v>
      </c>
      <c r="Q272" s="4" t="s">
        <v>33</v>
      </c>
      <c r="R272" s="4" t="s">
        <v>33</v>
      </c>
      <c r="S272" s="4" t="s">
        <v>60</v>
      </c>
      <c r="T272" s="7">
        <v>7.2263999999999999</v>
      </c>
      <c r="U272" s="8">
        <v>264</v>
      </c>
      <c r="V272" s="8">
        <v>2024</v>
      </c>
      <c r="W272" s="4" t="s">
        <v>89</v>
      </c>
    </row>
    <row r="273" spans="1:23" s="9" customFormat="1" ht="15.75" hidden="1" customHeight="1" x14ac:dyDescent="0.25">
      <c r="A273" s="10" t="s">
        <v>877</v>
      </c>
      <c r="B273" s="10" t="s">
        <v>878</v>
      </c>
      <c r="C273" s="10" t="s">
        <v>879</v>
      </c>
      <c r="D273" s="22" t="s">
        <v>6090</v>
      </c>
      <c r="E273" s="10" t="s">
        <v>26</v>
      </c>
      <c r="F273" s="10" t="s">
        <v>27</v>
      </c>
      <c r="G273" s="10" t="s">
        <v>5</v>
      </c>
      <c r="H273" s="10" t="s">
        <v>39</v>
      </c>
      <c r="I273" s="11">
        <v>45233</v>
      </c>
      <c r="J273" s="10" t="s">
        <v>30</v>
      </c>
      <c r="K273" s="11">
        <v>45516</v>
      </c>
      <c r="L273" s="10" t="s">
        <v>59</v>
      </c>
      <c r="M273" s="12">
        <v>54144</v>
      </c>
      <c r="N273" s="12">
        <v>2647</v>
      </c>
      <c r="O273" s="10">
        <v>38</v>
      </c>
      <c r="P273" s="11">
        <v>45554</v>
      </c>
      <c r="Q273" s="10" t="s">
        <v>33</v>
      </c>
      <c r="R273" s="10" t="s">
        <v>33</v>
      </c>
      <c r="S273" s="10" t="s">
        <v>60</v>
      </c>
      <c r="T273" s="13">
        <v>20.454899999999999</v>
      </c>
      <c r="U273" s="14">
        <v>283</v>
      </c>
      <c r="V273" s="14">
        <v>2024</v>
      </c>
      <c r="W273" s="10" t="s">
        <v>114</v>
      </c>
    </row>
    <row r="274" spans="1:23" s="9" customFormat="1" ht="15.75" hidden="1" customHeight="1" x14ac:dyDescent="0.25">
      <c r="A274" s="4" t="s">
        <v>880</v>
      </c>
      <c r="B274" s="4" t="s">
        <v>881</v>
      </c>
      <c r="C274" s="4" t="s">
        <v>882</v>
      </c>
      <c r="D274" s="22" t="s">
        <v>6090</v>
      </c>
      <c r="E274" s="4" t="s">
        <v>51</v>
      </c>
      <c r="F274" s="21" t="s">
        <v>6092</v>
      </c>
      <c r="G274" s="4" t="s">
        <v>5</v>
      </c>
      <c r="H274" s="4" t="s">
        <v>29</v>
      </c>
      <c r="I274" s="5">
        <v>45399</v>
      </c>
      <c r="J274" s="4" t="s">
        <v>30</v>
      </c>
      <c r="K274" s="5">
        <v>45603</v>
      </c>
      <c r="L274" s="4" t="s">
        <v>59</v>
      </c>
      <c r="M274" s="6">
        <v>39979</v>
      </c>
      <c r="N274" s="6">
        <v>8710</v>
      </c>
      <c r="O274" s="4">
        <v>11</v>
      </c>
      <c r="P274" s="5">
        <v>45614</v>
      </c>
      <c r="Q274" s="4" t="s">
        <v>33</v>
      </c>
      <c r="R274" s="4" t="s">
        <v>33</v>
      </c>
      <c r="S274" s="4" t="s">
        <v>41</v>
      </c>
      <c r="T274" s="7">
        <v>4.59</v>
      </c>
      <c r="U274" s="8">
        <v>204</v>
      </c>
      <c r="V274" s="8">
        <v>2024</v>
      </c>
      <c r="W274" s="4" t="s">
        <v>61</v>
      </c>
    </row>
    <row r="275" spans="1:23" s="9" customFormat="1" ht="15.75" hidden="1" customHeight="1" x14ac:dyDescent="0.25">
      <c r="A275" s="10" t="s">
        <v>883</v>
      </c>
      <c r="B275" s="10" t="s">
        <v>884</v>
      </c>
      <c r="C275" s="10" t="s">
        <v>885</v>
      </c>
      <c r="D275" s="21" t="s">
        <v>6088</v>
      </c>
      <c r="E275" s="10" t="s">
        <v>51</v>
      </c>
      <c r="F275" s="21" t="s">
        <v>6092</v>
      </c>
      <c r="G275" s="10" t="s">
        <v>28</v>
      </c>
      <c r="H275" s="10" t="s">
        <v>29</v>
      </c>
      <c r="I275" s="11">
        <v>45379</v>
      </c>
      <c r="J275" s="10" t="s">
        <v>30</v>
      </c>
      <c r="K275" s="11">
        <v>45522</v>
      </c>
      <c r="L275" s="10" t="s">
        <v>59</v>
      </c>
      <c r="M275" s="12">
        <v>52507</v>
      </c>
      <c r="N275" s="12">
        <v>6599</v>
      </c>
      <c r="O275" s="10">
        <v>19</v>
      </c>
      <c r="P275" s="11">
        <v>45541</v>
      </c>
      <c r="Q275" s="10" t="s">
        <v>33</v>
      </c>
      <c r="R275" s="10" t="s">
        <v>33</v>
      </c>
      <c r="S275" s="10" t="s">
        <v>41</v>
      </c>
      <c r="T275" s="13">
        <v>7.9568000000000003</v>
      </c>
      <c r="U275" s="14">
        <v>143</v>
      </c>
      <c r="V275" s="14">
        <v>2024</v>
      </c>
      <c r="W275" s="10" t="s">
        <v>114</v>
      </c>
    </row>
    <row r="276" spans="1:23" s="9" customFormat="1" ht="15.75" hidden="1" customHeight="1" x14ac:dyDescent="0.25">
      <c r="A276" s="4" t="s">
        <v>886</v>
      </c>
      <c r="B276" s="4" t="s">
        <v>887</v>
      </c>
      <c r="C276" s="4" t="s">
        <v>888</v>
      </c>
      <c r="D276" s="21" t="s">
        <v>6091</v>
      </c>
      <c r="E276" s="4" t="s">
        <v>26</v>
      </c>
      <c r="F276" s="4" t="s">
        <v>27</v>
      </c>
      <c r="G276" s="4" t="s">
        <v>57</v>
      </c>
      <c r="H276" s="4" t="s">
        <v>88</v>
      </c>
      <c r="I276" s="5">
        <v>45193</v>
      </c>
      <c r="J276" s="4" t="s">
        <v>40</v>
      </c>
      <c r="K276" s="5">
        <v>45298</v>
      </c>
      <c r="L276" s="4" t="s">
        <v>59</v>
      </c>
      <c r="M276" s="6">
        <v>12514</v>
      </c>
      <c r="N276" s="6">
        <v>821</v>
      </c>
      <c r="O276" s="4">
        <v>45</v>
      </c>
      <c r="P276" s="5">
        <v>45343</v>
      </c>
      <c r="Q276" s="4" t="s">
        <v>33</v>
      </c>
      <c r="R276" s="4" t="s">
        <v>33</v>
      </c>
      <c r="S276" s="4" t="s">
        <v>41</v>
      </c>
      <c r="T276" s="7">
        <v>15.2424</v>
      </c>
      <c r="U276" s="8">
        <v>105</v>
      </c>
      <c r="V276" s="8">
        <v>2024</v>
      </c>
      <c r="W276" s="4" t="s">
        <v>73</v>
      </c>
    </row>
    <row r="277" spans="1:23" s="9" customFormat="1" ht="15.75" hidden="1" customHeight="1" x14ac:dyDescent="0.25">
      <c r="A277" s="10" t="s">
        <v>889</v>
      </c>
      <c r="B277" s="10" t="s">
        <v>890</v>
      </c>
      <c r="C277" s="10" t="s">
        <v>891</v>
      </c>
      <c r="D277" s="21" t="s">
        <v>6088</v>
      </c>
      <c r="E277" s="10" t="s">
        <v>87</v>
      </c>
      <c r="F277" s="21" t="s">
        <v>6092</v>
      </c>
      <c r="G277" s="10" t="s">
        <v>57</v>
      </c>
      <c r="H277" s="10" t="s">
        <v>29</v>
      </c>
      <c r="I277" s="11">
        <v>45153</v>
      </c>
      <c r="J277" s="10" t="s">
        <v>40</v>
      </c>
      <c r="K277" s="11">
        <v>45362</v>
      </c>
      <c r="L277" s="10" t="s">
        <v>59</v>
      </c>
      <c r="M277" s="12">
        <v>39191</v>
      </c>
      <c r="N277" s="12">
        <v>8897</v>
      </c>
      <c r="O277" s="10">
        <v>45</v>
      </c>
      <c r="P277" s="11">
        <v>45407</v>
      </c>
      <c r="Q277" s="10" t="s">
        <v>33</v>
      </c>
      <c r="R277" s="10" t="s">
        <v>33</v>
      </c>
      <c r="S277" s="10" t="s">
        <v>60</v>
      </c>
      <c r="T277" s="13">
        <v>4.4050000000000002</v>
      </c>
      <c r="U277" s="14">
        <v>209</v>
      </c>
      <c r="V277" s="14">
        <v>2024</v>
      </c>
      <c r="W277" s="10" t="s">
        <v>77</v>
      </c>
    </row>
    <row r="278" spans="1:23" s="9" customFormat="1" ht="15.75" hidden="1" customHeight="1" x14ac:dyDescent="0.25">
      <c r="A278" s="4" t="s">
        <v>892</v>
      </c>
      <c r="B278" s="4" t="s">
        <v>893</v>
      </c>
      <c r="C278" s="4" t="s">
        <v>894</v>
      </c>
      <c r="D278" s="21" t="s">
        <v>6086</v>
      </c>
      <c r="E278" s="4" t="s">
        <v>87</v>
      </c>
      <c r="F278" s="4" t="s">
        <v>56</v>
      </c>
      <c r="G278" s="4" t="s">
        <v>5</v>
      </c>
      <c r="H278" s="4" t="s">
        <v>72</v>
      </c>
      <c r="I278" s="5">
        <v>45301</v>
      </c>
      <c r="J278" s="4" t="s">
        <v>40</v>
      </c>
      <c r="K278" s="5">
        <v>45340</v>
      </c>
      <c r="L278" s="4" t="s">
        <v>59</v>
      </c>
      <c r="M278" s="6">
        <v>35987</v>
      </c>
      <c r="N278" s="6">
        <v>2602</v>
      </c>
      <c r="O278" s="4">
        <v>26</v>
      </c>
      <c r="P278" s="5">
        <v>45366</v>
      </c>
      <c r="Q278" s="4" t="s">
        <v>33</v>
      </c>
      <c r="R278" s="4" t="s">
        <v>33</v>
      </c>
      <c r="S278" s="4" t="s">
        <v>60</v>
      </c>
      <c r="T278" s="7">
        <v>13.830500000000001</v>
      </c>
      <c r="U278" s="8">
        <v>39</v>
      </c>
      <c r="V278" s="8">
        <v>2024</v>
      </c>
      <c r="W278" s="4" t="s">
        <v>35</v>
      </c>
    </row>
    <row r="279" spans="1:23" s="9" customFormat="1" ht="15.75" hidden="1" customHeight="1" x14ac:dyDescent="0.25">
      <c r="A279" s="10" t="s">
        <v>895</v>
      </c>
      <c r="B279" s="10" t="s">
        <v>896</v>
      </c>
      <c r="C279" s="10" t="s">
        <v>897</v>
      </c>
      <c r="D279" s="22" t="s">
        <v>6087</v>
      </c>
      <c r="E279" s="10" t="s">
        <v>87</v>
      </c>
      <c r="F279" s="10" t="s">
        <v>65</v>
      </c>
      <c r="G279" s="10" t="s">
        <v>28</v>
      </c>
      <c r="H279" s="10" t="s">
        <v>58</v>
      </c>
      <c r="I279" s="11">
        <v>45358</v>
      </c>
      <c r="J279" s="10" t="s">
        <v>40</v>
      </c>
      <c r="K279" s="11">
        <v>45587</v>
      </c>
      <c r="L279" s="10" t="s">
        <v>59</v>
      </c>
      <c r="M279" s="12">
        <v>8359</v>
      </c>
      <c r="N279" s="12">
        <v>7346</v>
      </c>
      <c r="O279" s="10">
        <v>32</v>
      </c>
      <c r="P279" s="11">
        <v>45619</v>
      </c>
      <c r="Q279" s="10" t="s">
        <v>33</v>
      </c>
      <c r="R279" s="10" t="s">
        <v>33</v>
      </c>
      <c r="S279" s="10" t="s">
        <v>34</v>
      </c>
      <c r="T279" s="13">
        <v>1.1378999999999999</v>
      </c>
      <c r="U279" s="14">
        <v>229</v>
      </c>
      <c r="V279" s="14">
        <v>2024</v>
      </c>
      <c r="W279" s="10" t="s">
        <v>95</v>
      </c>
    </row>
    <row r="280" spans="1:23" s="9" customFormat="1" ht="15.75" hidden="1" customHeight="1" x14ac:dyDescent="0.25">
      <c r="A280" s="4" t="s">
        <v>898</v>
      </c>
      <c r="B280" s="4" t="s">
        <v>899</v>
      </c>
      <c r="C280" s="4" t="s">
        <v>900</v>
      </c>
      <c r="D280" s="21" t="s">
        <v>6086</v>
      </c>
      <c r="E280" s="4" t="s">
        <v>26</v>
      </c>
      <c r="F280" s="4" t="s">
        <v>46</v>
      </c>
      <c r="G280" s="4" t="s">
        <v>28</v>
      </c>
      <c r="H280" s="4" t="s">
        <v>58</v>
      </c>
      <c r="I280" s="5">
        <v>45267</v>
      </c>
      <c r="J280" s="4" t="s">
        <v>30</v>
      </c>
      <c r="K280" s="5">
        <v>45510</v>
      </c>
      <c r="L280" s="4" t="s">
        <v>31</v>
      </c>
      <c r="M280" s="6">
        <v>22273</v>
      </c>
      <c r="N280" s="6">
        <v>810</v>
      </c>
      <c r="O280" s="4" t="s">
        <v>32</v>
      </c>
      <c r="P280" s="4" t="s">
        <v>32</v>
      </c>
      <c r="Q280" s="4" t="s">
        <v>33</v>
      </c>
      <c r="R280" s="4" t="s">
        <v>33</v>
      </c>
      <c r="S280" s="4" t="s">
        <v>34</v>
      </c>
      <c r="T280" s="7">
        <v>27.497499999999999</v>
      </c>
      <c r="U280" s="8">
        <v>243</v>
      </c>
      <c r="V280" s="8">
        <v>2024</v>
      </c>
      <c r="W280" s="4" t="s">
        <v>114</v>
      </c>
    </row>
    <row r="281" spans="1:23" s="9" customFormat="1" ht="15.75" hidden="1" customHeight="1" x14ac:dyDescent="0.25">
      <c r="A281" s="10" t="s">
        <v>901</v>
      </c>
      <c r="B281" s="10" t="s">
        <v>902</v>
      </c>
      <c r="C281" s="10" t="s">
        <v>903</v>
      </c>
      <c r="D281" s="21" t="s">
        <v>6086</v>
      </c>
      <c r="E281" s="10" t="s">
        <v>51</v>
      </c>
      <c r="F281" s="10" t="s">
        <v>71</v>
      </c>
      <c r="G281" s="10" t="s">
        <v>28</v>
      </c>
      <c r="H281" s="10" t="s">
        <v>118</v>
      </c>
      <c r="I281" s="11">
        <v>45029</v>
      </c>
      <c r="J281" s="10" t="s">
        <v>40</v>
      </c>
      <c r="K281" s="11">
        <v>45313</v>
      </c>
      <c r="L281" s="10" t="s">
        <v>59</v>
      </c>
      <c r="M281" s="12">
        <v>37093</v>
      </c>
      <c r="N281" s="12">
        <v>5927</v>
      </c>
      <c r="O281" s="10">
        <v>29</v>
      </c>
      <c r="P281" s="11">
        <v>45342</v>
      </c>
      <c r="Q281" s="10" t="s">
        <v>33</v>
      </c>
      <c r="R281" s="10" t="s">
        <v>33</v>
      </c>
      <c r="S281" s="10" t="s">
        <v>60</v>
      </c>
      <c r="T281" s="13">
        <v>6.2583000000000002</v>
      </c>
      <c r="U281" s="14">
        <v>284</v>
      </c>
      <c r="V281" s="14">
        <v>2024</v>
      </c>
      <c r="W281" s="10" t="s">
        <v>73</v>
      </c>
    </row>
    <row r="282" spans="1:23" s="9" customFormat="1" ht="15.75" hidden="1" customHeight="1" x14ac:dyDescent="0.25">
      <c r="A282" s="4" t="s">
        <v>904</v>
      </c>
      <c r="B282" s="4" t="s">
        <v>905</v>
      </c>
      <c r="C282" s="4" t="s">
        <v>906</v>
      </c>
      <c r="D282" s="21" t="s">
        <v>6091</v>
      </c>
      <c r="E282" s="4" t="s">
        <v>51</v>
      </c>
      <c r="F282" s="4" t="s">
        <v>71</v>
      </c>
      <c r="G282" s="4" t="s">
        <v>5</v>
      </c>
      <c r="H282" s="4" t="s">
        <v>118</v>
      </c>
      <c r="I282" s="5">
        <v>45259</v>
      </c>
      <c r="J282" s="4" t="s">
        <v>30</v>
      </c>
      <c r="K282" s="5">
        <v>45591</v>
      </c>
      <c r="L282" s="4" t="s">
        <v>59</v>
      </c>
      <c r="M282" s="6">
        <v>14833</v>
      </c>
      <c r="N282" s="6">
        <v>6914</v>
      </c>
      <c r="O282" s="4">
        <v>3</v>
      </c>
      <c r="P282" s="5">
        <v>45594</v>
      </c>
      <c r="Q282" s="4" t="s">
        <v>94</v>
      </c>
      <c r="R282" s="4" t="s">
        <v>33</v>
      </c>
      <c r="S282" s="4" t="s">
        <v>41</v>
      </c>
      <c r="T282" s="7">
        <v>2.1454</v>
      </c>
      <c r="U282" s="8">
        <v>332</v>
      </c>
      <c r="V282" s="8">
        <v>2024</v>
      </c>
      <c r="W282" s="4" t="s">
        <v>95</v>
      </c>
    </row>
    <row r="283" spans="1:23" s="9" customFormat="1" ht="15.75" hidden="1" customHeight="1" x14ac:dyDescent="0.25">
      <c r="A283" s="10" t="s">
        <v>907</v>
      </c>
      <c r="B283" s="10" t="s">
        <v>908</v>
      </c>
      <c r="C283" s="10" t="s">
        <v>909</v>
      </c>
      <c r="D283" s="22" t="s">
        <v>6090</v>
      </c>
      <c r="E283" s="10" t="s">
        <v>26</v>
      </c>
      <c r="F283" s="21" t="s">
        <v>6092</v>
      </c>
      <c r="G283" s="10" t="s">
        <v>57</v>
      </c>
      <c r="H283" s="10" t="s">
        <v>88</v>
      </c>
      <c r="I283" s="11">
        <v>45236</v>
      </c>
      <c r="J283" s="10" t="s">
        <v>30</v>
      </c>
      <c r="K283" s="11">
        <v>45512</v>
      </c>
      <c r="L283" s="10" t="s">
        <v>59</v>
      </c>
      <c r="M283" s="12">
        <v>54132</v>
      </c>
      <c r="N283" s="12">
        <v>1054</v>
      </c>
      <c r="O283" s="10">
        <v>8</v>
      </c>
      <c r="P283" s="11">
        <v>45520</v>
      </c>
      <c r="Q283" s="10" t="s">
        <v>33</v>
      </c>
      <c r="R283" s="10" t="s">
        <v>33</v>
      </c>
      <c r="S283" s="10" t="s">
        <v>41</v>
      </c>
      <c r="T283" s="13">
        <v>51.358600000000003</v>
      </c>
      <c r="U283" s="14">
        <v>276</v>
      </c>
      <c r="V283" s="14">
        <v>2024</v>
      </c>
      <c r="W283" s="10" t="s">
        <v>114</v>
      </c>
    </row>
    <row r="284" spans="1:23" s="9" customFormat="1" ht="15.75" hidden="1" customHeight="1" x14ac:dyDescent="0.25">
      <c r="A284" s="4" t="s">
        <v>910</v>
      </c>
      <c r="B284" s="4" t="s">
        <v>911</v>
      </c>
      <c r="C284" s="4" t="s">
        <v>912</v>
      </c>
      <c r="D284" s="21" t="s">
        <v>6091</v>
      </c>
      <c r="E284" s="4" t="s">
        <v>26</v>
      </c>
      <c r="F284" s="4" t="s">
        <v>27</v>
      </c>
      <c r="G284" s="4" t="s">
        <v>57</v>
      </c>
      <c r="H284" s="4" t="s">
        <v>58</v>
      </c>
      <c r="I284" s="5">
        <v>45205</v>
      </c>
      <c r="J284" s="4" t="s">
        <v>30</v>
      </c>
      <c r="K284" s="5">
        <v>45477</v>
      </c>
      <c r="L284" s="4" t="s">
        <v>66</v>
      </c>
      <c r="M284" s="6">
        <v>4815</v>
      </c>
      <c r="N284" s="6">
        <v>955</v>
      </c>
      <c r="O284" s="4" t="s">
        <v>32</v>
      </c>
      <c r="P284" s="4" t="s">
        <v>32</v>
      </c>
      <c r="Q284" s="4" t="s">
        <v>33</v>
      </c>
      <c r="R284" s="4" t="s">
        <v>33</v>
      </c>
      <c r="S284" s="4" t="s">
        <v>60</v>
      </c>
      <c r="T284" s="7">
        <v>5.0419</v>
      </c>
      <c r="U284" s="8">
        <v>272</v>
      </c>
      <c r="V284" s="8">
        <v>2024</v>
      </c>
      <c r="W284" s="4" t="s">
        <v>42</v>
      </c>
    </row>
    <row r="285" spans="1:23" s="9" customFormat="1" ht="15.75" hidden="1" customHeight="1" x14ac:dyDescent="0.25">
      <c r="A285" s="10" t="s">
        <v>913</v>
      </c>
      <c r="B285" s="10" t="s">
        <v>914</v>
      </c>
      <c r="C285" s="10" t="s">
        <v>915</v>
      </c>
      <c r="D285" s="21" t="s">
        <v>6089</v>
      </c>
      <c r="E285" s="10" t="s">
        <v>26</v>
      </c>
      <c r="F285" s="10" t="s">
        <v>46</v>
      </c>
      <c r="G285" s="10" t="s">
        <v>57</v>
      </c>
      <c r="H285" s="10" t="s">
        <v>88</v>
      </c>
      <c r="I285" s="11">
        <v>45417</v>
      </c>
      <c r="J285" s="10" t="s">
        <v>40</v>
      </c>
      <c r="K285" s="11">
        <v>45548</v>
      </c>
      <c r="L285" s="10" t="s">
        <v>59</v>
      </c>
      <c r="M285" s="12">
        <v>14494</v>
      </c>
      <c r="N285" s="12">
        <v>2816</v>
      </c>
      <c r="O285" s="10">
        <v>9</v>
      </c>
      <c r="P285" s="11">
        <v>45557</v>
      </c>
      <c r="Q285" s="10" t="s">
        <v>94</v>
      </c>
      <c r="R285" s="10" t="s">
        <v>33</v>
      </c>
      <c r="S285" s="10" t="s">
        <v>41</v>
      </c>
      <c r="T285" s="13">
        <v>5.1470000000000002</v>
      </c>
      <c r="U285" s="14">
        <v>131</v>
      </c>
      <c r="V285" s="14">
        <v>2024</v>
      </c>
      <c r="W285" s="10" t="s">
        <v>168</v>
      </c>
    </row>
    <row r="286" spans="1:23" s="9" customFormat="1" ht="15.75" hidden="1" customHeight="1" x14ac:dyDescent="0.25">
      <c r="A286" s="4" t="s">
        <v>916</v>
      </c>
      <c r="B286" s="4" t="s">
        <v>917</v>
      </c>
      <c r="C286" s="4" t="s">
        <v>918</v>
      </c>
      <c r="D286" s="21" t="s">
        <v>6086</v>
      </c>
      <c r="E286" s="4" t="s">
        <v>51</v>
      </c>
      <c r="F286" s="4" t="s">
        <v>71</v>
      </c>
      <c r="G286" s="4" t="s">
        <v>57</v>
      </c>
      <c r="H286" s="4" t="s">
        <v>72</v>
      </c>
      <c r="I286" s="5">
        <v>45400</v>
      </c>
      <c r="J286" s="4" t="s">
        <v>40</v>
      </c>
      <c r="K286" s="5">
        <v>45587</v>
      </c>
      <c r="L286" s="4" t="s">
        <v>59</v>
      </c>
      <c r="M286" s="6">
        <v>32423</v>
      </c>
      <c r="N286" s="6">
        <v>2429</v>
      </c>
      <c r="O286" s="4">
        <v>22</v>
      </c>
      <c r="P286" s="5">
        <v>45609</v>
      </c>
      <c r="Q286" s="4" t="s">
        <v>33</v>
      </c>
      <c r="R286" s="4" t="s">
        <v>33</v>
      </c>
      <c r="S286" s="4" t="s">
        <v>34</v>
      </c>
      <c r="T286" s="7">
        <v>13.3483</v>
      </c>
      <c r="U286" s="8">
        <v>187</v>
      </c>
      <c r="V286" s="8">
        <v>2024</v>
      </c>
      <c r="W286" s="4" t="s">
        <v>95</v>
      </c>
    </row>
    <row r="287" spans="1:23" s="9" customFormat="1" ht="15.75" hidden="1" customHeight="1" x14ac:dyDescent="0.25">
      <c r="A287" s="10" t="s">
        <v>919</v>
      </c>
      <c r="B287" s="10" t="s">
        <v>920</v>
      </c>
      <c r="C287" s="10" t="s">
        <v>921</v>
      </c>
      <c r="D287" s="21" t="s">
        <v>6088</v>
      </c>
      <c r="E287" s="10" t="s">
        <v>51</v>
      </c>
      <c r="F287" s="10" t="s">
        <v>56</v>
      </c>
      <c r="G287" s="10" t="s">
        <v>5</v>
      </c>
      <c r="H287" s="10" t="s">
        <v>161</v>
      </c>
      <c r="I287" s="11">
        <v>45195</v>
      </c>
      <c r="J287" s="10" t="s">
        <v>40</v>
      </c>
      <c r="K287" s="11">
        <v>45423</v>
      </c>
      <c r="L287" s="10" t="s">
        <v>59</v>
      </c>
      <c r="M287" s="12">
        <v>40422</v>
      </c>
      <c r="N287" s="12">
        <v>4430</v>
      </c>
      <c r="O287" s="10">
        <v>23</v>
      </c>
      <c r="P287" s="11">
        <v>45446</v>
      </c>
      <c r="Q287" s="10" t="s">
        <v>33</v>
      </c>
      <c r="R287" s="10" t="s">
        <v>33</v>
      </c>
      <c r="S287" s="10" t="s">
        <v>41</v>
      </c>
      <c r="T287" s="13">
        <v>9.1245999999999992</v>
      </c>
      <c r="U287" s="14">
        <v>228</v>
      </c>
      <c r="V287" s="14">
        <v>2024</v>
      </c>
      <c r="W287" s="10" t="s">
        <v>52</v>
      </c>
    </row>
    <row r="288" spans="1:23" s="9" customFormat="1" ht="15.75" hidden="1" customHeight="1" x14ac:dyDescent="0.25">
      <c r="A288" s="4" t="s">
        <v>922</v>
      </c>
      <c r="B288" s="4" t="s">
        <v>923</v>
      </c>
      <c r="C288" s="4" t="s">
        <v>924</v>
      </c>
      <c r="D288" s="22" t="s">
        <v>6090</v>
      </c>
      <c r="E288" s="4" t="s">
        <v>26</v>
      </c>
      <c r="F288" s="4" t="s">
        <v>71</v>
      </c>
      <c r="G288" s="4" t="s">
        <v>28</v>
      </c>
      <c r="H288" s="4" t="s">
        <v>118</v>
      </c>
      <c r="I288" s="5">
        <v>45528</v>
      </c>
      <c r="J288" s="4" t="s">
        <v>40</v>
      </c>
      <c r="K288" s="5">
        <v>45647</v>
      </c>
      <c r="L288" s="4" t="s">
        <v>31</v>
      </c>
      <c r="M288" s="6">
        <v>58711</v>
      </c>
      <c r="N288" s="6">
        <v>2046</v>
      </c>
      <c r="O288" s="4" t="s">
        <v>32</v>
      </c>
      <c r="P288" s="4" t="s">
        <v>32</v>
      </c>
      <c r="Q288" s="4" t="s">
        <v>33</v>
      </c>
      <c r="R288" s="4" t="s">
        <v>33</v>
      </c>
      <c r="S288" s="4" t="s">
        <v>60</v>
      </c>
      <c r="T288" s="7">
        <v>28.695499999999999</v>
      </c>
      <c r="U288" s="8">
        <v>119</v>
      </c>
      <c r="V288" s="8">
        <v>2024</v>
      </c>
      <c r="W288" s="4" t="s">
        <v>89</v>
      </c>
    </row>
    <row r="289" spans="1:23" s="9" customFormat="1" ht="15.75" hidden="1" customHeight="1" x14ac:dyDescent="0.25">
      <c r="A289" s="10" t="s">
        <v>925</v>
      </c>
      <c r="B289" s="10" t="s">
        <v>926</v>
      </c>
      <c r="C289" s="10" t="s">
        <v>927</v>
      </c>
      <c r="D289" s="21" t="s">
        <v>6088</v>
      </c>
      <c r="E289" s="10" t="s">
        <v>26</v>
      </c>
      <c r="F289" s="21" t="s">
        <v>6092</v>
      </c>
      <c r="G289" s="10" t="s">
        <v>28</v>
      </c>
      <c r="H289" s="10" t="s">
        <v>39</v>
      </c>
      <c r="I289" s="11">
        <v>45192</v>
      </c>
      <c r="J289" s="10" t="s">
        <v>30</v>
      </c>
      <c r="K289" s="11">
        <v>45532</v>
      </c>
      <c r="L289" s="10" t="s">
        <v>31</v>
      </c>
      <c r="M289" s="12">
        <v>16280</v>
      </c>
      <c r="N289" s="12">
        <v>1701</v>
      </c>
      <c r="O289" s="10" t="s">
        <v>32</v>
      </c>
      <c r="P289" s="10" t="s">
        <v>32</v>
      </c>
      <c r="Q289" s="10" t="s">
        <v>33</v>
      </c>
      <c r="R289" s="10" t="s">
        <v>33</v>
      </c>
      <c r="S289" s="10" t="s">
        <v>60</v>
      </c>
      <c r="T289" s="13">
        <v>9.5708000000000002</v>
      </c>
      <c r="U289" s="14">
        <v>340</v>
      </c>
      <c r="V289" s="14">
        <v>2024</v>
      </c>
      <c r="W289" s="10" t="s">
        <v>114</v>
      </c>
    </row>
    <row r="290" spans="1:23" s="9" customFormat="1" ht="15.75" hidden="1" customHeight="1" x14ac:dyDescent="0.25">
      <c r="A290" s="4" t="s">
        <v>928</v>
      </c>
      <c r="B290" s="4" t="s">
        <v>929</v>
      </c>
      <c r="C290" s="4" t="s">
        <v>930</v>
      </c>
      <c r="D290" s="22" t="s">
        <v>6087</v>
      </c>
      <c r="E290" s="4" t="s">
        <v>87</v>
      </c>
      <c r="F290" s="21" t="s">
        <v>6092</v>
      </c>
      <c r="G290" s="4" t="s">
        <v>28</v>
      </c>
      <c r="H290" s="4" t="s">
        <v>118</v>
      </c>
      <c r="I290" s="5">
        <v>45213</v>
      </c>
      <c r="J290" s="4" t="s">
        <v>30</v>
      </c>
      <c r="K290" s="5">
        <v>45448</v>
      </c>
      <c r="L290" s="4" t="s">
        <v>59</v>
      </c>
      <c r="M290" s="6">
        <v>39528</v>
      </c>
      <c r="N290" s="6">
        <v>6178</v>
      </c>
      <c r="O290" s="4">
        <v>13</v>
      </c>
      <c r="P290" s="5">
        <v>45461</v>
      </c>
      <c r="Q290" s="4" t="s">
        <v>94</v>
      </c>
      <c r="R290" s="4" t="s">
        <v>33</v>
      </c>
      <c r="S290" s="4" t="s">
        <v>60</v>
      </c>
      <c r="T290" s="7">
        <v>6.3982000000000001</v>
      </c>
      <c r="U290" s="8">
        <v>235</v>
      </c>
      <c r="V290" s="8">
        <v>2024</v>
      </c>
      <c r="W290" s="4" t="s">
        <v>67</v>
      </c>
    </row>
    <row r="291" spans="1:23" s="9" customFormat="1" ht="15.75" hidden="1" customHeight="1" x14ac:dyDescent="0.25">
      <c r="A291" s="10" t="s">
        <v>931</v>
      </c>
      <c r="B291" s="10" t="s">
        <v>932</v>
      </c>
      <c r="C291" s="10" t="s">
        <v>933</v>
      </c>
      <c r="D291" s="22" t="s">
        <v>6087</v>
      </c>
      <c r="E291" s="10" t="s">
        <v>87</v>
      </c>
      <c r="F291" s="10" t="s">
        <v>56</v>
      </c>
      <c r="G291" s="10" t="s">
        <v>5</v>
      </c>
      <c r="H291" s="10" t="s">
        <v>88</v>
      </c>
      <c r="I291" s="11">
        <v>45144</v>
      </c>
      <c r="J291" s="10" t="s">
        <v>40</v>
      </c>
      <c r="K291" s="11">
        <v>45470</v>
      </c>
      <c r="L291" s="10" t="s">
        <v>59</v>
      </c>
      <c r="M291" s="12">
        <v>11989</v>
      </c>
      <c r="N291" s="12">
        <v>2993</v>
      </c>
      <c r="O291" s="10">
        <v>34</v>
      </c>
      <c r="P291" s="11">
        <v>45504</v>
      </c>
      <c r="Q291" s="10" t="s">
        <v>33</v>
      </c>
      <c r="R291" s="10" t="s">
        <v>33</v>
      </c>
      <c r="S291" s="10" t="s">
        <v>41</v>
      </c>
      <c r="T291" s="13">
        <v>4.0057</v>
      </c>
      <c r="U291" s="14">
        <v>326</v>
      </c>
      <c r="V291" s="14">
        <v>2024</v>
      </c>
      <c r="W291" s="10" t="s">
        <v>67</v>
      </c>
    </row>
    <row r="292" spans="1:23" s="9" customFormat="1" ht="15.75" hidden="1" customHeight="1" x14ac:dyDescent="0.25">
      <c r="A292" s="4" t="s">
        <v>934</v>
      </c>
      <c r="B292" s="4" t="s">
        <v>935</v>
      </c>
      <c r="C292" s="4" t="s">
        <v>936</v>
      </c>
      <c r="D292" s="22" t="s">
        <v>6090</v>
      </c>
      <c r="E292" s="4" t="s">
        <v>87</v>
      </c>
      <c r="F292" s="4" t="s">
        <v>56</v>
      </c>
      <c r="G292" s="4" t="s">
        <v>28</v>
      </c>
      <c r="H292" s="4" t="s">
        <v>161</v>
      </c>
      <c r="I292" s="5">
        <v>45281</v>
      </c>
      <c r="J292" s="4" t="s">
        <v>30</v>
      </c>
      <c r="K292" s="5">
        <v>45404</v>
      </c>
      <c r="L292" s="4" t="s">
        <v>66</v>
      </c>
      <c r="M292" s="6">
        <v>41153</v>
      </c>
      <c r="N292" s="6">
        <v>2274</v>
      </c>
      <c r="O292" s="4" t="s">
        <v>32</v>
      </c>
      <c r="P292" s="4" t="s">
        <v>32</v>
      </c>
      <c r="Q292" s="4" t="s">
        <v>33</v>
      </c>
      <c r="R292" s="4" t="s">
        <v>33</v>
      </c>
      <c r="S292" s="4" t="s">
        <v>34</v>
      </c>
      <c r="T292" s="7">
        <v>18.097200000000001</v>
      </c>
      <c r="U292" s="8">
        <v>123</v>
      </c>
      <c r="V292" s="8">
        <v>2024</v>
      </c>
      <c r="W292" s="4" t="s">
        <v>47</v>
      </c>
    </row>
    <row r="293" spans="1:23" s="9" customFormat="1" ht="15.75" hidden="1" customHeight="1" x14ac:dyDescent="0.25">
      <c r="A293" s="10" t="s">
        <v>937</v>
      </c>
      <c r="B293" s="10" t="s">
        <v>938</v>
      </c>
      <c r="C293" s="10" t="s">
        <v>939</v>
      </c>
      <c r="D293" s="21" t="s">
        <v>6086</v>
      </c>
      <c r="E293" s="10" t="s">
        <v>87</v>
      </c>
      <c r="F293" s="10" t="s">
        <v>71</v>
      </c>
      <c r="G293" s="10" t="s">
        <v>5</v>
      </c>
      <c r="H293" s="10" t="s">
        <v>72</v>
      </c>
      <c r="I293" s="11">
        <v>45390</v>
      </c>
      <c r="J293" s="10" t="s">
        <v>30</v>
      </c>
      <c r="K293" s="11">
        <v>45437</v>
      </c>
      <c r="L293" s="10" t="s">
        <v>66</v>
      </c>
      <c r="M293" s="12">
        <v>75116</v>
      </c>
      <c r="N293" s="12">
        <v>8882</v>
      </c>
      <c r="O293" s="10" t="s">
        <v>32</v>
      </c>
      <c r="P293" s="10" t="s">
        <v>32</v>
      </c>
      <c r="Q293" s="10" t="s">
        <v>33</v>
      </c>
      <c r="R293" s="10" t="s">
        <v>33</v>
      </c>
      <c r="S293" s="10" t="s">
        <v>60</v>
      </c>
      <c r="T293" s="13">
        <v>8.4571000000000005</v>
      </c>
      <c r="U293" s="14">
        <v>47</v>
      </c>
      <c r="V293" s="14">
        <v>2024</v>
      </c>
      <c r="W293" s="10" t="s">
        <v>52</v>
      </c>
    </row>
    <row r="294" spans="1:23" s="9" customFormat="1" ht="15.75" hidden="1" customHeight="1" x14ac:dyDescent="0.25">
      <c r="A294" s="4" t="s">
        <v>940</v>
      </c>
      <c r="B294" s="4" t="s">
        <v>941</v>
      </c>
      <c r="C294" s="4" t="s">
        <v>942</v>
      </c>
      <c r="D294" s="22" t="s">
        <v>6090</v>
      </c>
      <c r="E294" s="4" t="s">
        <v>26</v>
      </c>
      <c r="F294" s="4" t="s">
        <v>46</v>
      </c>
      <c r="G294" s="4" t="s">
        <v>5</v>
      </c>
      <c r="H294" s="4" t="s">
        <v>93</v>
      </c>
      <c r="I294" s="5">
        <v>45135</v>
      </c>
      <c r="J294" s="4" t="s">
        <v>30</v>
      </c>
      <c r="K294" s="5">
        <v>45425</v>
      </c>
      <c r="L294" s="4" t="s">
        <v>59</v>
      </c>
      <c r="M294" s="6">
        <v>17362</v>
      </c>
      <c r="N294" s="6">
        <v>7282</v>
      </c>
      <c r="O294" s="4">
        <v>21</v>
      </c>
      <c r="P294" s="5">
        <v>45446</v>
      </c>
      <c r="Q294" s="4" t="s">
        <v>33</v>
      </c>
      <c r="R294" s="4" t="s">
        <v>33</v>
      </c>
      <c r="S294" s="4" t="s">
        <v>60</v>
      </c>
      <c r="T294" s="7">
        <v>2.3841999999999999</v>
      </c>
      <c r="U294" s="8">
        <v>290</v>
      </c>
      <c r="V294" s="8">
        <v>2024</v>
      </c>
      <c r="W294" s="4" t="s">
        <v>52</v>
      </c>
    </row>
    <row r="295" spans="1:23" s="9" customFormat="1" ht="15.75" hidden="1" customHeight="1" x14ac:dyDescent="0.25">
      <c r="A295" s="10" t="s">
        <v>943</v>
      </c>
      <c r="B295" s="10" t="s">
        <v>944</v>
      </c>
      <c r="C295" s="10" t="s">
        <v>945</v>
      </c>
      <c r="D295" s="21" t="s">
        <v>6086</v>
      </c>
      <c r="E295" s="10" t="s">
        <v>87</v>
      </c>
      <c r="F295" s="10" t="s">
        <v>56</v>
      </c>
      <c r="G295" s="10" t="s">
        <v>5</v>
      </c>
      <c r="H295" s="10" t="s">
        <v>118</v>
      </c>
      <c r="I295" s="11">
        <v>45459</v>
      </c>
      <c r="J295" s="10" t="s">
        <v>30</v>
      </c>
      <c r="K295" s="11">
        <v>45563</v>
      </c>
      <c r="L295" s="10" t="s">
        <v>59</v>
      </c>
      <c r="M295" s="12">
        <v>29882</v>
      </c>
      <c r="N295" s="12">
        <v>8192</v>
      </c>
      <c r="O295" s="10">
        <v>3</v>
      </c>
      <c r="P295" s="11">
        <v>45566</v>
      </c>
      <c r="Q295" s="10" t="s">
        <v>33</v>
      </c>
      <c r="R295" s="10" t="s">
        <v>33</v>
      </c>
      <c r="S295" s="10" t="s">
        <v>41</v>
      </c>
      <c r="T295" s="13">
        <v>3.6476999999999999</v>
      </c>
      <c r="U295" s="14">
        <v>104</v>
      </c>
      <c r="V295" s="14">
        <v>2024</v>
      </c>
      <c r="W295" s="10" t="s">
        <v>168</v>
      </c>
    </row>
    <row r="296" spans="1:23" s="9" customFormat="1" ht="15.75" hidden="1" customHeight="1" x14ac:dyDescent="0.25">
      <c r="A296" s="4" t="s">
        <v>946</v>
      </c>
      <c r="B296" s="4" t="s">
        <v>947</v>
      </c>
      <c r="C296" s="4" t="s">
        <v>948</v>
      </c>
      <c r="D296" s="22" t="s">
        <v>6087</v>
      </c>
      <c r="E296" s="4" t="s">
        <v>26</v>
      </c>
      <c r="F296" s="4" t="s">
        <v>27</v>
      </c>
      <c r="G296" s="4" t="s">
        <v>5</v>
      </c>
      <c r="H296" s="4" t="s">
        <v>29</v>
      </c>
      <c r="I296" s="5">
        <v>45129</v>
      </c>
      <c r="J296" s="4" t="s">
        <v>40</v>
      </c>
      <c r="K296" s="5">
        <v>45440</v>
      </c>
      <c r="L296" s="4" t="s">
        <v>31</v>
      </c>
      <c r="M296" s="6">
        <v>22199</v>
      </c>
      <c r="N296" s="6">
        <v>4360</v>
      </c>
      <c r="O296" s="4" t="s">
        <v>32</v>
      </c>
      <c r="P296" s="4" t="s">
        <v>32</v>
      </c>
      <c r="Q296" s="4" t="s">
        <v>33</v>
      </c>
      <c r="R296" s="4" t="s">
        <v>33</v>
      </c>
      <c r="S296" s="4" t="s">
        <v>60</v>
      </c>
      <c r="T296" s="7">
        <v>5.0914999999999999</v>
      </c>
      <c r="U296" s="8">
        <v>311</v>
      </c>
      <c r="V296" s="8">
        <v>2024</v>
      </c>
      <c r="W296" s="4" t="s">
        <v>52</v>
      </c>
    </row>
    <row r="297" spans="1:23" s="9" customFormat="1" ht="15.75" hidden="1" customHeight="1" x14ac:dyDescent="0.25">
      <c r="A297" s="10" t="s">
        <v>949</v>
      </c>
      <c r="B297" s="10" t="s">
        <v>950</v>
      </c>
      <c r="C297" s="10" t="s">
        <v>951</v>
      </c>
      <c r="D297" s="22" t="s">
        <v>6090</v>
      </c>
      <c r="E297" s="10" t="s">
        <v>87</v>
      </c>
      <c r="F297" s="10" t="s">
        <v>56</v>
      </c>
      <c r="G297" s="10" t="s">
        <v>5</v>
      </c>
      <c r="H297" s="10" t="s">
        <v>161</v>
      </c>
      <c r="I297" s="11">
        <v>45080</v>
      </c>
      <c r="J297" s="10" t="s">
        <v>40</v>
      </c>
      <c r="K297" s="11">
        <v>45412</v>
      </c>
      <c r="L297" s="10" t="s">
        <v>59</v>
      </c>
      <c r="M297" s="12">
        <v>4697</v>
      </c>
      <c r="N297" s="12">
        <v>684</v>
      </c>
      <c r="O297" s="10">
        <v>25</v>
      </c>
      <c r="P297" s="11">
        <v>45437</v>
      </c>
      <c r="Q297" s="10" t="s">
        <v>33</v>
      </c>
      <c r="R297" s="10" t="s">
        <v>33</v>
      </c>
      <c r="S297" s="10" t="s">
        <v>34</v>
      </c>
      <c r="T297" s="13">
        <v>6.867</v>
      </c>
      <c r="U297" s="14">
        <v>332</v>
      </c>
      <c r="V297" s="14">
        <v>2024</v>
      </c>
      <c r="W297" s="10" t="s">
        <v>47</v>
      </c>
    </row>
    <row r="298" spans="1:23" s="9" customFormat="1" ht="15.75" hidden="1" customHeight="1" x14ac:dyDescent="0.25">
      <c r="A298" s="4" t="s">
        <v>952</v>
      </c>
      <c r="B298" s="4" t="s">
        <v>953</v>
      </c>
      <c r="C298" s="4" t="s">
        <v>954</v>
      </c>
      <c r="D298" s="21" t="s">
        <v>6091</v>
      </c>
      <c r="E298" s="4" t="s">
        <v>87</v>
      </c>
      <c r="F298" s="4" t="s">
        <v>46</v>
      </c>
      <c r="G298" s="4" t="s">
        <v>28</v>
      </c>
      <c r="H298" s="4" t="s">
        <v>88</v>
      </c>
      <c r="I298" s="5">
        <v>45328</v>
      </c>
      <c r="J298" s="4" t="s">
        <v>40</v>
      </c>
      <c r="K298" s="5">
        <v>45447</v>
      </c>
      <c r="L298" s="4" t="s">
        <v>59</v>
      </c>
      <c r="M298" s="6">
        <v>17797</v>
      </c>
      <c r="N298" s="6">
        <v>8858</v>
      </c>
      <c r="O298" s="4">
        <v>23</v>
      </c>
      <c r="P298" s="5">
        <v>45470</v>
      </c>
      <c r="Q298" s="4" t="s">
        <v>33</v>
      </c>
      <c r="R298" s="4" t="s">
        <v>33</v>
      </c>
      <c r="S298" s="4" t="s">
        <v>34</v>
      </c>
      <c r="T298" s="7">
        <v>2.0091000000000001</v>
      </c>
      <c r="U298" s="8">
        <v>119</v>
      </c>
      <c r="V298" s="8">
        <v>2024</v>
      </c>
      <c r="W298" s="4" t="s">
        <v>67</v>
      </c>
    </row>
    <row r="299" spans="1:23" s="9" customFormat="1" ht="15.75" hidden="1" customHeight="1" x14ac:dyDescent="0.25">
      <c r="A299" s="10" t="s">
        <v>955</v>
      </c>
      <c r="B299" s="10" t="s">
        <v>956</v>
      </c>
      <c r="C299" s="10" t="s">
        <v>957</v>
      </c>
      <c r="D299" s="21" t="s">
        <v>6091</v>
      </c>
      <c r="E299" s="10" t="s">
        <v>51</v>
      </c>
      <c r="F299" s="10" t="s">
        <v>46</v>
      </c>
      <c r="G299" s="10" t="s">
        <v>57</v>
      </c>
      <c r="H299" s="10" t="s">
        <v>39</v>
      </c>
      <c r="I299" s="11">
        <v>45348</v>
      </c>
      <c r="J299" s="10" t="s">
        <v>30</v>
      </c>
      <c r="K299" s="11">
        <v>45622</v>
      </c>
      <c r="L299" s="10" t="s">
        <v>59</v>
      </c>
      <c r="M299" s="12">
        <v>12152</v>
      </c>
      <c r="N299" s="12">
        <v>8107</v>
      </c>
      <c r="O299" s="10">
        <v>4</v>
      </c>
      <c r="P299" s="11">
        <v>45626</v>
      </c>
      <c r="Q299" s="10" t="s">
        <v>33</v>
      </c>
      <c r="R299" s="10" t="s">
        <v>33</v>
      </c>
      <c r="S299" s="10" t="s">
        <v>34</v>
      </c>
      <c r="T299" s="13">
        <v>1.4990000000000001</v>
      </c>
      <c r="U299" s="14">
        <v>274</v>
      </c>
      <c r="V299" s="14">
        <v>2024</v>
      </c>
      <c r="W299" s="10" t="s">
        <v>61</v>
      </c>
    </row>
    <row r="300" spans="1:23" s="9" customFormat="1" ht="15.75" hidden="1" customHeight="1" x14ac:dyDescent="0.25">
      <c r="A300" s="4" t="s">
        <v>958</v>
      </c>
      <c r="B300" s="4" t="s">
        <v>959</v>
      </c>
      <c r="C300" s="4" t="s">
        <v>960</v>
      </c>
      <c r="D300" s="21" t="s">
        <v>6086</v>
      </c>
      <c r="E300" s="4" t="s">
        <v>87</v>
      </c>
      <c r="F300" s="4" t="s">
        <v>71</v>
      </c>
      <c r="G300" s="4" t="s">
        <v>5</v>
      </c>
      <c r="H300" s="4" t="s">
        <v>58</v>
      </c>
      <c r="I300" s="5">
        <v>45274</v>
      </c>
      <c r="J300" s="4" t="s">
        <v>30</v>
      </c>
      <c r="K300" s="5">
        <v>45340</v>
      </c>
      <c r="L300" s="4" t="s">
        <v>59</v>
      </c>
      <c r="M300" s="6">
        <v>23052</v>
      </c>
      <c r="N300" s="6">
        <v>3362</v>
      </c>
      <c r="O300" s="4">
        <v>24</v>
      </c>
      <c r="P300" s="5">
        <v>45364</v>
      </c>
      <c r="Q300" s="4" t="s">
        <v>33</v>
      </c>
      <c r="R300" s="4" t="s">
        <v>33</v>
      </c>
      <c r="S300" s="4" t="s">
        <v>60</v>
      </c>
      <c r="T300" s="7">
        <v>6.8566000000000003</v>
      </c>
      <c r="U300" s="8">
        <v>66</v>
      </c>
      <c r="V300" s="8">
        <v>2024</v>
      </c>
      <c r="W300" s="4" t="s">
        <v>35</v>
      </c>
    </row>
    <row r="301" spans="1:23" s="9" customFormat="1" ht="15.75" hidden="1" customHeight="1" x14ac:dyDescent="0.25">
      <c r="A301" s="10" t="s">
        <v>961</v>
      </c>
      <c r="B301" s="10" t="s">
        <v>962</v>
      </c>
      <c r="C301" s="10" t="s">
        <v>963</v>
      </c>
      <c r="D301" s="21" t="s">
        <v>6088</v>
      </c>
      <c r="E301" s="10" t="s">
        <v>87</v>
      </c>
      <c r="F301" s="10" t="s">
        <v>27</v>
      </c>
      <c r="G301" s="10" t="s">
        <v>28</v>
      </c>
      <c r="H301" s="10" t="s">
        <v>39</v>
      </c>
      <c r="I301" s="11">
        <v>45306</v>
      </c>
      <c r="J301" s="10" t="s">
        <v>40</v>
      </c>
      <c r="K301" s="11">
        <v>45439</v>
      </c>
      <c r="L301" s="10" t="s">
        <v>59</v>
      </c>
      <c r="M301" s="12">
        <v>61443</v>
      </c>
      <c r="N301" s="12">
        <v>4474</v>
      </c>
      <c r="O301" s="10">
        <v>30</v>
      </c>
      <c r="P301" s="11">
        <v>45469</v>
      </c>
      <c r="Q301" s="10" t="s">
        <v>33</v>
      </c>
      <c r="R301" s="10" t="s">
        <v>33</v>
      </c>
      <c r="S301" s="10" t="s">
        <v>34</v>
      </c>
      <c r="T301" s="13">
        <v>13.7333</v>
      </c>
      <c r="U301" s="14">
        <v>133</v>
      </c>
      <c r="V301" s="14">
        <v>2024</v>
      </c>
      <c r="W301" s="10" t="s">
        <v>52</v>
      </c>
    </row>
    <row r="302" spans="1:23" s="9" customFormat="1" ht="15.75" hidden="1" customHeight="1" x14ac:dyDescent="0.25">
      <c r="A302" s="4" t="s">
        <v>964</v>
      </c>
      <c r="B302" s="4" t="s">
        <v>965</v>
      </c>
      <c r="C302" s="4" t="s">
        <v>966</v>
      </c>
      <c r="D302" s="21" t="s">
        <v>6091</v>
      </c>
      <c r="E302" s="4" t="s">
        <v>26</v>
      </c>
      <c r="F302" s="21" t="s">
        <v>6092</v>
      </c>
      <c r="G302" s="4" t="s">
        <v>28</v>
      </c>
      <c r="H302" s="4" t="s">
        <v>72</v>
      </c>
      <c r="I302" s="5">
        <v>45334</v>
      </c>
      <c r="J302" s="4" t="s">
        <v>30</v>
      </c>
      <c r="K302" s="5">
        <v>45609</v>
      </c>
      <c r="L302" s="4" t="s">
        <v>59</v>
      </c>
      <c r="M302" s="6">
        <v>3763</v>
      </c>
      <c r="N302" s="6">
        <v>5523</v>
      </c>
      <c r="O302" s="4">
        <v>34</v>
      </c>
      <c r="P302" s="5">
        <v>45643</v>
      </c>
      <c r="Q302" s="4" t="s">
        <v>33</v>
      </c>
      <c r="R302" s="4" t="s">
        <v>33</v>
      </c>
      <c r="S302" s="4" t="s">
        <v>34</v>
      </c>
      <c r="T302" s="7">
        <v>0.68130000000000002</v>
      </c>
      <c r="U302" s="8">
        <v>275</v>
      </c>
      <c r="V302" s="8">
        <v>2024</v>
      </c>
      <c r="W302" s="4" t="s">
        <v>61</v>
      </c>
    </row>
    <row r="303" spans="1:23" s="9" customFormat="1" ht="15.75" hidden="1" customHeight="1" x14ac:dyDescent="0.25">
      <c r="A303" s="10" t="s">
        <v>967</v>
      </c>
      <c r="B303" s="10" t="s">
        <v>968</v>
      </c>
      <c r="C303" s="10" t="s">
        <v>969</v>
      </c>
      <c r="D303" s="22" t="s">
        <v>6090</v>
      </c>
      <c r="E303" s="10" t="s">
        <v>51</v>
      </c>
      <c r="F303" s="21" t="s">
        <v>6092</v>
      </c>
      <c r="G303" s="10" t="s">
        <v>57</v>
      </c>
      <c r="H303" s="10" t="s">
        <v>93</v>
      </c>
      <c r="I303" s="11">
        <v>45202</v>
      </c>
      <c r="J303" s="10" t="s">
        <v>40</v>
      </c>
      <c r="K303" s="11">
        <v>45323</v>
      </c>
      <c r="L303" s="10" t="s">
        <v>59</v>
      </c>
      <c r="M303" s="12">
        <v>57476</v>
      </c>
      <c r="N303" s="12">
        <v>1594</v>
      </c>
      <c r="O303" s="10">
        <v>15</v>
      </c>
      <c r="P303" s="11">
        <v>45338</v>
      </c>
      <c r="Q303" s="10" t="s">
        <v>33</v>
      </c>
      <c r="R303" s="10" t="s">
        <v>33</v>
      </c>
      <c r="S303" s="10" t="s">
        <v>41</v>
      </c>
      <c r="T303" s="13">
        <v>36.057699999999997</v>
      </c>
      <c r="U303" s="14">
        <v>121</v>
      </c>
      <c r="V303" s="14">
        <v>2024</v>
      </c>
      <c r="W303" s="10" t="s">
        <v>35</v>
      </c>
    </row>
    <row r="304" spans="1:23" s="9" customFormat="1" ht="15.75" hidden="1" customHeight="1" x14ac:dyDescent="0.25">
      <c r="A304" s="4" t="s">
        <v>970</v>
      </c>
      <c r="B304" s="4" t="s">
        <v>971</v>
      </c>
      <c r="C304" s="4" t="s">
        <v>972</v>
      </c>
      <c r="D304" s="22" t="s">
        <v>6090</v>
      </c>
      <c r="E304" s="4" t="s">
        <v>26</v>
      </c>
      <c r="F304" s="4" t="s">
        <v>65</v>
      </c>
      <c r="G304" s="4" t="s">
        <v>28</v>
      </c>
      <c r="H304" s="4" t="s">
        <v>161</v>
      </c>
      <c r="I304" s="5">
        <v>45510</v>
      </c>
      <c r="J304" s="4" t="s">
        <v>40</v>
      </c>
      <c r="K304" s="5">
        <v>45597</v>
      </c>
      <c r="L304" s="4" t="s">
        <v>59</v>
      </c>
      <c r="M304" s="6">
        <v>27194</v>
      </c>
      <c r="N304" s="6">
        <v>4459</v>
      </c>
      <c r="O304" s="4">
        <v>13</v>
      </c>
      <c r="P304" s="5">
        <v>45610</v>
      </c>
      <c r="Q304" s="4" t="s">
        <v>94</v>
      </c>
      <c r="R304" s="4" t="s">
        <v>33</v>
      </c>
      <c r="S304" s="4" t="s">
        <v>60</v>
      </c>
      <c r="T304" s="7">
        <v>6.0987</v>
      </c>
      <c r="U304" s="8">
        <v>87</v>
      </c>
      <c r="V304" s="8">
        <v>2024</v>
      </c>
      <c r="W304" s="4" t="s">
        <v>61</v>
      </c>
    </row>
    <row r="305" spans="1:23" s="9" customFormat="1" ht="15.75" hidden="1" customHeight="1" x14ac:dyDescent="0.25">
      <c r="A305" s="10" t="s">
        <v>973</v>
      </c>
      <c r="B305" s="10" t="s">
        <v>974</v>
      </c>
      <c r="C305" s="10" t="s">
        <v>975</v>
      </c>
      <c r="D305" s="22" t="s">
        <v>6090</v>
      </c>
      <c r="E305" s="10" t="s">
        <v>26</v>
      </c>
      <c r="F305" s="10" t="s">
        <v>65</v>
      </c>
      <c r="G305" s="10" t="s">
        <v>5</v>
      </c>
      <c r="H305" s="10" t="s">
        <v>39</v>
      </c>
      <c r="I305" s="11">
        <v>45390</v>
      </c>
      <c r="J305" s="10" t="s">
        <v>40</v>
      </c>
      <c r="K305" s="11">
        <v>45495</v>
      </c>
      <c r="L305" s="10" t="s">
        <v>31</v>
      </c>
      <c r="M305" s="12">
        <v>14026</v>
      </c>
      <c r="N305" s="12">
        <v>7724</v>
      </c>
      <c r="O305" s="10" t="s">
        <v>32</v>
      </c>
      <c r="P305" s="10" t="s">
        <v>32</v>
      </c>
      <c r="Q305" s="10" t="s">
        <v>33</v>
      </c>
      <c r="R305" s="10" t="s">
        <v>33</v>
      </c>
      <c r="S305" s="10" t="s">
        <v>60</v>
      </c>
      <c r="T305" s="13">
        <v>1.8159000000000001</v>
      </c>
      <c r="U305" s="14">
        <v>105</v>
      </c>
      <c r="V305" s="14">
        <v>2024</v>
      </c>
      <c r="W305" s="10" t="s">
        <v>42</v>
      </c>
    </row>
    <row r="306" spans="1:23" s="9" customFormat="1" ht="15.75" hidden="1" customHeight="1" x14ac:dyDescent="0.25">
      <c r="A306" s="4" t="s">
        <v>976</v>
      </c>
      <c r="B306" s="4" t="s">
        <v>977</v>
      </c>
      <c r="C306" s="4" t="s">
        <v>978</v>
      </c>
      <c r="D306" s="21" t="s">
        <v>6086</v>
      </c>
      <c r="E306" s="4" t="s">
        <v>51</v>
      </c>
      <c r="F306" s="4" t="s">
        <v>65</v>
      </c>
      <c r="G306" s="4" t="s">
        <v>28</v>
      </c>
      <c r="H306" s="4" t="s">
        <v>118</v>
      </c>
      <c r="I306" s="5">
        <v>45012</v>
      </c>
      <c r="J306" s="4" t="s">
        <v>40</v>
      </c>
      <c r="K306" s="5">
        <v>45326</v>
      </c>
      <c r="L306" s="4" t="s">
        <v>59</v>
      </c>
      <c r="M306" s="6">
        <v>49723</v>
      </c>
      <c r="N306" s="6">
        <v>5791</v>
      </c>
      <c r="O306" s="4">
        <v>19</v>
      </c>
      <c r="P306" s="5">
        <v>45345</v>
      </c>
      <c r="Q306" s="4" t="s">
        <v>33</v>
      </c>
      <c r="R306" s="4" t="s">
        <v>33</v>
      </c>
      <c r="S306" s="4" t="s">
        <v>34</v>
      </c>
      <c r="T306" s="7">
        <v>8.5862999999999996</v>
      </c>
      <c r="U306" s="8">
        <v>314</v>
      </c>
      <c r="V306" s="8">
        <v>2024</v>
      </c>
      <c r="W306" s="4" t="s">
        <v>35</v>
      </c>
    </row>
    <row r="307" spans="1:23" s="9" customFormat="1" ht="15.75" hidden="1" customHeight="1" x14ac:dyDescent="0.25">
      <c r="A307" s="10" t="s">
        <v>979</v>
      </c>
      <c r="B307" s="10" t="s">
        <v>980</v>
      </c>
      <c r="C307" s="10" t="s">
        <v>981</v>
      </c>
      <c r="D307" s="22" t="s">
        <v>6090</v>
      </c>
      <c r="E307" s="10" t="s">
        <v>87</v>
      </c>
      <c r="F307" s="10" t="s">
        <v>46</v>
      </c>
      <c r="G307" s="10" t="s">
        <v>28</v>
      </c>
      <c r="H307" s="10" t="s">
        <v>39</v>
      </c>
      <c r="I307" s="11">
        <v>45310</v>
      </c>
      <c r="J307" s="10" t="s">
        <v>30</v>
      </c>
      <c r="K307" s="11">
        <v>45462</v>
      </c>
      <c r="L307" s="10" t="s">
        <v>59</v>
      </c>
      <c r="M307" s="12">
        <v>44391</v>
      </c>
      <c r="N307" s="12">
        <v>7876</v>
      </c>
      <c r="O307" s="10">
        <v>10</v>
      </c>
      <c r="P307" s="11">
        <v>45472</v>
      </c>
      <c r="Q307" s="10" t="s">
        <v>33</v>
      </c>
      <c r="R307" s="10" t="s">
        <v>33</v>
      </c>
      <c r="S307" s="10" t="s">
        <v>34</v>
      </c>
      <c r="T307" s="13">
        <v>5.6361999999999997</v>
      </c>
      <c r="U307" s="14">
        <v>152</v>
      </c>
      <c r="V307" s="14">
        <v>2024</v>
      </c>
      <c r="W307" s="10" t="s">
        <v>67</v>
      </c>
    </row>
    <row r="308" spans="1:23" s="9" customFormat="1" ht="15.75" hidden="1" customHeight="1" x14ac:dyDescent="0.25">
      <c r="A308" s="4" t="s">
        <v>982</v>
      </c>
      <c r="B308" s="4" t="s">
        <v>983</v>
      </c>
      <c r="C308" s="4" t="s">
        <v>984</v>
      </c>
      <c r="D308" s="21" t="s">
        <v>6088</v>
      </c>
      <c r="E308" s="4" t="s">
        <v>51</v>
      </c>
      <c r="F308" s="21" t="s">
        <v>6092</v>
      </c>
      <c r="G308" s="4" t="s">
        <v>5</v>
      </c>
      <c r="H308" s="4" t="s">
        <v>58</v>
      </c>
      <c r="I308" s="5">
        <v>45231</v>
      </c>
      <c r="J308" s="4" t="s">
        <v>30</v>
      </c>
      <c r="K308" s="5">
        <v>45444</v>
      </c>
      <c r="L308" s="4" t="s">
        <v>59</v>
      </c>
      <c r="M308" s="6">
        <v>52056</v>
      </c>
      <c r="N308" s="6">
        <v>4650</v>
      </c>
      <c r="O308" s="4">
        <v>23</v>
      </c>
      <c r="P308" s="5">
        <v>45467</v>
      </c>
      <c r="Q308" s="4" t="s">
        <v>33</v>
      </c>
      <c r="R308" s="4" t="s">
        <v>33</v>
      </c>
      <c r="S308" s="4" t="s">
        <v>34</v>
      </c>
      <c r="T308" s="7">
        <v>11.194800000000001</v>
      </c>
      <c r="U308" s="8">
        <v>213</v>
      </c>
      <c r="V308" s="8">
        <v>2024</v>
      </c>
      <c r="W308" s="4" t="s">
        <v>67</v>
      </c>
    </row>
    <row r="309" spans="1:23" s="9" customFormat="1" ht="15.75" hidden="1" customHeight="1" x14ac:dyDescent="0.25">
      <c r="A309" s="10" t="s">
        <v>985</v>
      </c>
      <c r="B309" s="10" t="s">
        <v>986</v>
      </c>
      <c r="C309" s="10" t="s">
        <v>987</v>
      </c>
      <c r="D309" s="22" t="s">
        <v>6087</v>
      </c>
      <c r="E309" s="10" t="s">
        <v>87</v>
      </c>
      <c r="F309" s="10" t="s">
        <v>65</v>
      </c>
      <c r="G309" s="10" t="s">
        <v>5</v>
      </c>
      <c r="H309" s="10" t="s">
        <v>58</v>
      </c>
      <c r="I309" s="11">
        <v>45304</v>
      </c>
      <c r="J309" s="10" t="s">
        <v>30</v>
      </c>
      <c r="K309" s="11">
        <v>45430</v>
      </c>
      <c r="L309" s="10" t="s">
        <v>59</v>
      </c>
      <c r="M309" s="12">
        <v>2850</v>
      </c>
      <c r="N309" s="12">
        <v>8940</v>
      </c>
      <c r="O309" s="10">
        <v>18</v>
      </c>
      <c r="P309" s="11">
        <v>45448</v>
      </c>
      <c r="Q309" s="10" t="s">
        <v>33</v>
      </c>
      <c r="R309" s="10" t="s">
        <v>33</v>
      </c>
      <c r="S309" s="10" t="s">
        <v>41</v>
      </c>
      <c r="T309" s="13">
        <v>0.31879999999999997</v>
      </c>
      <c r="U309" s="14">
        <v>126</v>
      </c>
      <c r="V309" s="14">
        <v>2024</v>
      </c>
      <c r="W309" s="10" t="s">
        <v>52</v>
      </c>
    </row>
    <row r="310" spans="1:23" s="9" customFormat="1" ht="15.75" hidden="1" customHeight="1" x14ac:dyDescent="0.25">
      <c r="A310" s="4" t="s">
        <v>988</v>
      </c>
      <c r="B310" s="4" t="s">
        <v>989</v>
      </c>
      <c r="C310" s="4" t="s">
        <v>990</v>
      </c>
      <c r="D310" s="22" t="s">
        <v>6090</v>
      </c>
      <c r="E310" s="4" t="s">
        <v>51</v>
      </c>
      <c r="F310" s="4" t="s">
        <v>56</v>
      </c>
      <c r="G310" s="4" t="s">
        <v>5</v>
      </c>
      <c r="H310" s="4" t="s">
        <v>29</v>
      </c>
      <c r="I310" s="5">
        <v>45363</v>
      </c>
      <c r="J310" s="4" t="s">
        <v>40</v>
      </c>
      <c r="K310" s="5">
        <v>45409</v>
      </c>
      <c r="L310" s="4" t="s">
        <v>59</v>
      </c>
      <c r="M310" s="6">
        <v>8869</v>
      </c>
      <c r="N310" s="6">
        <v>1344</v>
      </c>
      <c r="O310" s="4">
        <v>8</v>
      </c>
      <c r="P310" s="5">
        <v>45417</v>
      </c>
      <c r="Q310" s="4" t="s">
        <v>33</v>
      </c>
      <c r="R310" s="4" t="s">
        <v>33</v>
      </c>
      <c r="S310" s="4" t="s">
        <v>60</v>
      </c>
      <c r="T310" s="7">
        <v>6.5990000000000002</v>
      </c>
      <c r="U310" s="8">
        <v>46</v>
      </c>
      <c r="V310" s="8">
        <v>2024</v>
      </c>
      <c r="W310" s="4" t="s">
        <v>47</v>
      </c>
    </row>
    <row r="311" spans="1:23" s="9" customFormat="1" ht="15.75" hidden="1" customHeight="1" x14ac:dyDescent="0.25">
      <c r="A311" s="10" t="s">
        <v>991</v>
      </c>
      <c r="B311" s="10" t="s">
        <v>992</v>
      </c>
      <c r="C311" s="10" t="s">
        <v>993</v>
      </c>
      <c r="D311" s="22" t="s">
        <v>6087</v>
      </c>
      <c r="E311" s="10" t="s">
        <v>87</v>
      </c>
      <c r="F311" s="10" t="s">
        <v>65</v>
      </c>
      <c r="G311" s="10" t="s">
        <v>28</v>
      </c>
      <c r="H311" s="10" t="s">
        <v>39</v>
      </c>
      <c r="I311" s="11">
        <v>45203</v>
      </c>
      <c r="J311" s="10" t="s">
        <v>40</v>
      </c>
      <c r="K311" s="11">
        <v>45317</v>
      </c>
      <c r="L311" s="10" t="s">
        <v>59</v>
      </c>
      <c r="M311" s="12">
        <v>37914</v>
      </c>
      <c r="N311" s="12">
        <v>6352</v>
      </c>
      <c r="O311" s="10">
        <v>34</v>
      </c>
      <c r="P311" s="11">
        <v>45351</v>
      </c>
      <c r="Q311" s="10" t="s">
        <v>33</v>
      </c>
      <c r="R311" s="10" t="s">
        <v>33</v>
      </c>
      <c r="S311" s="10" t="s">
        <v>34</v>
      </c>
      <c r="T311" s="13">
        <v>5.9687999999999999</v>
      </c>
      <c r="U311" s="14">
        <v>114</v>
      </c>
      <c r="V311" s="14">
        <v>2024</v>
      </c>
      <c r="W311" s="10" t="s">
        <v>73</v>
      </c>
    </row>
    <row r="312" spans="1:23" s="9" customFormat="1" ht="15.75" hidden="1" customHeight="1" x14ac:dyDescent="0.25">
      <c r="A312" s="4" t="s">
        <v>994</v>
      </c>
      <c r="B312" s="4" t="s">
        <v>995</v>
      </c>
      <c r="C312" s="4" t="s">
        <v>996</v>
      </c>
      <c r="D312" s="22" t="s">
        <v>6090</v>
      </c>
      <c r="E312" s="4" t="s">
        <v>51</v>
      </c>
      <c r="F312" s="4" t="s">
        <v>46</v>
      </c>
      <c r="G312" s="4" t="s">
        <v>28</v>
      </c>
      <c r="H312" s="4" t="s">
        <v>58</v>
      </c>
      <c r="I312" s="5">
        <v>45128</v>
      </c>
      <c r="J312" s="4" t="s">
        <v>30</v>
      </c>
      <c r="K312" s="5">
        <v>45298</v>
      </c>
      <c r="L312" s="4" t="s">
        <v>59</v>
      </c>
      <c r="M312" s="6">
        <v>47501</v>
      </c>
      <c r="N312" s="6">
        <v>3017</v>
      </c>
      <c r="O312" s="4">
        <v>41</v>
      </c>
      <c r="P312" s="5">
        <v>45339</v>
      </c>
      <c r="Q312" s="4" t="s">
        <v>33</v>
      </c>
      <c r="R312" s="4" t="s">
        <v>33</v>
      </c>
      <c r="S312" s="4" t="s">
        <v>60</v>
      </c>
      <c r="T312" s="7">
        <v>15.744400000000001</v>
      </c>
      <c r="U312" s="8">
        <v>170</v>
      </c>
      <c r="V312" s="8">
        <v>2024</v>
      </c>
      <c r="W312" s="4" t="s">
        <v>73</v>
      </c>
    </row>
    <row r="313" spans="1:23" s="9" customFormat="1" ht="15.75" hidden="1" customHeight="1" x14ac:dyDescent="0.25">
      <c r="A313" s="10" t="s">
        <v>997</v>
      </c>
      <c r="B313" s="10" t="s">
        <v>998</v>
      </c>
      <c r="C313" s="10" t="s">
        <v>999</v>
      </c>
      <c r="D313" s="22" t="s">
        <v>6087</v>
      </c>
      <c r="E313" s="10" t="s">
        <v>26</v>
      </c>
      <c r="F313" s="10" t="s">
        <v>71</v>
      </c>
      <c r="G313" s="10" t="s">
        <v>57</v>
      </c>
      <c r="H313" s="10" t="s">
        <v>161</v>
      </c>
      <c r="I313" s="11">
        <v>45108</v>
      </c>
      <c r="J313" s="10" t="s">
        <v>30</v>
      </c>
      <c r="K313" s="11">
        <v>45346</v>
      </c>
      <c r="L313" s="10" t="s">
        <v>31</v>
      </c>
      <c r="M313" s="12">
        <v>28309</v>
      </c>
      <c r="N313" s="12">
        <v>3856</v>
      </c>
      <c r="O313" s="10" t="s">
        <v>32</v>
      </c>
      <c r="P313" s="10" t="s">
        <v>32</v>
      </c>
      <c r="Q313" s="10" t="s">
        <v>33</v>
      </c>
      <c r="R313" s="10" t="s">
        <v>33</v>
      </c>
      <c r="S313" s="10" t="s">
        <v>34</v>
      </c>
      <c r="T313" s="13">
        <v>7.3414999999999999</v>
      </c>
      <c r="U313" s="14">
        <v>238</v>
      </c>
      <c r="V313" s="14">
        <v>2024</v>
      </c>
      <c r="W313" s="10" t="s">
        <v>35</v>
      </c>
    </row>
    <row r="314" spans="1:23" s="9" customFormat="1" ht="15.75" hidden="1" customHeight="1" x14ac:dyDescent="0.25">
      <c r="A314" s="4" t="s">
        <v>1000</v>
      </c>
      <c r="B314" s="4" t="s">
        <v>1001</v>
      </c>
      <c r="C314" s="4" t="s">
        <v>1002</v>
      </c>
      <c r="D314" s="22" t="s">
        <v>6090</v>
      </c>
      <c r="E314" s="4" t="s">
        <v>51</v>
      </c>
      <c r="F314" s="21" t="s">
        <v>6092</v>
      </c>
      <c r="G314" s="4" t="s">
        <v>57</v>
      </c>
      <c r="H314" s="4" t="s">
        <v>93</v>
      </c>
      <c r="I314" s="5">
        <v>45228</v>
      </c>
      <c r="J314" s="4" t="s">
        <v>30</v>
      </c>
      <c r="K314" s="5">
        <v>45484</v>
      </c>
      <c r="L314" s="4" t="s">
        <v>59</v>
      </c>
      <c r="M314" s="6">
        <v>20248</v>
      </c>
      <c r="N314" s="6">
        <v>1948</v>
      </c>
      <c r="O314" s="4">
        <v>36</v>
      </c>
      <c r="P314" s="5">
        <v>45520</v>
      </c>
      <c r="Q314" s="4" t="s">
        <v>33</v>
      </c>
      <c r="R314" s="4" t="s">
        <v>33</v>
      </c>
      <c r="S314" s="4" t="s">
        <v>34</v>
      </c>
      <c r="T314" s="7">
        <v>10.394299999999999</v>
      </c>
      <c r="U314" s="8">
        <v>256</v>
      </c>
      <c r="V314" s="8">
        <v>2024</v>
      </c>
      <c r="W314" s="4" t="s">
        <v>42</v>
      </c>
    </row>
    <row r="315" spans="1:23" s="9" customFormat="1" ht="15.75" hidden="1" customHeight="1" x14ac:dyDescent="0.25">
      <c r="A315" s="10" t="s">
        <v>1003</v>
      </c>
      <c r="B315" s="10" t="s">
        <v>1004</v>
      </c>
      <c r="C315" s="10" t="s">
        <v>1005</v>
      </c>
      <c r="D315" s="22" t="s">
        <v>6090</v>
      </c>
      <c r="E315" s="10" t="s">
        <v>51</v>
      </c>
      <c r="F315" s="10" t="s">
        <v>46</v>
      </c>
      <c r="G315" s="10" t="s">
        <v>5</v>
      </c>
      <c r="H315" s="10" t="s">
        <v>72</v>
      </c>
      <c r="I315" s="11">
        <v>45372</v>
      </c>
      <c r="J315" s="10" t="s">
        <v>30</v>
      </c>
      <c r="K315" s="11">
        <v>45411</v>
      </c>
      <c r="L315" s="10" t="s">
        <v>59</v>
      </c>
      <c r="M315" s="12">
        <v>8496</v>
      </c>
      <c r="N315" s="12">
        <v>4328</v>
      </c>
      <c r="O315" s="10">
        <v>32</v>
      </c>
      <c r="P315" s="11">
        <v>45443</v>
      </c>
      <c r="Q315" s="10" t="s">
        <v>33</v>
      </c>
      <c r="R315" s="10" t="s">
        <v>33</v>
      </c>
      <c r="S315" s="10" t="s">
        <v>34</v>
      </c>
      <c r="T315" s="13">
        <v>1.9630000000000001</v>
      </c>
      <c r="U315" s="14">
        <v>39</v>
      </c>
      <c r="V315" s="14">
        <v>2024</v>
      </c>
      <c r="W315" s="10" t="s">
        <v>47</v>
      </c>
    </row>
    <row r="316" spans="1:23" s="9" customFormat="1" ht="15.75" hidden="1" customHeight="1" x14ac:dyDescent="0.25">
      <c r="A316" s="4" t="s">
        <v>1006</v>
      </c>
      <c r="B316" s="4" t="s">
        <v>1007</v>
      </c>
      <c r="C316" s="4" t="s">
        <v>1008</v>
      </c>
      <c r="D316" s="21" t="s">
        <v>6088</v>
      </c>
      <c r="E316" s="4" t="s">
        <v>51</v>
      </c>
      <c r="F316" s="4" t="s">
        <v>56</v>
      </c>
      <c r="G316" s="4" t="s">
        <v>57</v>
      </c>
      <c r="H316" s="4" t="s">
        <v>88</v>
      </c>
      <c r="I316" s="5">
        <v>45318</v>
      </c>
      <c r="J316" s="4" t="s">
        <v>30</v>
      </c>
      <c r="K316" s="5">
        <v>45373</v>
      </c>
      <c r="L316" s="4" t="s">
        <v>59</v>
      </c>
      <c r="M316" s="6">
        <v>32601</v>
      </c>
      <c r="N316" s="6">
        <v>2286</v>
      </c>
      <c r="O316" s="4">
        <v>9</v>
      </c>
      <c r="P316" s="5">
        <v>45382</v>
      </c>
      <c r="Q316" s="4" t="s">
        <v>33</v>
      </c>
      <c r="R316" s="4" t="s">
        <v>33</v>
      </c>
      <c r="S316" s="4" t="s">
        <v>41</v>
      </c>
      <c r="T316" s="7">
        <v>14.261200000000001</v>
      </c>
      <c r="U316" s="8">
        <v>55</v>
      </c>
      <c r="V316" s="8">
        <v>2024</v>
      </c>
      <c r="W316" s="4" t="s">
        <v>77</v>
      </c>
    </row>
    <row r="317" spans="1:23" s="9" customFormat="1" ht="15.75" hidden="1" customHeight="1" x14ac:dyDescent="0.25">
      <c r="A317" s="10" t="s">
        <v>1009</v>
      </c>
      <c r="B317" s="10" t="s">
        <v>1010</v>
      </c>
      <c r="C317" s="10" t="s">
        <v>1011</v>
      </c>
      <c r="D317" s="22" t="s">
        <v>6087</v>
      </c>
      <c r="E317" s="10" t="s">
        <v>87</v>
      </c>
      <c r="F317" s="10" t="s">
        <v>27</v>
      </c>
      <c r="G317" s="10" t="s">
        <v>5</v>
      </c>
      <c r="H317" s="10" t="s">
        <v>88</v>
      </c>
      <c r="I317" s="11">
        <v>45438</v>
      </c>
      <c r="J317" s="10" t="s">
        <v>40</v>
      </c>
      <c r="K317" s="11">
        <v>45491</v>
      </c>
      <c r="L317" s="10" t="s">
        <v>59</v>
      </c>
      <c r="M317" s="12">
        <v>33156</v>
      </c>
      <c r="N317" s="12">
        <v>5140</v>
      </c>
      <c r="O317" s="10">
        <v>2</v>
      </c>
      <c r="P317" s="11">
        <v>45493</v>
      </c>
      <c r="Q317" s="10" t="s">
        <v>33</v>
      </c>
      <c r="R317" s="10" t="s">
        <v>33</v>
      </c>
      <c r="S317" s="10" t="s">
        <v>34</v>
      </c>
      <c r="T317" s="13">
        <v>6.4505999999999997</v>
      </c>
      <c r="U317" s="14">
        <v>53</v>
      </c>
      <c r="V317" s="14">
        <v>2024</v>
      </c>
      <c r="W317" s="10" t="s">
        <v>42</v>
      </c>
    </row>
    <row r="318" spans="1:23" s="9" customFormat="1" ht="15.75" hidden="1" customHeight="1" x14ac:dyDescent="0.25">
      <c r="A318" s="4" t="s">
        <v>1012</v>
      </c>
      <c r="B318" s="4" t="s">
        <v>1013</v>
      </c>
      <c r="C318" s="4" t="s">
        <v>1014</v>
      </c>
      <c r="D318" s="22" t="s">
        <v>6090</v>
      </c>
      <c r="E318" s="4" t="s">
        <v>87</v>
      </c>
      <c r="F318" s="21" t="s">
        <v>6092</v>
      </c>
      <c r="G318" s="4" t="s">
        <v>57</v>
      </c>
      <c r="H318" s="4" t="s">
        <v>39</v>
      </c>
      <c r="I318" s="5">
        <v>45280</v>
      </c>
      <c r="J318" s="4" t="s">
        <v>40</v>
      </c>
      <c r="K318" s="5">
        <v>45558</v>
      </c>
      <c r="L318" s="4" t="s">
        <v>59</v>
      </c>
      <c r="M318" s="6">
        <v>47704</v>
      </c>
      <c r="N318" s="6">
        <v>762</v>
      </c>
      <c r="O318" s="4">
        <v>2</v>
      </c>
      <c r="P318" s="5">
        <v>45560</v>
      </c>
      <c r="Q318" s="4" t="s">
        <v>33</v>
      </c>
      <c r="R318" s="4" t="s">
        <v>33</v>
      </c>
      <c r="S318" s="4" t="s">
        <v>34</v>
      </c>
      <c r="T318" s="7">
        <v>62.603700000000003</v>
      </c>
      <c r="U318" s="8">
        <v>278</v>
      </c>
      <c r="V318" s="8">
        <v>2024</v>
      </c>
      <c r="W318" s="4" t="s">
        <v>168</v>
      </c>
    </row>
    <row r="319" spans="1:23" s="9" customFormat="1" ht="15.75" hidden="1" customHeight="1" x14ac:dyDescent="0.25">
      <c r="A319" s="10" t="s">
        <v>1015</v>
      </c>
      <c r="B319" s="10" t="s">
        <v>1016</v>
      </c>
      <c r="C319" s="10" t="s">
        <v>1017</v>
      </c>
      <c r="D319" s="21" t="s">
        <v>6088</v>
      </c>
      <c r="E319" s="10" t="s">
        <v>87</v>
      </c>
      <c r="F319" s="10" t="s">
        <v>56</v>
      </c>
      <c r="G319" s="10" t="s">
        <v>57</v>
      </c>
      <c r="H319" s="10" t="s">
        <v>29</v>
      </c>
      <c r="I319" s="11">
        <v>45312</v>
      </c>
      <c r="J319" s="10" t="s">
        <v>30</v>
      </c>
      <c r="K319" s="11">
        <v>45479</v>
      </c>
      <c r="L319" s="10" t="s">
        <v>31</v>
      </c>
      <c r="M319" s="12">
        <v>35722</v>
      </c>
      <c r="N319" s="12">
        <v>1214</v>
      </c>
      <c r="O319" s="10" t="s">
        <v>32</v>
      </c>
      <c r="P319" s="10" t="s">
        <v>32</v>
      </c>
      <c r="Q319" s="10" t="s">
        <v>33</v>
      </c>
      <c r="R319" s="10" t="s">
        <v>33</v>
      </c>
      <c r="S319" s="10" t="s">
        <v>60</v>
      </c>
      <c r="T319" s="13">
        <v>29.425000000000001</v>
      </c>
      <c r="U319" s="14">
        <v>167</v>
      </c>
      <c r="V319" s="14">
        <v>2024</v>
      </c>
      <c r="W319" s="10" t="s">
        <v>42</v>
      </c>
    </row>
    <row r="320" spans="1:23" s="9" customFormat="1" ht="15.75" hidden="1" customHeight="1" x14ac:dyDescent="0.25">
      <c r="A320" s="4" t="s">
        <v>1018</v>
      </c>
      <c r="B320" s="4" t="s">
        <v>1019</v>
      </c>
      <c r="C320" s="4" t="s">
        <v>1020</v>
      </c>
      <c r="D320" s="22" t="s">
        <v>6090</v>
      </c>
      <c r="E320" s="4" t="s">
        <v>26</v>
      </c>
      <c r="F320" s="4" t="s">
        <v>65</v>
      </c>
      <c r="G320" s="4" t="s">
        <v>28</v>
      </c>
      <c r="H320" s="4" t="s">
        <v>161</v>
      </c>
      <c r="I320" s="5">
        <v>45195</v>
      </c>
      <c r="J320" s="4" t="s">
        <v>40</v>
      </c>
      <c r="K320" s="5">
        <v>45430</v>
      </c>
      <c r="L320" s="4" t="s">
        <v>59</v>
      </c>
      <c r="M320" s="6">
        <v>56908</v>
      </c>
      <c r="N320" s="6">
        <v>3426</v>
      </c>
      <c r="O320" s="4">
        <v>21</v>
      </c>
      <c r="P320" s="5">
        <v>45451</v>
      </c>
      <c r="Q320" s="4" t="s">
        <v>33</v>
      </c>
      <c r="R320" s="4" t="s">
        <v>33</v>
      </c>
      <c r="S320" s="4" t="s">
        <v>60</v>
      </c>
      <c r="T320" s="7">
        <v>16.610600000000002</v>
      </c>
      <c r="U320" s="8">
        <v>235</v>
      </c>
      <c r="V320" s="8">
        <v>2024</v>
      </c>
      <c r="W320" s="4" t="s">
        <v>52</v>
      </c>
    </row>
    <row r="321" spans="1:23" s="9" customFormat="1" ht="15.75" hidden="1" customHeight="1" x14ac:dyDescent="0.25">
      <c r="A321" s="10" t="s">
        <v>1021</v>
      </c>
      <c r="B321" s="10" t="s">
        <v>1022</v>
      </c>
      <c r="C321" s="10" t="s">
        <v>1023</v>
      </c>
      <c r="D321" s="21" t="s">
        <v>6089</v>
      </c>
      <c r="E321" s="10" t="s">
        <v>26</v>
      </c>
      <c r="F321" s="21" t="s">
        <v>6092</v>
      </c>
      <c r="G321" s="10" t="s">
        <v>5</v>
      </c>
      <c r="H321" s="10" t="s">
        <v>29</v>
      </c>
      <c r="I321" s="11">
        <v>45055</v>
      </c>
      <c r="J321" s="10" t="s">
        <v>30</v>
      </c>
      <c r="K321" s="11">
        <v>45411</v>
      </c>
      <c r="L321" s="10" t="s">
        <v>59</v>
      </c>
      <c r="M321" s="12">
        <v>54801</v>
      </c>
      <c r="N321" s="12">
        <v>5368</v>
      </c>
      <c r="O321" s="10">
        <v>4</v>
      </c>
      <c r="P321" s="11">
        <v>45415</v>
      </c>
      <c r="Q321" s="10" t="s">
        <v>33</v>
      </c>
      <c r="R321" s="10" t="s">
        <v>33</v>
      </c>
      <c r="S321" s="10" t="s">
        <v>41</v>
      </c>
      <c r="T321" s="13">
        <v>10.2088</v>
      </c>
      <c r="U321" s="14">
        <v>356</v>
      </c>
      <c r="V321" s="14">
        <v>2024</v>
      </c>
      <c r="W321" s="10" t="s">
        <v>47</v>
      </c>
    </row>
    <row r="322" spans="1:23" s="9" customFormat="1" ht="15.75" hidden="1" customHeight="1" x14ac:dyDescent="0.25">
      <c r="A322" s="4" t="s">
        <v>1024</v>
      </c>
      <c r="B322" s="4" t="s">
        <v>1025</v>
      </c>
      <c r="C322" s="4" t="s">
        <v>1026</v>
      </c>
      <c r="D322" s="21" t="s">
        <v>6091</v>
      </c>
      <c r="E322" s="4" t="s">
        <v>26</v>
      </c>
      <c r="F322" s="4" t="s">
        <v>27</v>
      </c>
      <c r="G322" s="4" t="s">
        <v>57</v>
      </c>
      <c r="H322" s="4" t="s">
        <v>93</v>
      </c>
      <c r="I322" s="5">
        <v>45253</v>
      </c>
      <c r="J322" s="4" t="s">
        <v>30</v>
      </c>
      <c r="K322" s="5">
        <v>45563</v>
      </c>
      <c r="L322" s="4" t="s">
        <v>66</v>
      </c>
      <c r="M322" s="6">
        <v>12766</v>
      </c>
      <c r="N322" s="6">
        <v>2418</v>
      </c>
      <c r="O322" s="4" t="s">
        <v>32</v>
      </c>
      <c r="P322" s="4" t="s">
        <v>32</v>
      </c>
      <c r="Q322" s="4" t="s">
        <v>33</v>
      </c>
      <c r="R322" s="4" t="s">
        <v>33</v>
      </c>
      <c r="S322" s="4" t="s">
        <v>60</v>
      </c>
      <c r="T322" s="7">
        <v>5.2796000000000003</v>
      </c>
      <c r="U322" s="8">
        <v>310</v>
      </c>
      <c r="V322" s="8">
        <v>2024</v>
      </c>
      <c r="W322" s="4" t="s">
        <v>168</v>
      </c>
    </row>
    <row r="323" spans="1:23" s="9" customFormat="1" ht="15.75" hidden="1" customHeight="1" x14ac:dyDescent="0.25">
      <c r="A323" s="10" t="s">
        <v>1027</v>
      </c>
      <c r="B323" s="10" t="s">
        <v>1028</v>
      </c>
      <c r="C323" s="10" t="s">
        <v>1029</v>
      </c>
      <c r="D323" s="22" t="s">
        <v>6087</v>
      </c>
      <c r="E323" s="10" t="s">
        <v>51</v>
      </c>
      <c r="F323" s="10" t="s">
        <v>71</v>
      </c>
      <c r="G323" s="10" t="s">
        <v>5</v>
      </c>
      <c r="H323" s="10" t="s">
        <v>39</v>
      </c>
      <c r="I323" s="11">
        <v>45415</v>
      </c>
      <c r="J323" s="10" t="s">
        <v>40</v>
      </c>
      <c r="K323" s="11">
        <v>45653</v>
      </c>
      <c r="L323" s="10" t="s">
        <v>66</v>
      </c>
      <c r="M323" s="12">
        <v>16843</v>
      </c>
      <c r="N323" s="12">
        <v>5874</v>
      </c>
      <c r="O323" s="10" t="s">
        <v>32</v>
      </c>
      <c r="P323" s="10" t="s">
        <v>32</v>
      </c>
      <c r="Q323" s="10" t="s">
        <v>94</v>
      </c>
      <c r="R323" s="10" t="s">
        <v>94</v>
      </c>
      <c r="S323" s="10" t="s">
        <v>60</v>
      </c>
      <c r="T323" s="13">
        <v>2.8673999999999999</v>
      </c>
      <c r="U323" s="14">
        <v>238</v>
      </c>
      <c r="V323" s="14">
        <v>2024</v>
      </c>
      <c r="W323" s="10" t="s">
        <v>89</v>
      </c>
    </row>
    <row r="324" spans="1:23" s="9" customFormat="1" ht="15.75" hidden="1" customHeight="1" x14ac:dyDescent="0.25">
      <c r="A324" s="4" t="s">
        <v>1030</v>
      </c>
      <c r="B324" s="4" t="s">
        <v>1031</v>
      </c>
      <c r="C324" s="4" t="s">
        <v>1032</v>
      </c>
      <c r="D324" s="21" t="s">
        <v>6089</v>
      </c>
      <c r="E324" s="4" t="s">
        <v>26</v>
      </c>
      <c r="F324" s="21" t="s">
        <v>6092</v>
      </c>
      <c r="G324" s="4" t="s">
        <v>28</v>
      </c>
      <c r="H324" s="4" t="s">
        <v>161</v>
      </c>
      <c r="I324" s="5">
        <v>45236</v>
      </c>
      <c r="J324" s="4" t="s">
        <v>40</v>
      </c>
      <c r="K324" s="5">
        <v>45520</v>
      </c>
      <c r="L324" s="4" t="s">
        <v>59</v>
      </c>
      <c r="M324" s="6">
        <v>16668</v>
      </c>
      <c r="N324" s="6">
        <v>8082</v>
      </c>
      <c r="O324" s="4">
        <v>45</v>
      </c>
      <c r="P324" s="5">
        <v>45565</v>
      </c>
      <c r="Q324" s="4" t="s">
        <v>94</v>
      </c>
      <c r="R324" s="4" t="s">
        <v>33</v>
      </c>
      <c r="S324" s="4" t="s">
        <v>34</v>
      </c>
      <c r="T324" s="7">
        <v>2.0623999999999998</v>
      </c>
      <c r="U324" s="8">
        <v>284</v>
      </c>
      <c r="V324" s="8">
        <v>2024</v>
      </c>
      <c r="W324" s="4" t="s">
        <v>114</v>
      </c>
    </row>
    <row r="325" spans="1:23" s="9" customFormat="1" ht="15.75" hidden="1" customHeight="1" x14ac:dyDescent="0.25">
      <c r="A325" s="10" t="s">
        <v>1033</v>
      </c>
      <c r="B325" s="10" t="s">
        <v>1034</v>
      </c>
      <c r="C325" s="10" t="s">
        <v>1035</v>
      </c>
      <c r="D325" s="21" t="s">
        <v>6091</v>
      </c>
      <c r="E325" s="10" t="s">
        <v>26</v>
      </c>
      <c r="F325" s="10" t="s">
        <v>71</v>
      </c>
      <c r="G325" s="10" t="s">
        <v>5</v>
      </c>
      <c r="H325" s="10" t="s">
        <v>58</v>
      </c>
      <c r="I325" s="11">
        <v>45212</v>
      </c>
      <c r="J325" s="10" t="s">
        <v>40</v>
      </c>
      <c r="K325" s="11">
        <v>45336</v>
      </c>
      <c r="L325" s="10" t="s">
        <v>59</v>
      </c>
      <c r="M325" s="12">
        <v>5340</v>
      </c>
      <c r="N325" s="12">
        <v>4332</v>
      </c>
      <c r="O325" s="10">
        <v>18</v>
      </c>
      <c r="P325" s="11">
        <v>45354</v>
      </c>
      <c r="Q325" s="10" t="s">
        <v>33</v>
      </c>
      <c r="R325" s="10" t="s">
        <v>33</v>
      </c>
      <c r="S325" s="10" t="s">
        <v>60</v>
      </c>
      <c r="T325" s="13">
        <v>1.2326999999999999</v>
      </c>
      <c r="U325" s="14">
        <v>124</v>
      </c>
      <c r="V325" s="14">
        <v>2024</v>
      </c>
      <c r="W325" s="10" t="s">
        <v>35</v>
      </c>
    </row>
    <row r="326" spans="1:23" s="9" customFormat="1" ht="15.75" hidden="1" customHeight="1" x14ac:dyDescent="0.25">
      <c r="A326" s="4" t="s">
        <v>1036</v>
      </c>
      <c r="B326" s="4" t="s">
        <v>1037</v>
      </c>
      <c r="C326" s="4" t="s">
        <v>1038</v>
      </c>
      <c r="D326" s="21" t="s">
        <v>6091</v>
      </c>
      <c r="E326" s="4" t="s">
        <v>87</v>
      </c>
      <c r="F326" s="21" t="s">
        <v>6092</v>
      </c>
      <c r="G326" s="4" t="s">
        <v>57</v>
      </c>
      <c r="H326" s="4" t="s">
        <v>58</v>
      </c>
      <c r="I326" s="5">
        <v>45213</v>
      </c>
      <c r="J326" s="4" t="s">
        <v>30</v>
      </c>
      <c r="K326" s="5">
        <v>45576</v>
      </c>
      <c r="L326" s="4" t="s">
        <v>66</v>
      </c>
      <c r="M326" s="6">
        <v>7081</v>
      </c>
      <c r="N326" s="6">
        <v>6125</v>
      </c>
      <c r="O326" s="4" t="s">
        <v>32</v>
      </c>
      <c r="P326" s="4" t="s">
        <v>32</v>
      </c>
      <c r="Q326" s="4" t="s">
        <v>33</v>
      </c>
      <c r="R326" s="4" t="s">
        <v>33</v>
      </c>
      <c r="S326" s="4" t="s">
        <v>41</v>
      </c>
      <c r="T326" s="7">
        <v>1.1560999999999999</v>
      </c>
      <c r="U326" s="8">
        <v>363</v>
      </c>
      <c r="V326" s="8">
        <v>2024</v>
      </c>
      <c r="W326" s="4" t="s">
        <v>95</v>
      </c>
    </row>
    <row r="327" spans="1:23" s="9" customFormat="1" ht="15.75" hidden="1" customHeight="1" x14ac:dyDescent="0.25">
      <c r="A327" s="10" t="s">
        <v>1039</v>
      </c>
      <c r="B327" s="10" t="s">
        <v>1040</v>
      </c>
      <c r="C327" s="10" t="s">
        <v>1041</v>
      </c>
      <c r="D327" s="22" t="s">
        <v>6090</v>
      </c>
      <c r="E327" s="10" t="s">
        <v>87</v>
      </c>
      <c r="F327" s="10" t="s">
        <v>27</v>
      </c>
      <c r="G327" s="10" t="s">
        <v>57</v>
      </c>
      <c r="H327" s="10" t="s">
        <v>118</v>
      </c>
      <c r="I327" s="11">
        <v>45307</v>
      </c>
      <c r="J327" s="10" t="s">
        <v>40</v>
      </c>
      <c r="K327" s="11">
        <v>45633</v>
      </c>
      <c r="L327" s="10" t="s">
        <v>59</v>
      </c>
      <c r="M327" s="12">
        <v>53041</v>
      </c>
      <c r="N327" s="12">
        <v>4016</v>
      </c>
      <c r="O327" s="10">
        <v>31</v>
      </c>
      <c r="P327" s="11">
        <v>45664</v>
      </c>
      <c r="Q327" s="10" t="s">
        <v>33</v>
      </c>
      <c r="R327" s="10" t="s">
        <v>33</v>
      </c>
      <c r="S327" s="10" t="s">
        <v>41</v>
      </c>
      <c r="T327" s="13">
        <v>13.2074</v>
      </c>
      <c r="U327" s="14">
        <v>326</v>
      </c>
      <c r="V327" s="14">
        <v>2024</v>
      </c>
      <c r="W327" s="10" t="s">
        <v>89</v>
      </c>
    </row>
    <row r="328" spans="1:23" s="9" customFormat="1" ht="15.75" hidden="1" customHeight="1" x14ac:dyDescent="0.25">
      <c r="A328" s="4" t="s">
        <v>1042</v>
      </c>
      <c r="B328" s="4" t="s">
        <v>1043</v>
      </c>
      <c r="C328" s="4" t="s">
        <v>1044</v>
      </c>
      <c r="D328" s="22" t="s">
        <v>6087</v>
      </c>
      <c r="E328" s="4" t="s">
        <v>87</v>
      </c>
      <c r="F328" s="4" t="s">
        <v>27</v>
      </c>
      <c r="G328" s="4" t="s">
        <v>57</v>
      </c>
      <c r="H328" s="4" t="s">
        <v>118</v>
      </c>
      <c r="I328" s="5">
        <v>45113</v>
      </c>
      <c r="J328" s="4" t="s">
        <v>30</v>
      </c>
      <c r="K328" s="5">
        <v>45419</v>
      </c>
      <c r="L328" s="4" t="s">
        <v>31</v>
      </c>
      <c r="M328" s="6">
        <v>8860</v>
      </c>
      <c r="N328" s="6">
        <v>1429</v>
      </c>
      <c r="O328" s="4" t="s">
        <v>32</v>
      </c>
      <c r="P328" s="4" t="s">
        <v>32</v>
      </c>
      <c r="Q328" s="4" t="s">
        <v>33</v>
      </c>
      <c r="R328" s="4" t="s">
        <v>33</v>
      </c>
      <c r="S328" s="4" t="s">
        <v>60</v>
      </c>
      <c r="T328" s="7">
        <v>6.2000999999999999</v>
      </c>
      <c r="U328" s="8">
        <v>306</v>
      </c>
      <c r="V328" s="8">
        <v>2024</v>
      </c>
      <c r="W328" s="4" t="s">
        <v>52</v>
      </c>
    </row>
    <row r="329" spans="1:23" s="9" customFormat="1" ht="15.75" hidden="1" customHeight="1" x14ac:dyDescent="0.25">
      <c r="A329" s="10" t="s">
        <v>1045</v>
      </c>
      <c r="B329" s="10" t="s">
        <v>1046</v>
      </c>
      <c r="C329" s="10" t="s">
        <v>1047</v>
      </c>
      <c r="D329" s="22" t="s">
        <v>6090</v>
      </c>
      <c r="E329" s="10" t="s">
        <v>87</v>
      </c>
      <c r="F329" s="10" t="s">
        <v>46</v>
      </c>
      <c r="G329" s="10" t="s">
        <v>5</v>
      </c>
      <c r="H329" s="10" t="s">
        <v>88</v>
      </c>
      <c r="I329" s="11">
        <v>45070</v>
      </c>
      <c r="J329" s="10" t="s">
        <v>30</v>
      </c>
      <c r="K329" s="11">
        <v>45339</v>
      </c>
      <c r="L329" s="10" t="s">
        <v>59</v>
      </c>
      <c r="M329" s="12">
        <v>58173</v>
      </c>
      <c r="N329" s="12">
        <v>6234</v>
      </c>
      <c r="O329" s="10">
        <v>13</v>
      </c>
      <c r="P329" s="11">
        <v>45352</v>
      </c>
      <c r="Q329" s="10" t="s">
        <v>33</v>
      </c>
      <c r="R329" s="10" t="s">
        <v>33</v>
      </c>
      <c r="S329" s="10" t="s">
        <v>34</v>
      </c>
      <c r="T329" s="13">
        <v>9.3315999999999999</v>
      </c>
      <c r="U329" s="14">
        <v>269</v>
      </c>
      <c r="V329" s="14">
        <v>2024</v>
      </c>
      <c r="W329" s="10" t="s">
        <v>35</v>
      </c>
    </row>
    <row r="330" spans="1:23" s="9" customFormat="1" ht="15.75" hidden="1" customHeight="1" x14ac:dyDescent="0.25">
      <c r="A330" s="4" t="s">
        <v>1048</v>
      </c>
      <c r="B330" s="4" t="s">
        <v>1049</v>
      </c>
      <c r="C330" s="4" t="s">
        <v>1050</v>
      </c>
      <c r="D330" s="21" t="s">
        <v>6086</v>
      </c>
      <c r="E330" s="4" t="s">
        <v>51</v>
      </c>
      <c r="F330" s="4" t="s">
        <v>46</v>
      </c>
      <c r="G330" s="4" t="s">
        <v>28</v>
      </c>
      <c r="H330" s="4" t="s">
        <v>58</v>
      </c>
      <c r="I330" s="5">
        <v>45380</v>
      </c>
      <c r="J330" s="4" t="s">
        <v>40</v>
      </c>
      <c r="K330" s="5">
        <v>45532</v>
      </c>
      <c r="L330" s="4" t="s">
        <v>59</v>
      </c>
      <c r="M330" s="6">
        <v>28165</v>
      </c>
      <c r="N330" s="6">
        <v>6658</v>
      </c>
      <c r="O330" s="4">
        <v>19</v>
      </c>
      <c r="P330" s="5">
        <v>45551</v>
      </c>
      <c r="Q330" s="4" t="s">
        <v>33</v>
      </c>
      <c r="R330" s="4" t="s">
        <v>33</v>
      </c>
      <c r="S330" s="4" t="s">
        <v>60</v>
      </c>
      <c r="T330" s="7">
        <v>4.2302</v>
      </c>
      <c r="U330" s="8">
        <v>152</v>
      </c>
      <c r="V330" s="8">
        <v>2024</v>
      </c>
      <c r="W330" s="4" t="s">
        <v>114</v>
      </c>
    </row>
    <row r="331" spans="1:23" s="9" customFormat="1" ht="15.75" hidden="1" customHeight="1" x14ac:dyDescent="0.25">
      <c r="A331" s="10" t="s">
        <v>1051</v>
      </c>
      <c r="B331" s="10" t="s">
        <v>1052</v>
      </c>
      <c r="C331" s="10" t="s">
        <v>1053</v>
      </c>
      <c r="D331" s="22" t="s">
        <v>6090</v>
      </c>
      <c r="E331" s="10" t="s">
        <v>26</v>
      </c>
      <c r="F331" s="10" t="s">
        <v>65</v>
      </c>
      <c r="G331" s="10" t="s">
        <v>57</v>
      </c>
      <c r="H331" s="10" t="s">
        <v>72</v>
      </c>
      <c r="I331" s="11">
        <v>45132</v>
      </c>
      <c r="J331" s="10" t="s">
        <v>40</v>
      </c>
      <c r="K331" s="11">
        <v>45351</v>
      </c>
      <c r="L331" s="10" t="s">
        <v>59</v>
      </c>
      <c r="M331" s="12">
        <v>3422</v>
      </c>
      <c r="N331" s="12">
        <v>4525</v>
      </c>
      <c r="O331" s="10">
        <v>39</v>
      </c>
      <c r="P331" s="11">
        <v>45390</v>
      </c>
      <c r="Q331" s="10" t="s">
        <v>33</v>
      </c>
      <c r="R331" s="10" t="s">
        <v>33</v>
      </c>
      <c r="S331" s="10" t="s">
        <v>60</v>
      </c>
      <c r="T331" s="13">
        <v>0.75619999999999998</v>
      </c>
      <c r="U331" s="14">
        <v>219</v>
      </c>
      <c r="V331" s="14">
        <v>2024</v>
      </c>
      <c r="W331" s="10" t="s">
        <v>35</v>
      </c>
    </row>
    <row r="332" spans="1:23" s="9" customFormat="1" ht="15.75" hidden="1" customHeight="1" x14ac:dyDescent="0.25">
      <c r="A332" s="4" t="s">
        <v>1054</v>
      </c>
      <c r="B332" s="4" t="s">
        <v>1055</v>
      </c>
      <c r="C332" s="4" t="s">
        <v>1056</v>
      </c>
      <c r="D332" s="22" t="s">
        <v>6087</v>
      </c>
      <c r="E332" s="4" t="s">
        <v>51</v>
      </c>
      <c r="F332" s="4" t="s">
        <v>65</v>
      </c>
      <c r="G332" s="4" t="s">
        <v>57</v>
      </c>
      <c r="H332" s="4" t="s">
        <v>88</v>
      </c>
      <c r="I332" s="5">
        <v>45403</v>
      </c>
      <c r="J332" s="4" t="s">
        <v>30</v>
      </c>
      <c r="K332" s="5">
        <v>45574</v>
      </c>
      <c r="L332" s="4" t="s">
        <v>59</v>
      </c>
      <c r="M332" s="6">
        <v>23049</v>
      </c>
      <c r="N332" s="6">
        <v>4921</v>
      </c>
      <c r="O332" s="4">
        <v>28</v>
      </c>
      <c r="P332" s="5">
        <v>45602</v>
      </c>
      <c r="Q332" s="4" t="s">
        <v>33</v>
      </c>
      <c r="R332" s="4" t="s">
        <v>33</v>
      </c>
      <c r="S332" s="4" t="s">
        <v>41</v>
      </c>
      <c r="T332" s="7">
        <v>4.6837999999999997</v>
      </c>
      <c r="U332" s="8">
        <v>171</v>
      </c>
      <c r="V332" s="8">
        <v>2024</v>
      </c>
      <c r="W332" s="4" t="s">
        <v>95</v>
      </c>
    </row>
    <row r="333" spans="1:23" s="9" customFormat="1" ht="15.75" hidden="1" customHeight="1" x14ac:dyDescent="0.25">
      <c r="A333" s="10" t="s">
        <v>1057</v>
      </c>
      <c r="B333" s="10" t="s">
        <v>1058</v>
      </c>
      <c r="C333" s="10" t="s">
        <v>1059</v>
      </c>
      <c r="D333" s="21" t="s">
        <v>6086</v>
      </c>
      <c r="E333" s="10" t="s">
        <v>87</v>
      </c>
      <c r="F333" s="10" t="s">
        <v>46</v>
      </c>
      <c r="G333" s="10" t="s">
        <v>28</v>
      </c>
      <c r="H333" s="10" t="s">
        <v>72</v>
      </c>
      <c r="I333" s="11">
        <v>45514</v>
      </c>
      <c r="J333" s="10" t="s">
        <v>30</v>
      </c>
      <c r="K333" s="11">
        <v>45611</v>
      </c>
      <c r="L333" s="10" t="s">
        <v>59</v>
      </c>
      <c r="M333" s="12">
        <v>39702</v>
      </c>
      <c r="N333" s="12">
        <v>5333</v>
      </c>
      <c r="O333" s="10">
        <v>27</v>
      </c>
      <c r="P333" s="11">
        <v>45638</v>
      </c>
      <c r="Q333" s="10" t="s">
        <v>33</v>
      </c>
      <c r="R333" s="10" t="s">
        <v>33</v>
      </c>
      <c r="S333" s="10" t="s">
        <v>34</v>
      </c>
      <c r="T333" s="13">
        <v>7.4446000000000003</v>
      </c>
      <c r="U333" s="14">
        <v>97</v>
      </c>
      <c r="V333" s="14">
        <v>2024</v>
      </c>
      <c r="W333" s="10" t="s">
        <v>61</v>
      </c>
    </row>
    <row r="334" spans="1:23" s="9" customFormat="1" ht="15.75" hidden="1" customHeight="1" x14ac:dyDescent="0.25">
      <c r="A334" s="4" t="s">
        <v>1060</v>
      </c>
      <c r="B334" s="4" t="s">
        <v>1061</v>
      </c>
      <c r="C334" s="4" t="s">
        <v>1062</v>
      </c>
      <c r="D334" s="21" t="s">
        <v>6089</v>
      </c>
      <c r="E334" s="4" t="s">
        <v>51</v>
      </c>
      <c r="F334" s="21" t="s">
        <v>6092</v>
      </c>
      <c r="G334" s="4" t="s">
        <v>5</v>
      </c>
      <c r="H334" s="4" t="s">
        <v>72</v>
      </c>
      <c r="I334" s="5">
        <v>45043</v>
      </c>
      <c r="J334" s="4" t="s">
        <v>30</v>
      </c>
      <c r="K334" s="5">
        <v>45344</v>
      </c>
      <c r="L334" s="4" t="s">
        <v>59</v>
      </c>
      <c r="M334" s="6">
        <v>55217</v>
      </c>
      <c r="N334" s="6">
        <v>2459</v>
      </c>
      <c r="O334" s="4">
        <v>10</v>
      </c>
      <c r="P334" s="5">
        <v>45354</v>
      </c>
      <c r="Q334" s="4" t="s">
        <v>33</v>
      </c>
      <c r="R334" s="4" t="s">
        <v>33</v>
      </c>
      <c r="S334" s="4" t="s">
        <v>34</v>
      </c>
      <c r="T334" s="7">
        <v>22.455100000000002</v>
      </c>
      <c r="U334" s="8">
        <v>301</v>
      </c>
      <c r="V334" s="8">
        <v>2024</v>
      </c>
      <c r="W334" s="4" t="s">
        <v>35</v>
      </c>
    </row>
    <row r="335" spans="1:23" s="9" customFormat="1" ht="15.75" hidden="1" customHeight="1" x14ac:dyDescent="0.25">
      <c r="A335" s="10" t="s">
        <v>1063</v>
      </c>
      <c r="B335" s="10" t="s">
        <v>1064</v>
      </c>
      <c r="C335" s="10" t="s">
        <v>1065</v>
      </c>
      <c r="D335" s="22" t="s">
        <v>6090</v>
      </c>
      <c r="E335" s="10" t="s">
        <v>87</v>
      </c>
      <c r="F335" s="10" t="s">
        <v>65</v>
      </c>
      <c r="G335" s="10" t="s">
        <v>5</v>
      </c>
      <c r="H335" s="10" t="s">
        <v>161</v>
      </c>
      <c r="I335" s="11">
        <v>45146</v>
      </c>
      <c r="J335" s="10" t="s">
        <v>40</v>
      </c>
      <c r="K335" s="11">
        <v>45494</v>
      </c>
      <c r="L335" s="10" t="s">
        <v>59</v>
      </c>
      <c r="M335" s="12">
        <v>21536</v>
      </c>
      <c r="N335" s="12">
        <v>655</v>
      </c>
      <c r="O335" s="10">
        <v>28</v>
      </c>
      <c r="P335" s="11">
        <v>45522</v>
      </c>
      <c r="Q335" s="10" t="s">
        <v>33</v>
      </c>
      <c r="R335" s="10" t="s">
        <v>33</v>
      </c>
      <c r="S335" s="10" t="s">
        <v>41</v>
      </c>
      <c r="T335" s="13">
        <v>32.879399999999997</v>
      </c>
      <c r="U335" s="14">
        <v>348</v>
      </c>
      <c r="V335" s="14">
        <v>2024</v>
      </c>
      <c r="W335" s="10" t="s">
        <v>42</v>
      </c>
    </row>
    <row r="336" spans="1:23" s="9" customFormat="1" ht="15.75" hidden="1" customHeight="1" x14ac:dyDescent="0.25">
      <c r="A336" s="4" t="s">
        <v>1066</v>
      </c>
      <c r="B336" s="4" t="s">
        <v>1067</v>
      </c>
      <c r="C336" s="4" t="s">
        <v>1068</v>
      </c>
      <c r="D336" s="21" t="s">
        <v>6086</v>
      </c>
      <c r="E336" s="4" t="s">
        <v>26</v>
      </c>
      <c r="F336" s="4" t="s">
        <v>46</v>
      </c>
      <c r="G336" s="4" t="s">
        <v>28</v>
      </c>
      <c r="H336" s="4" t="s">
        <v>72</v>
      </c>
      <c r="I336" s="5">
        <v>45160</v>
      </c>
      <c r="J336" s="4" t="s">
        <v>30</v>
      </c>
      <c r="K336" s="5">
        <v>45441</v>
      </c>
      <c r="L336" s="4" t="s">
        <v>59</v>
      </c>
      <c r="M336" s="6">
        <v>88089</v>
      </c>
      <c r="N336" s="6">
        <v>4919</v>
      </c>
      <c r="O336" s="4">
        <v>45</v>
      </c>
      <c r="P336" s="5">
        <v>45486</v>
      </c>
      <c r="Q336" s="4" t="s">
        <v>94</v>
      </c>
      <c r="R336" s="4" t="s">
        <v>33</v>
      </c>
      <c r="S336" s="4" t="s">
        <v>34</v>
      </c>
      <c r="T336" s="7">
        <v>17.907900000000001</v>
      </c>
      <c r="U336" s="8">
        <v>281</v>
      </c>
      <c r="V336" s="8">
        <v>2024</v>
      </c>
      <c r="W336" s="4" t="s">
        <v>52</v>
      </c>
    </row>
    <row r="337" spans="1:23" s="9" customFormat="1" ht="15.75" hidden="1" customHeight="1" x14ac:dyDescent="0.25">
      <c r="A337" s="10" t="s">
        <v>1069</v>
      </c>
      <c r="B337" s="10" t="s">
        <v>1070</v>
      </c>
      <c r="C337" s="10" t="s">
        <v>1071</v>
      </c>
      <c r="D337" s="22" t="s">
        <v>6090</v>
      </c>
      <c r="E337" s="10" t="s">
        <v>87</v>
      </c>
      <c r="F337" s="10" t="s">
        <v>56</v>
      </c>
      <c r="G337" s="10" t="s">
        <v>28</v>
      </c>
      <c r="H337" s="10" t="s">
        <v>88</v>
      </c>
      <c r="I337" s="11">
        <v>45256</v>
      </c>
      <c r="J337" s="10" t="s">
        <v>30</v>
      </c>
      <c r="K337" s="11">
        <v>45570</v>
      </c>
      <c r="L337" s="10" t="s">
        <v>59</v>
      </c>
      <c r="M337" s="12">
        <v>33744</v>
      </c>
      <c r="N337" s="12">
        <v>3938</v>
      </c>
      <c r="O337" s="10">
        <v>42</v>
      </c>
      <c r="P337" s="11">
        <v>45612</v>
      </c>
      <c r="Q337" s="10" t="s">
        <v>33</v>
      </c>
      <c r="R337" s="10" t="s">
        <v>33</v>
      </c>
      <c r="S337" s="10" t="s">
        <v>60</v>
      </c>
      <c r="T337" s="13">
        <v>8.5687999999999995</v>
      </c>
      <c r="U337" s="14">
        <v>314</v>
      </c>
      <c r="V337" s="14">
        <v>2024</v>
      </c>
      <c r="W337" s="10" t="s">
        <v>95</v>
      </c>
    </row>
    <row r="338" spans="1:23" s="9" customFormat="1" ht="15.75" hidden="1" customHeight="1" x14ac:dyDescent="0.25">
      <c r="A338" s="4" t="s">
        <v>1072</v>
      </c>
      <c r="B338" s="4" t="s">
        <v>1073</v>
      </c>
      <c r="C338" s="4" t="s">
        <v>1074</v>
      </c>
      <c r="D338" s="21" t="s">
        <v>6088</v>
      </c>
      <c r="E338" s="4" t="s">
        <v>87</v>
      </c>
      <c r="F338" s="4" t="s">
        <v>46</v>
      </c>
      <c r="G338" s="4" t="s">
        <v>57</v>
      </c>
      <c r="H338" s="4" t="s">
        <v>72</v>
      </c>
      <c r="I338" s="5">
        <v>45090</v>
      </c>
      <c r="J338" s="4" t="s">
        <v>40</v>
      </c>
      <c r="K338" s="5">
        <v>45354</v>
      </c>
      <c r="L338" s="4" t="s">
        <v>66</v>
      </c>
      <c r="M338" s="6">
        <v>27079</v>
      </c>
      <c r="N338" s="6">
        <v>818</v>
      </c>
      <c r="O338" s="4" t="s">
        <v>32</v>
      </c>
      <c r="P338" s="4" t="s">
        <v>32</v>
      </c>
      <c r="Q338" s="4" t="s">
        <v>33</v>
      </c>
      <c r="R338" s="4" t="s">
        <v>33</v>
      </c>
      <c r="S338" s="4" t="s">
        <v>41</v>
      </c>
      <c r="T338" s="7">
        <v>33.103900000000003</v>
      </c>
      <c r="U338" s="8">
        <v>264</v>
      </c>
      <c r="V338" s="8">
        <v>2024</v>
      </c>
      <c r="W338" s="4" t="s">
        <v>77</v>
      </c>
    </row>
    <row r="339" spans="1:23" s="9" customFormat="1" ht="15.75" hidden="1" customHeight="1" x14ac:dyDescent="0.25">
      <c r="A339" s="10" t="s">
        <v>1075</v>
      </c>
      <c r="B339" s="10" t="s">
        <v>1076</v>
      </c>
      <c r="C339" s="10" t="s">
        <v>1077</v>
      </c>
      <c r="D339" s="22" t="s">
        <v>6087</v>
      </c>
      <c r="E339" s="10" t="s">
        <v>87</v>
      </c>
      <c r="F339" s="10" t="s">
        <v>65</v>
      </c>
      <c r="G339" s="10" t="s">
        <v>5</v>
      </c>
      <c r="H339" s="10" t="s">
        <v>93</v>
      </c>
      <c r="I339" s="11">
        <v>45193</v>
      </c>
      <c r="J339" s="10" t="s">
        <v>40</v>
      </c>
      <c r="K339" s="11">
        <v>45543</v>
      </c>
      <c r="L339" s="10" t="s">
        <v>59</v>
      </c>
      <c r="M339" s="12">
        <v>15085</v>
      </c>
      <c r="N339" s="12">
        <v>3060</v>
      </c>
      <c r="O339" s="10">
        <v>25</v>
      </c>
      <c r="P339" s="11">
        <v>45568</v>
      </c>
      <c r="Q339" s="10" t="s">
        <v>33</v>
      </c>
      <c r="R339" s="10" t="s">
        <v>33</v>
      </c>
      <c r="S339" s="10" t="s">
        <v>41</v>
      </c>
      <c r="T339" s="13">
        <v>4.9297000000000004</v>
      </c>
      <c r="U339" s="14">
        <v>350</v>
      </c>
      <c r="V339" s="14">
        <v>2024</v>
      </c>
      <c r="W339" s="10" t="s">
        <v>168</v>
      </c>
    </row>
    <row r="340" spans="1:23" s="9" customFormat="1" ht="27.75" customHeight="1" x14ac:dyDescent="0.25">
      <c r="A340" s="4" t="s">
        <v>1078</v>
      </c>
      <c r="B340" s="4" t="s">
        <v>1079</v>
      </c>
      <c r="C340" s="4" t="s">
        <v>1080</v>
      </c>
      <c r="D340" s="22" t="s">
        <v>6087</v>
      </c>
      <c r="E340" s="4" t="s">
        <v>87</v>
      </c>
      <c r="F340" s="10" t="s">
        <v>6092</v>
      </c>
      <c r="G340" s="4" t="s">
        <v>28</v>
      </c>
      <c r="H340" s="4" t="s">
        <v>72</v>
      </c>
      <c r="I340" s="5">
        <v>45069</v>
      </c>
      <c r="J340" s="4" t="s">
        <v>30</v>
      </c>
      <c r="K340" s="5">
        <v>45365</v>
      </c>
      <c r="L340" s="4" t="s">
        <v>59</v>
      </c>
      <c r="M340" s="6">
        <v>25461</v>
      </c>
      <c r="N340" s="6">
        <v>6703</v>
      </c>
      <c r="O340" s="4">
        <v>35</v>
      </c>
      <c r="P340" s="5">
        <v>45400</v>
      </c>
      <c r="Q340" s="4" t="s">
        <v>94</v>
      </c>
      <c r="R340" s="4" t="s">
        <v>94</v>
      </c>
      <c r="S340" s="4" t="s">
        <v>34</v>
      </c>
      <c r="T340" s="7">
        <v>3.7984</v>
      </c>
      <c r="U340" s="8">
        <v>296</v>
      </c>
      <c r="V340" s="8">
        <v>2024</v>
      </c>
      <c r="W340" s="4" t="s">
        <v>77</v>
      </c>
    </row>
    <row r="341" spans="1:23" s="9" customFormat="1" ht="15.75" hidden="1" customHeight="1" x14ac:dyDescent="0.25">
      <c r="A341" s="10" t="s">
        <v>1081</v>
      </c>
      <c r="B341" s="10" t="s">
        <v>1082</v>
      </c>
      <c r="C341" s="10" t="s">
        <v>1083</v>
      </c>
      <c r="D341" s="21" t="s">
        <v>6089</v>
      </c>
      <c r="E341" s="10" t="s">
        <v>26</v>
      </c>
      <c r="F341" s="10" t="s">
        <v>46</v>
      </c>
      <c r="G341" s="10" t="s">
        <v>28</v>
      </c>
      <c r="H341" s="10" t="s">
        <v>29</v>
      </c>
      <c r="I341" s="11">
        <v>45314</v>
      </c>
      <c r="J341" s="10" t="s">
        <v>40</v>
      </c>
      <c r="K341" s="11">
        <v>45624</v>
      </c>
      <c r="L341" s="10" t="s">
        <v>59</v>
      </c>
      <c r="M341" s="12">
        <v>38493</v>
      </c>
      <c r="N341" s="12">
        <v>6790</v>
      </c>
      <c r="O341" s="10">
        <v>39</v>
      </c>
      <c r="P341" s="11">
        <v>45663</v>
      </c>
      <c r="Q341" s="10" t="s">
        <v>33</v>
      </c>
      <c r="R341" s="10" t="s">
        <v>33</v>
      </c>
      <c r="S341" s="10" t="s">
        <v>41</v>
      </c>
      <c r="T341" s="13">
        <v>5.6691000000000003</v>
      </c>
      <c r="U341" s="14">
        <v>310</v>
      </c>
      <c r="V341" s="14">
        <v>2024</v>
      </c>
      <c r="W341" s="10" t="s">
        <v>61</v>
      </c>
    </row>
    <row r="342" spans="1:23" s="9" customFormat="1" ht="15.75" hidden="1" customHeight="1" x14ac:dyDescent="0.25">
      <c r="A342" s="4" t="s">
        <v>1084</v>
      </c>
      <c r="B342" s="4" t="s">
        <v>1085</v>
      </c>
      <c r="C342" s="4" t="s">
        <v>1086</v>
      </c>
      <c r="D342" s="22" t="s">
        <v>6090</v>
      </c>
      <c r="E342" s="4" t="s">
        <v>87</v>
      </c>
      <c r="F342" s="4" t="s">
        <v>46</v>
      </c>
      <c r="G342" s="4" t="s">
        <v>28</v>
      </c>
      <c r="H342" s="4" t="s">
        <v>118</v>
      </c>
      <c r="I342" s="5">
        <v>45488</v>
      </c>
      <c r="J342" s="4" t="s">
        <v>40</v>
      </c>
      <c r="K342" s="5">
        <v>45632</v>
      </c>
      <c r="L342" s="4" t="s">
        <v>59</v>
      </c>
      <c r="M342" s="6">
        <v>49423</v>
      </c>
      <c r="N342" s="6">
        <v>5989</v>
      </c>
      <c r="O342" s="4">
        <v>7</v>
      </c>
      <c r="P342" s="5">
        <v>45639</v>
      </c>
      <c r="Q342" s="4" t="s">
        <v>33</v>
      </c>
      <c r="R342" s="4" t="s">
        <v>33</v>
      </c>
      <c r="S342" s="4" t="s">
        <v>60</v>
      </c>
      <c r="T342" s="7">
        <v>8.2523</v>
      </c>
      <c r="U342" s="8">
        <v>144</v>
      </c>
      <c r="V342" s="8">
        <v>2024</v>
      </c>
      <c r="W342" s="4" t="s">
        <v>89</v>
      </c>
    </row>
    <row r="343" spans="1:23" s="9" customFormat="1" ht="15.75" hidden="1" customHeight="1" x14ac:dyDescent="0.25">
      <c r="A343" s="10" t="s">
        <v>1087</v>
      </c>
      <c r="B343" s="10" t="s">
        <v>1088</v>
      </c>
      <c r="C343" s="10" t="s">
        <v>1089</v>
      </c>
      <c r="D343" s="21" t="s">
        <v>6089</v>
      </c>
      <c r="E343" s="10" t="s">
        <v>87</v>
      </c>
      <c r="F343" s="10" t="s">
        <v>46</v>
      </c>
      <c r="G343" s="10" t="s">
        <v>5</v>
      </c>
      <c r="H343" s="10" t="s">
        <v>39</v>
      </c>
      <c r="I343" s="11">
        <v>45355</v>
      </c>
      <c r="J343" s="10" t="s">
        <v>30</v>
      </c>
      <c r="K343" s="11">
        <v>45452</v>
      </c>
      <c r="L343" s="10" t="s">
        <v>59</v>
      </c>
      <c r="M343" s="12">
        <v>44327</v>
      </c>
      <c r="N343" s="12">
        <v>6558</v>
      </c>
      <c r="O343" s="10">
        <v>39</v>
      </c>
      <c r="P343" s="11">
        <v>45491</v>
      </c>
      <c r="Q343" s="10" t="s">
        <v>33</v>
      </c>
      <c r="R343" s="10" t="s">
        <v>33</v>
      </c>
      <c r="S343" s="10" t="s">
        <v>60</v>
      </c>
      <c r="T343" s="13">
        <v>6.7591999999999999</v>
      </c>
      <c r="U343" s="14">
        <v>97</v>
      </c>
      <c r="V343" s="14">
        <v>2024</v>
      </c>
      <c r="W343" s="10" t="s">
        <v>67</v>
      </c>
    </row>
    <row r="344" spans="1:23" s="9" customFormat="1" ht="15.75" hidden="1" customHeight="1" x14ac:dyDescent="0.25">
      <c r="A344" s="4" t="s">
        <v>1090</v>
      </c>
      <c r="B344" s="4" t="s">
        <v>1091</v>
      </c>
      <c r="C344" s="4" t="s">
        <v>1092</v>
      </c>
      <c r="D344" s="22" t="s">
        <v>6090</v>
      </c>
      <c r="E344" s="4" t="s">
        <v>51</v>
      </c>
      <c r="F344" s="4" t="s">
        <v>65</v>
      </c>
      <c r="G344" s="4" t="s">
        <v>5</v>
      </c>
      <c r="H344" s="4" t="s">
        <v>118</v>
      </c>
      <c r="I344" s="5">
        <v>45445</v>
      </c>
      <c r="J344" s="4" t="s">
        <v>30</v>
      </c>
      <c r="K344" s="5">
        <v>45601</v>
      </c>
      <c r="L344" s="4" t="s">
        <v>66</v>
      </c>
      <c r="M344" s="6">
        <v>9090</v>
      </c>
      <c r="N344" s="6">
        <v>6283</v>
      </c>
      <c r="O344" s="4" t="s">
        <v>32</v>
      </c>
      <c r="P344" s="4" t="s">
        <v>32</v>
      </c>
      <c r="Q344" s="4" t="s">
        <v>33</v>
      </c>
      <c r="R344" s="4" t="s">
        <v>33</v>
      </c>
      <c r="S344" s="4" t="s">
        <v>41</v>
      </c>
      <c r="T344" s="7">
        <v>1.4468000000000001</v>
      </c>
      <c r="U344" s="8">
        <v>156</v>
      </c>
      <c r="V344" s="8">
        <v>2024</v>
      </c>
      <c r="W344" s="4" t="s">
        <v>61</v>
      </c>
    </row>
    <row r="345" spans="1:23" s="9" customFormat="1" ht="15.75" hidden="1" customHeight="1" x14ac:dyDescent="0.25">
      <c r="A345" s="10" t="s">
        <v>1093</v>
      </c>
      <c r="B345" s="10" t="s">
        <v>1094</v>
      </c>
      <c r="C345" s="10" t="s">
        <v>1095</v>
      </c>
      <c r="D345" s="22" t="s">
        <v>6087</v>
      </c>
      <c r="E345" s="10" t="s">
        <v>87</v>
      </c>
      <c r="F345" s="10" t="s">
        <v>56</v>
      </c>
      <c r="G345" s="10" t="s">
        <v>5</v>
      </c>
      <c r="H345" s="10" t="s">
        <v>161</v>
      </c>
      <c r="I345" s="11">
        <v>45400</v>
      </c>
      <c r="J345" s="10" t="s">
        <v>40</v>
      </c>
      <c r="K345" s="11">
        <v>45431</v>
      </c>
      <c r="L345" s="10" t="s">
        <v>59</v>
      </c>
      <c r="M345" s="12">
        <v>25003</v>
      </c>
      <c r="N345" s="12">
        <v>6759</v>
      </c>
      <c r="O345" s="10">
        <v>17</v>
      </c>
      <c r="P345" s="11">
        <v>45448</v>
      </c>
      <c r="Q345" s="10" t="s">
        <v>33</v>
      </c>
      <c r="R345" s="10" t="s">
        <v>33</v>
      </c>
      <c r="S345" s="10" t="s">
        <v>41</v>
      </c>
      <c r="T345" s="13">
        <v>3.6991999999999998</v>
      </c>
      <c r="U345" s="14">
        <v>31</v>
      </c>
      <c r="V345" s="14">
        <v>2024</v>
      </c>
      <c r="W345" s="10" t="s">
        <v>52</v>
      </c>
    </row>
    <row r="346" spans="1:23" s="9" customFormat="1" ht="15.75" hidden="1" customHeight="1" x14ac:dyDescent="0.25">
      <c r="A346" s="4" t="s">
        <v>1096</v>
      </c>
      <c r="B346" s="4" t="s">
        <v>1097</v>
      </c>
      <c r="C346" s="4" t="s">
        <v>1098</v>
      </c>
      <c r="D346" s="22" t="s">
        <v>6087</v>
      </c>
      <c r="E346" s="4" t="s">
        <v>26</v>
      </c>
      <c r="F346" s="4" t="s">
        <v>27</v>
      </c>
      <c r="G346" s="4" t="s">
        <v>28</v>
      </c>
      <c r="H346" s="4" t="s">
        <v>118</v>
      </c>
      <c r="I346" s="5">
        <v>45264</v>
      </c>
      <c r="J346" s="4" t="s">
        <v>40</v>
      </c>
      <c r="K346" s="5">
        <v>45385</v>
      </c>
      <c r="L346" s="4" t="s">
        <v>59</v>
      </c>
      <c r="M346" s="6">
        <v>35899</v>
      </c>
      <c r="N346" s="6">
        <v>4092</v>
      </c>
      <c r="O346" s="4">
        <v>4</v>
      </c>
      <c r="P346" s="5">
        <v>45389</v>
      </c>
      <c r="Q346" s="4" t="s">
        <v>33</v>
      </c>
      <c r="R346" s="4" t="s">
        <v>33</v>
      </c>
      <c r="S346" s="4" t="s">
        <v>41</v>
      </c>
      <c r="T346" s="7">
        <v>8.7729999999999997</v>
      </c>
      <c r="U346" s="8">
        <v>121</v>
      </c>
      <c r="V346" s="8">
        <v>2024</v>
      </c>
      <c r="W346" s="4" t="s">
        <v>47</v>
      </c>
    </row>
    <row r="347" spans="1:23" s="9" customFormat="1" ht="15.75" hidden="1" customHeight="1" x14ac:dyDescent="0.25">
      <c r="A347" s="10" t="s">
        <v>1099</v>
      </c>
      <c r="B347" s="10" t="s">
        <v>1100</v>
      </c>
      <c r="C347" s="10" t="s">
        <v>1101</v>
      </c>
      <c r="D347" s="22" t="s">
        <v>6087</v>
      </c>
      <c r="E347" s="10" t="s">
        <v>87</v>
      </c>
      <c r="F347" s="10" t="s">
        <v>71</v>
      </c>
      <c r="G347" s="10" t="s">
        <v>5</v>
      </c>
      <c r="H347" s="10" t="s">
        <v>88</v>
      </c>
      <c r="I347" s="11">
        <v>45260</v>
      </c>
      <c r="J347" s="10" t="s">
        <v>40</v>
      </c>
      <c r="K347" s="11">
        <v>45321</v>
      </c>
      <c r="L347" s="10" t="s">
        <v>59</v>
      </c>
      <c r="M347" s="12">
        <v>21214</v>
      </c>
      <c r="N347" s="12">
        <v>1898</v>
      </c>
      <c r="O347" s="10">
        <v>26</v>
      </c>
      <c r="P347" s="11">
        <v>45347</v>
      </c>
      <c r="Q347" s="10" t="s">
        <v>33</v>
      </c>
      <c r="R347" s="10" t="s">
        <v>33</v>
      </c>
      <c r="S347" s="10" t="s">
        <v>60</v>
      </c>
      <c r="T347" s="13">
        <v>11.177</v>
      </c>
      <c r="U347" s="14">
        <v>61</v>
      </c>
      <c r="V347" s="14">
        <v>2024</v>
      </c>
      <c r="W347" s="10" t="s">
        <v>73</v>
      </c>
    </row>
    <row r="348" spans="1:23" s="9" customFormat="1" ht="15.75" hidden="1" customHeight="1" x14ac:dyDescent="0.25">
      <c r="A348" s="4" t="s">
        <v>1102</v>
      </c>
      <c r="B348" s="4" t="s">
        <v>1103</v>
      </c>
      <c r="C348" s="4" t="s">
        <v>1104</v>
      </c>
      <c r="D348" s="22" t="s">
        <v>6090</v>
      </c>
      <c r="E348" s="4" t="s">
        <v>51</v>
      </c>
      <c r="F348" s="4" t="s">
        <v>27</v>
      </c>
      <c r="G348" s="4" t="s">
        <v>28</v>
      </c>
      <c r="H348" s="4" t="s">
        <v>93</v>
      </c>
      <c r="I348" s="5">
        <v>45160</v>
      </c>
      <c r="J348" s="4" t="s">
        <v>30</v>
      </c>
      <c r="K348" s="5">
        <v>45483</v>
      </c>
      <c r="L348" s="4" t="s">
        <v>59</v>
      </c>
      <c r="M348" s="6">
        <v>13827</v>
      </c>
      <c r="N348" s="6">
        <v>2179</v>
      </c>
      <c r="O348" s="4">
        <v>28</v>
      </c>
      <c r="P348" s="5">
        <v>45511</v>
      </c>
      <c r="Q348" s="4" t="s">
        <v>33</v>
      </c>
      <c r="R348" s="4" t="s">
        <v>33</v>
      </c>
      <c r="S348" s="4" t="s">
        <v>60</v>
      </c>
      <c r="T348" s="7">
        <v>6.3456000000000001</v>
      </c>
      <c r="U348" s="8">
        <v>323</v>
      </c>
      <c r="V348" s="8">
        <v>2024</v>
      </c>
      <c r="W348" s="4" t="s">
        <v>42</v>
      </c>
    </row>
    <row r="349" spans="1:23" s="9" customFormat="1" ht="15.75" hidden="1" customHeight="1" x14ac:dyDescent="0.25">
      <c r="A349" s="10" t="s">
        <v>1105</v>
      </c>
      <c r="B349" s="10" t="s">
        <v>1106</v>
      </c>
      <c r="C349" s="10" t="s">
        <v>1107</v>
      </c>
      <c r="D349" s="22" t="s">
        <v>6090</v>
      </c>
      <c r="E349" s="10" t="s">
        <v>87</v>
      </c>
      <c r="F349" s="10" t="s">
        <v>56</v>
      </c>
      <c r="G349" s="10" t="s">
        <v>5</v>
      </c>
      <c r="H349" s="10" t="s">
        <v>58</v>
      </c>
      <c r="I349" s="11">
        <v>45123</v>
      </c>
      <c r="J349" s="10" t="s">
        <v>30</v>
      </c>
      <c r="K349" s="11">
        <v>45327</v>
      </c>
      <c r="L349" s="10" t="s">
        <v>59</v>
      </c>
      <c r="M349" s="12">
        <v>21665</v>
      </c>
      <c r="N349" s="12">
        <v>4387</v>
      </c>
      <c r="O349" s="10">
        <v>33</v>
      </c>
      <c r="P349" s="11">
        <v>45360</v>
      </c>
      <c r="Q349" s="10" t="s">
        <v>33</v>
      </c>
      <c r="R349" s="10" t="s">
        <v>33</v>
      </c>
      <c r="S349" s="10" t="s">
        <v>60</v>
      </c>
      <c r="T349" s="13">
        <v>4.9385000000000003</v>
      </c>
      <c r="U349" s="14">
        <v>204</v>
      </c>
      <c r="V349" s="14">
        <v>2024</v>
      </c>
      <c r="W349" s="10" t="s">
        <v>35</v>
      </c>
    </row>
    <row r="350" spans="1:23" s="9" customFormat="1" ht="15.75" hidden="1" customHeight="1" x14ac:dyDescent="0.25">
      <c r="A350" s="4" t="s">
        <v>1108</v>
      </c>
      <c r="B350" s="4" t="s">
        <v>1109</v>
      </c>
      <c r="C350" s="4" t="s">
        <v>1110</v>
      </c>
      <c r="D350" s="21" t="s">
        <v>6089</v>
      </c>
      <c r="E350" s="4" t="s">
        <v>51</v>
      </c>
      <c r="F350" s="21" t="s">
        <v>6092</v>
      </c>
      <c r="G350" s="4" t="s">
        <v>5</v>
      </c>
      <c r="H350" s="4" t="s">
        <v>58</v>
      </c>
      <c r="I350" s="5">
        <v>45294</v>
      </c>
      <c r="J350" s="4" t="s">
        <v>40</v>
      </c>
      <c r="K350" s="5">
        <v>45451</v>
      </c>
      <c r="L350" s="4" t="s">
        <v>66</v>
      </c>
      <c r="M350" s="6">
        <v>37332</v>
      </c>
      <c r="N350" s="6">
        <v>3415</v>
      </c>
      <c r="O350" s="4" t="s">
        <v>32</v>
      </c>
      <c r="P350" s="4" t="s">
        <v>32</v>
      </c>
      <c r="Q350" s="4" t="s">
        <v>94</v>
      </c>
      <c r="R350" s="4" t="s">
        <v>33</v>
      </c>
      <c r="S350" s="4" t="s">
        <v>60</v>
      </c>
      <c r="T350" s="7">
        <v>10.931800000000001</v>
      </c>
      <c r="U350" s="8">
        <v>157</v>
      </c>
      <c r="V350" s="8">
        <v>2024</v>
      </c>
      <c r="W350" s="4" t="s">
        <v>67</v>
      </c>
    </row>
    <row r="351" spans="1:23" s="9" customFormat="1" ht="15.75" hidden="1" customHeight="1" x14ac:dyDescent="0.25">
      <c r="A351" s="10" t="s">
        <v>1111</v>
      </c>
      <c r="B351" s="10" t="s">
        <v>1112</v>
      </c>
      <c r="C351" s="10" t="s">
        <v>1113</v>
      </c>
      <c r="D351" s="22" t="s">
        <v>6090</v>
      </c>
      <c r="E351" s="10" t="s">
        <v>87</v>
      </c>
      <c r="F351" s="10" t="s">
        <v>56</v>
      </c>
      <c r="G351" s="10" t="s">
        <v>5</v>
      </c>
      <c r="H351" s="10" t="s">
        <v>161</v>
      </c>
      <c r="I351" s="11">
        <v>45033</v>
      </c>
      <c r="J351" s="10" t="s">
        <v>30</v>
      </c>
      <c r="K351" s="11">
        <v>45347</v>
      </c>
      <c r="L351" s="10" t="s">
        <v>59</v>
      </c>
      <c r="M351" s="12">
        <v>28591</v>
      </c>
      <c r="N351" s="12">
        <v>5333</v>
      </c>
      <c r="O351" s="10">
        <v>8</v>
      </c>
      <c r="P351" s="11">
        <v>45355</v>
      </c>
      <c r="Q351" s="10" t="s">
        <v>33</v>
      </c>
      <c r="R351" s="10" t="s">
        <v>33</v>
      </c>
      <c r="S351" s="10" t="s">
        <v>41</v>
      </c>
      <c r="T351" s="13">
        <v>5.3611000000000004</v>
      </c>
      <c r="U351" s="14">
        <v>314</v>
      </c>
      <c r="V351" s="14">
        <v>2024</v>
      </c>
      <c r="W351" s="10" t="s">
        <v>35</v>
      </c>
    </row>
    <row r="352" spans="1:23" s="9" customFormat="1" ht="15.75" hidden="1" customHeight="1" x14ac:dyDescent="0.25">
      <c r="A352" s="4" t="s">
        <v>1114</v>
      </c>
      <c r="B352" s="4" t="s">
        <v>1115</v>
      </c>
      <c r="C352" s="4" t="s">
        <v>1116</v>
      </c>
      <c r="D352" s="22" t="s">
        <v>6090</v>
      </c>
      <c r="E352" s="4" t="s">
        <v>26</v>
      </c>
      <c r="F352" s="21" t="s">
        <v>6092</v>
      </c>
      <c r="G352" s="4" t="s">
        <v>28</v>
      </c>
      <c r="H352" s="4" t="s">
        <v>29</v>
      </c>
      <c r="I352" s="5">
        <v>45196</v>
      </c>
      <c r="J352" s="4" t="s">
        <v>40</v>
      </c>
      <c r="K352" s="5">
        <v>45481</v>
      </c>
      <c r="L352" s="4" t="s">
        <v>59</v>
      </c>
      <c r="M352" s="6">
        <v>54459</v>
      </c>
      <c r="N352" s="6">
        <v>3326</v>
      </c>
      <c r="O352" s="4">
        <v>29</v>
      </c>
      <c r="P352" s="5">
        <v>45510</v>
      </c>
      <c r="Q352" s="4" t="s">
        <v>33</v>
      </c>
      <c r="R352" s="4" t="s">
        <v>33</v>
      </c>
      <c r="S352" s="4" t="s">
        <v>41</v>
      </c>
      <c r="T352" s="7">
        <v>16.373699999999999</v>
      </c>
      <c r="U352" s="8">
        <v>285</v>
      </c>
      <c r="V352" s="8">
        <v>2024</v>
      </c>
      <c r="W352" s="4" t="s">
        <v>42</v>
      </c>
    </row>
    <row r="353" spans="1:23" s="9" customFormat="1" ht="15.75" hidden="1" customHeight="1" x14ac:dyDescent="0.25">
      <c r="A353" s="10" t="s">
        <v>1117</v>
      </c>
      <c r="B353" s="10" t="s">
        <v>1118</v>
      </c>
      <c r="C353" s="10" t="s">
        <v>1119</v>
      </c>
      <c r="D353" s="22" t="s">
        <v>6087</v>
      </c>
      <c r="E353" s="10" t="s">
        <v>26</v>
      </c>
      <c r="F353" s="10" t="s">
        <v>71</v>
      </c>
      <c r="G353" s="10" t="s">
        <v>28</v>
      </c>
      <c r="H353" s="10" t="s">
        <v>118</v>
      </c>
      <c r="I353" s="11">
        <v>45087</v>
      </c>
      <c r="J353" s="10" t="s">
        <v>40</v>
      </c>
      <c r="K353" s="11">
        <v>45417</v>
      </c>
      <c r="L353" s="10" t="s">
        <v>31</v>
      </c>
      <c r="M353" s="12">
        <v>13391</v>
      </c>
      <c r="N353" s="12">
        <v>6760</v>
      </c>
      <c r="O353" s="10" t="s">
        <v>32</v>
      </c>
      <c r="P353" s="10" t="s">
        <v>32</v>
      </c>
      <c r="Q353" s="10" t="s">
        <v>33</v>
      </c>
      <c r="R353" s="10" t="s">
        <v>33</v>
      </c>
      <c r="S353" s="10" t="s">
        <v>60</v>
      </c>
      <c r="T353" s="13">
        <v>1.9809000000000001</v>
      </c>
      <c r="U353" s="14">
        <v>330</v>
      </c>
      <c r="V353" s="14">
        <v>2024</v>
      </c>
      <c r="W353" s="10" t="s">
        <v>52</v>
      </c>
    </row>
    <row r="354" spans="1:23" s="9" customFormat="1" ht="15.75" hidden="1" customHeight="1" x14ac:dyDescent="0.25">
      <c r="A354" s="4" t="s">
        <v>1120</v>
      </c>
      <c r="B354" s="4" t="s">
        <v>1121</v>
      </c>
      <c r="C354" s="4" t="s">
        <v>1122</v>
      </c>
      <c r="D354" s="22" t="s">
        <v>6087</v>
      </c>
      <c r="E354" s="4" t="s">
        <v>51</v>
      </c>
      <c r="F354" s="4" t="s">
        <v>65</v>
      </c>
      <c r="G354" s="4" t="s">
        <v>5</v>
      </c>
      <c r="H354" s="4" t="s">
        <v>161</v>
      </c>
      <c r="I354" s="5">
        <v>45278</v>
      </c>
      <c r="J354" s="4" t="s">
        <v>30</v>
      </c>
      <c r="K354" s="5">
        <v>45586</v>
      </c>
      <c r="L354" s="4" t="s">
        <v>66</v>
      </c>
      <c r="M354" s="6">
        <v>20377</v>
      </c>
      <c r="N354" s="6">
        <v>6369</v>
      </c>
      <c r="O354" s="4" t="s">
        <v>32</v>
      </c>
      <c r="P354" s="4" t="s">
        <v>32</v>
      </c>
      <c r="Q354" s="4" t="s">
        <v>33</v>
      </c>
      <c r="R354" s="4" t="s">
        <v>33</v>
      </c>
      <c r="S354" s="4" t="s">
        <v>34</v>
      </c>
      <c r="T354" s="7">
        <v>3.1993999999999998</v>
      </c>
      <c r="U354" s="8">
        <v>308</v>
      </c>
      <c r="V354" s="8">
        <v>2024</v>
      </c>
      <c r="W354" s="4" t="s">
        <v>95</v>
      </c>
    </row>
    <row r="355" spans="1:23" s="9" customFormat="1" ht="15.75" hidden="1" customHeight="1" x14ac:dyDescent="0.25">
      <c r="A355" s="10" t="s">
        <v>1123</v>
      </c>
      <c r="B355" s="10" t="s">
        <v>1124</v>
      </c>
      <c r="C355" s="10" t="s">
        <v>1125</v>
      </c>
      <c r="D355" s="22" t="s">
        <v>6090</v>
      </c>
      <c r="E355" s="10" t="s">
        <v>26</v>
      </c>
      <c r="F355" s="10" t="s">
        <v>71</v>
      </c>
      <c r="G355" s="10" t="s">
        <v>57</v>
      </c>
      <c r="H355" s="10" t="s">
        <v>72</v>
      </c>
      <c r="I355" s="11">
        <v>45327</v>
      </c>
      <c r="J355" s="10" t="s">
        <v>30</v>
      </c>
      <c r="K355" s="11">
        <v>45415</v>
      </c>
      <c r="L355" s="10" t="s">
        <v>66</v>
      </c>
      <c r="M355" s="12">
        <v>41358</v>
      </c>
      <c r="N355" s="12">
        <v>6763</v>
      </c>
      <c r="O355" s="10" t="s">
        <v>32</v>
      </c>
      <c r="P355" s="10" t="s">
        <v>32</v>
      </c>
      <c r="Q355" s="10" t="s">
        <v>33</v>
      </c>
      <c r="R355" s="10" t="s">
        <v>33</v>
      </c>
      <c r="S355" s="10" t="s">
        <v>34</v>
      </c>
      <c r="T355" s="13">
        <v>6.1153000000000004</v>
      </c>
      <c r="U355" s="14">
        <v>88</v>
      </c>
      <c r="V355" s="14">
        <v>2024</v>
      </c>
      <c r="W355" s="10" t="s">
        <v>52</v>
      </c>
    </row>
    <row r="356" spans="1:23" s="9" customFormat="1" ht="15.75" hidden="1" customHeight="1" x14ac:dyDescent="0.25">
      <c r="A356" s="4" t="s">
        <v>1126</v>
      </c>
      <c r="B356" s="4" t="s">
        <v>1127</v>
      </c>
      <c r="C356" s="4" t="s">
        <v>1128</v>
      </c>
      <c r="D356" s="21" t="s">
        <v>6091</v>
      </c>
      <c r="E356" s="4" t="s">
        <v>26</v>
      </c>
      <c r="F356" s="4" t="s">
        <v>71</v>
      </c>
      <c r="G356" s="4" t="s">
        <v>5</v>
      </c>
      <c r="H356" s="4" t="s">
        <v>39</v>
      </c>
      <c r="I356" s="5">
        <v>45217</v>
      </c>
      <c r="J356" s="4" t="s">
        <v>30</v>
      </c>
      <c r="K356" s="5">
        <v>45537</v>
      </c>
      <c r="L356" s="4" t="s">
        <v>59</v>
      </c>
      <c r="M356" s="6">
        <v>17495</v>
      </c>
      <c r="N356" s="6">
        <v>2715</v>
      </c>
      <c r="O356" s="4">
        <v>8</v>
      </c>
      <c r="P356" s="5">
        <v>45545</v>
      </c>
      <c r="Q356" s="4" t="s">
        <v>33</v>
      </c>
      <c r="R356" s="4" t="s">
        <v>33</v>
      </c>
      <c r="S356" s="4" t="s">
        <v>41</v>
      </c>
      <c r="T356" s="7">
        <v>6.4438000000000004</v>
      </c>
      <c r="U356" s="8">
        <v>320</v>
      </c>
      <c r="V356" s="8">
        <v>2024</v>
      </c>
      <c r="W356" s="4" t="s">
        <v>168</v>
      </c>
    </row>
    <row r="357" spans="1:23" s="9" customFormat="1" ht="15.75" hidden="1" customHeight="1" x14ac:dyDescent="0.25">
      <c r="A357" s="10" t="s">
        <v>1129</v>
      </c>
      <c r="B357" s="10" t="s">
        <v>1130</v>
      </c>
      <c r="C357" s="10" t="s">
        <v>1131</v>
      </c>
      <c r="D357" s="21" t="s">
        <v>6089</v>
      </c>
      <c r="E357" s="10" t="s">
        <v>26</v>
      </c>
      <c r="F357" s="21" t="s">
        <v>6092</v>
      </c>
      <c r="G357" s="10" t="s">
        <v>57</v>
      </c>
      <c r="H357" s="10" t="s">
        <v>58</v>
      </c>
      <c r="I357" s="11">
        <v>45119</v>
      </c>
      <c r="J357" s="10" t="s">
        <v>40</v>
      </c>
      <c r="K357" s="11">
        <v>45398</v>
      </c>
      <c r="L357" s="10" t="s">
        <v>59</v>
      </c>
      <c r="M357" s="12">
        <v>21765</v>
      </c>
      <c r="N357" s="12">
        <v>5972</v>
      </c>
      <c r="O357" s="10">
        <v>30</v>
      </c>
      <c r="P357" s="11">
        <v>45428</v>
      </c>
      <c r="Q357" s="10" t="s">
        <v>33</v>
      </c>
      <c r="R357" s="10" t="s">
        <v>33</v>
      </c>
      <c r="S357" s="10" t="s">
        <v>34</v>
      </c>
      <c r="T357" s="13">
        <v>3.6444999999999999</v>
      </c>
      <c r="U357" s="14">
        <v>279</v>
      </c>
      <c r="V357" s="14">
        <v>2024</v>
      </c>
      <c r="W357" s="10" t="s">
        <v>47</v>
      </c>
    </row>
    <row r="358" spans="1:23" s="9" customFormat="1" ht="15.75" hidden="1" customHeight="1" x14ac:dyDescent="0.25">
      <c r="A358" s="4" t="s">
        <v>1132</v>
      </c>
      <c r="B358" s="4" t="s">
        <v>1133</v>
      </c>
      <c r="C358" s="4" t="s">
        <v>1134</v>
      </c>
      <c r="D358" s="21" t="s">
        <v>6088</v>
      </c>
      <c r="E358" s="4" t="s">
        <v>87</v>
      </c>
      <c r="F358" s="4" t="s">
        <v>71</v>
      </c>
      <c r="G358" s="4" t="s">
        <v>57</v>
      </c>
      <c r="H358" s="4" t="s">
        <v>93</v>
      </c>
      <c r="I358" s="5">
        <v>45085</v>
      </c>
      <c r="J358" s="4" t="s">
        <v>40</v>
      </c>
      <c r="K358" s="5">
        <v>45417</v>
      </c>
      <c r="L358" s="4" t="s">
        <v>66</v>
      </c>
      <c r="M358" s="6">
        <v>14783</v>
      </c>
      <c r="N358" s="6">
        <v>1460</v>
      </c>
      <c r="O358" s="4" t="s">
        <v>32</v>
      </c>
      <c r="P358" s="4" t="s">
        <v>32</v>
      </c>
      <c r="Q358" s="4" t="s">
        <v>33</v>
      </c>
      <c r="R358" s="4" t="s">
        <v>33</v>
      </c>
      <c r="S358" s="4" t="s">
        <v>34</v>
      </c>
      <c r="T358" s="7">
        <v>10.125299999999999</v>
      </c>
      <c r="U358" s="8">
        <v>332</v>
      </c>
      <c r="V358" s="8">
        <v>2024</v>
      </c>
      <c r="W358" s="4" t="s">
        <v>52</v>
      </c>
    </row>
    <row r="359" spans="1:23" s="9" customFormat="1" ht="15.75" hidden="1" customHeight="1" x14ac:dyDescent="0.25">
      <c r="A359" s="10" t="s">
        <v>1135</v>
      </c>
      <c r="B359" s="10" t="s">
        <v>1136</v>
      </c>
      <c r="C359" s="10" t="s">
        <v>1137</v>
      </c>
      <c r="D359" s="21" t="s">
        <v>6086</v>
      </c>
      <c r="E359" s="10" t="s">
        <v>87</v>
      </c>
      <c r="F359" s="10" t="s">
        <v>65</v>
      </c>
      <c r="G359" s="10" t="s">
        <v>57</v>
      </c>
      <c r="H359" s="10" t="s">
        <v>72</v>
      </c>
      <c r="I359" s="11">
        <v>45332</v>
      </c>
      <c r="J359" s="10" t="s">
        <v>40</v>
      </c>
      <c r="K359" s="11">
        <v>45540</v>
      </c>
      <c r="L359" s="10" t="s">
        <v>59</v>
      </c>
      <c r="M359" s="12">
        <v>72064</v>
      </c>
      <c r="N359" s="12">
        <v>8938</v>
      </c>
      <c r="O359" s="10">
        <v>30</v>
      </c>
      <c r="P359" s="11">
        <v>45570</v>
      </c>
      <c r="Q359" s="10" t="s">
        <v>94</v>
      </c>
      <c r="R359" s="10" t="s">
        <v>33</v>
      </c>
      <c r="S359" s="10" t="s">
        <v>34</v>
      </c>
      <c r="T359" s="13">
        <v>8.0626999999999995</v>
      </c>
      <c r="U359" s="14">
        <v>208</v>
      </c>
      <c r="V359" s="14">
        <v>2024</v>
      </c>
      <c r="W359" s="10" t="s">
        <v>168</v>
      </c>
    </row>
    <row r="360" spans="1:23" s="9" customFormat="1" ht="15.75" hidden="1" customHeight="1" x14ac:dyDescent="0.25">
      <c r="A360" s="4" t="s">
        <v>1138</v>
      </c>
      <c r="B360" s="4" t="s">
        <v>1139</v>
      </c>
      <c r="C360" s="4" t="s">
        <v>1140</v>
      </c>
      <c r="D360" s="21" t="s">
        <v>6088</v>
      </c>
      <c r="E360" s="4" t="s">
        <v>26</v>
      </c>
      <c r="F360" s="4" t="s">
        <v>65</v>
      </c>
      <c r="G360" s="4" t="s">
        <v>57</v>
      </c>
      <c r="H360" s="4" t="s">
        <v>118</v>
      </c>
      <c r="I360" s="5">
        <v>45363</v>
      </c>
      <c r="J360" s="4" t="s">
        <v>40</v>
      </c>
      <c r="K360" s="5">
        <v>45429</v>
      </c>
      <c r="L360" s="4" t="s">
        <v>31</v>
      </c>
      <c r="M360" s="6">
        <v>72470</v>
      </c>
      <c r="N360" s="6">
        <v>6252</v>
      </c>
      <c r="O360" s="4" t="s">
        <v>32</v>
      </c>
      <c r="P360" s="4" t="s">
        <v>32</v>
      </c>
      <c r="Q360" s="4" t="s">
        <v>33</v>
      </c>
      <c r="R360" s="4" t="s">
        <v>33</v>
      </c>
      <c r="S360" s="4" t="s">
        <v>60</v>
      </c>
      <c r="T360" s="7">
        <v>11.5915</v>
      </c>
      <c r="U360" s="8">
        <v>66</v>
      </c>
      <c r="V360" s="8">
        <v>2024</v>
      </c>
      <c r="W360" s="4" t="s">
        <v>52</v>
      </c>
    </row>
    <row r="361" spans="1:23" s="9" customFormat="1" ht="15.75" hidden="1" customHeight="1" x14ac:dyDescent="0.25">
      <c r="A361" s="10" t="s">
        <v>1141</v>
      </c>
      <c r="B361" s="10" t="s">
        <v>1142</v>
      </c>
      <c r="C361" s="10" t="s">
        <v>1143</v>
      </c>
      <c r="D361" s="22" t="s">
        <v>6087</v>
      </c>
      <c r="E361" s="10" t="s">
        <v>51</v>
      </c>
      <c r="F361" s="10" t="s">
        <v>56</v>
      </c>
      <c r="G361" s="10" t="s">
        <v>28</v>
      </c>
      <c r="H361" s="10" t="s">
        <v>93</v>
      </c>
      <c r="I361" s="11">
        <v>45014</v>
      </c>
      <c r="J361" s="10" t="s">
        <v>30</v>
      </c>
      <c r="K361" s="11">
        <v>45329</v>
      </c>
      <c r="L361" s="10" t="s">
        <v>59</v>
      </c>
      <c r="M361" s="12">
        <v>18296</v>
      </c>
      <c r="N361" s="12">
        <v>3412</v>
      </c>
      <c r="O361" s="10">
        <v>17</v>
      </c>
      <c r="P361" s="11">
        <v>45346</v>
      </c>
      <c r="Q361" s="10" t="s">
        <v>33</v>
      </c>
      <c r="R361" s="10" t="s">
        <v>33</v>
      </c>
      <c r="S361" s="10" t="s">
        <v>34</v>
      </c>
      <c r="T361" s="13">
        <v>5.3623000000000003</v>
      </c>
      <c r="U361" s="14">
        <v>315</v>
      </c>
      <c r="V361" s="14">
        <v>2024</v>
      </c>
      <c r="W361" s="10" t="s">
        <v>35</v>
      </c>
    </row>
    <row r="362" spans="1:23" s="9" customFormat="1" ht="15.75" hidden="1" customHeight="1" x14ac:dyDescent="0.25">
      <c r="A362" s="4" t="s">
        <v>1144</v>
      </c>
      <c r="B362" s="4" t="s">
        <v>1145</v>
      </c>
      <c r="C362" s="4" t="s">
        <v>1146</v>
      </c>
      <c r="D362" s="21" t="s">
        <v>6086</v>
      </c>
      <c r="E362" s="4" t="s">
        <v>51</v>
      </c>
      <c r="F362" s="4" t="s">
        <v>56</v>
      </c>
      <c r="G362" s="4" t="s">
        <v>28</v>
      </c>
      <c r="H362" s="4" t="s">
        <v>118</v>
      </c>
      <c r="I362" s="5">
        <v>45040</v>
      </c>
      <c r="J362" s="4" t="s">
        <v>30</v>
      </c>
      <c r="K362" s="5">
        <v>45391</v>
      </c>
      <c r="L362" s="4" t="s">
        <v>59</v>
      </c>
      <c r="M362" s="6">
        <v>57522</v>
      </c>
      <c r="N362" s="6">
        <v>5516</v>
      </c>
      <c r="O362" s="4">
        <v>24</v>
      </c>
      <c r="P362" s="5">
        <v>45415</v>
      </c>
      <c r="Q362" s="4" t="s">
        <v>33</v>
      </c>
      <c r="R362" s="4" t="s">
        <v>33</v>
      </c>
      <c r="S362" s="4" t="s">
        <v>60</v>
      </c>
      <c r="T362" s="7">
        <v>10.4282</v>
      </c>
      <c r="U362" s="8">
        <v>351</v>
      </c>
      <c r="V362" s="8">
        <v>2024</v>
      </c>
      <c r="W362" s="4" t="s">
        <v>47</v>
      </c>
    </row>
    <row r="363" spans="1:23" s="9" customFormat="1" ht="15.75" hidden="1" customHeight="1" x14ac:dyDescent="0.25">
      <c r="A363" s="10" t="s">
        <v>1147</v>
      </c>
      <c r="B363" s="10" t="s">
        <v>1148</v>
      </c>
      <c r="C363" s="10" t="s">
        <v>1149</v>
      </c>
      <c r="D363" s="22" t="s">
        <v>6090</v>
      </c>
      <c r="E363" s="10" t="s">
        <v>26</v>
      </c>
      <c r="F363" s="10" t="s">
        <v>56</v>
      </c>
      <c r="G363" s="10" t="s">
        <v>5</v>
      </c>
      <c r="H363" s="10" t="s">
        <v>58</v>
      </c>
      <c r="I363" s="11">
        <v>45294</v>
      </c>
      <c r="J363" s="10" t="s">
        <v>40</v>
      </c>
      <c r="K363" s="11">
        <v>45364</v>
      </c>
      <c r="L363" s="10" t="s">
        <v>59</v>
      </c>
      <c r="M363" s="12">
        <v>39152</v>
      </c>
      <c r="N363" s="12">
        <v>3727</v>
      </c>
      <c r="O363" s="10">
        <v>43</v>
      </c>
      <c r="P363" s="11">
        <v>45407</v>
      </c>
      <c r="Q363" s="10" t="s">
        <v>94</v>
      </c>
      <c r="R363" s="10" t="s">
        <v>94</v>
      </c>
      <c r="S363" s="10" t="s">
        <v>34</v>
      </c>
      <c r="T363" s="13">
        <v>10.505000000000001</v>
      </c>
      <c r="U363" s="14">
        <v>70</v>
      </c>
      <c r="V363" s="14">
        <v>2024</v>
      </c>
      <c r="W363" s="10" t="s">
        <v>77</v>
      </c>
    </row>
    <row r="364" spans="1:23" s="9" customFormat="1" ht="15.75" hidden="1" customHeight="1" x14ac:dyDescent="0.25">
      <c r="A364" s="4" t="s">
        <v>1150</v>
      </c>
      <c r="B364" s="4" t="s">
        <v>1151</v>
      </c>
      <c r="C364" s="4" t="s">
        <v>1152</v>
      </c>
      <c r="D364" s="21" t="s">
        <v>6086</v>
      </c>
      <c r="E364" s="4" t="s">
        <v>26</v>
      </c>
      <c r="F364" s="21" t="s">
        <v>6092</v>
      </c>
      <c r="G364" s="4" t="s">
        <v>57</v>
      </c>
      <c r="H364" s="4" t="s">
        <v>93</v>
      </c>
      <c r="I364" s="5">
        <v>45252</v>
      </c>
      <c r="J364" s="4" t="s">
        <v>40</v>
      </c>
      <c r="K364" s="5">
        <v>45460</v>
      </c>
      <c r="L364" s="4" t="s">
        <v>31</v>
      </c>
      <c r="M364" s="6">
        <v>26262</v>
      </c>
      <c r="N364" s="6">
        <v>1361</v>
      </c>
      <c r="O364" s="4" t="s">
        <v>32</v>
      </c>
      <c r="P364" s="4" t="s">
        <v>32</v>
      </c>
      <c r="Q364" s="4" t="s">
        <v>94</v>
      </c>
      <c r="R364" s="4" t="s">
        <v>33</v>
      </c>
      <c r="S364" s="4" t="s">
        <v>41</v>
      </c>
      <c r="T364" s="7">
        <v>19.296099999999999</v>
      </c>
      <c r="U364" s="8">
        <v>208</v>
      </c>
      <c r="V364" s="8">
        <v>2024</v>
      </c>
      <c r="W364" s="4" t="s">
        <v>67</v>
      </c>
    </row>
    <row r="365" spans="1:23" s="9" customFormat="1" ht="15.75" hidden="1" customHeight="1" x14ac:dyDescent="0.25">
      <c r="A365" s="10" t="s">
        <v>1153</v>
      </c>
      <c r="B365" s="10" t="s">
        <v>1154</v>
      </c>
      <c r="C365" s="10" t="s">
        <v>1155</v>
      </c>
      <c r="D365" s="22" t="s">
        <v>6087</v>
      </c>
      <c r="E365" s="10" t="s">
        <v>87</v>
      </c>
      <c r="F365" s="10" t="s">
        <v>27</v>
      </c>
      <c r="G365" s="10" t="s">
        <v>57</v>
      </c>
      <c r="H365" s="10" t="s">
        <v>93</v>
      </c>
      <c r="I365" s="11">
        <v>45244</v>
      </c>
      <c r="J365" s="10" t="s">
        <v>30</v>
      </c>
      <c r="K365" s="11">
        <v>45425</v>
      </c>
      <c r="L365" s="10" t="s">
        <v>59</v>
      </c>
      <c r="M365" s="12">
        <v>12722</v>
      </c>
      <c r="N365" s="12">
        <v>3892</v>
      </c>
      <c r="O365" s="10">
        <v>41</v>
      </c>
      <c r="P365" s="11">
        <v>45466</v>
      </c>
      <c r="Q365" s="10" t="s">
        <v>33</v>
      </c>
      <c r="R365" s="10" t="s">
        <v>33</v>
      </c>
      <c r="S365" s="10" t="s">
        <v>34</v>
      </c>
      <c r="T365" s="13">
        <v>3.2688000000000001</v>
      </c>
      <c r="U365" s="14">
        <v>181</v>
      </c>
      <c r="V365" s="14">
        <v>2024</v>
      </c>
      <c r="W365" s="10" t="s">
        <v>52</v>
      </c>
    </row>
    <row r="366" spans="1:23" s="9" customFormat="1" ht="15.75" hidden="1" customHeight="1" x14ac:dyDescent="0.25">
      <c r="A366" s="4" t="s">
        <v>1156</v>
      </c>
      <c r="B366" s="4" t="s">
        <v>1157</v>
      </c>
      <c r="C366" s="4" t="s">
        <v>1158</v>
      </c>
      <c r="D366" s="21" t="s">
        <v>6089</v>
      </c>
      <c r="E366" s="4" t="s">
        <v>87</v>
      </c>
      <c r="F366" s="21" t="s">
        <v>6092</v>
      </c>
      <c r="G366" s="4" t="s">
        <v>57</v>
      </c>
      <c r="H366" s="4" t="s">
        <v>161</v>
      </c>
      <c r="I366" s="5">
        <v>45218</v>
      </c>
      <c r="J366" s="4" t="s">
        <v>30</v>
      </c>
      <c r="K366" s="5">
        <v>45300</v>
      </c>
      <c r="L366" s="4" t="s">
        <v>59</v>
      </c>
      <c r="M366" s="6">
        <v>41589</v>
      </c>
      <c r="N366" s="6">
        <v>7692</v>
      </c>
      <c r="O366" s="4">
        <v>38</v>
      </c>
      <c r="P366" s="5">
        <v>45338</v>
      </c>
      <c r="Q366" s="4" t="s">
        <v>94</v>
      </c>
      <c r="R366" s="4" t="s">
        <v>33</v>
      </c>
      <c r="S366" s="4" t="s">
        <v>41</v>
      </c>
      <c r="T366" s="7">
        <v>5.4067999999999996</v>
      </c>
      <c r="U366" s="8">
        <v>82</v>
      </c>
      <c r="V366" s="8">
        <v>2024</v>
      </c>
      <c r="W366" s="4" t="s">
        <v>73</v>
      </c>
    </row>
    <row r="367" spans="1:23" s="9" customFormat="1" ht="15.75" hidden="1" customHeight="1" x14ac:dyDescent="0.25">
      <c r="A367" s="10" t="s">
        <v>1159</v>
      </c>
      <c r="B367" s="10" t="s">
        <v>1160</v>
      </c>
      <c r="C367" s="10" t="s">
        <v>1161</v>
      </c>
      <c r="D367" s="21" t="s">
        <v>6091</v>
      </c>
      <c r="E367" s="10" t="s">
        <v>87</v>
      </c>
      <c r="F367" s="10" t="s">
        <v>65</v>
      </c>
      <c r="G367" s="10" t="s">
        <v>28</v>
      </c>
      <c r="H367" s="10" t="s">
        <v>93</v>
      </c>
      <c r="I367" s="11">
        <v>45000</v>
      </c>
      <c r="J367" s="10" t="s">
        <v>30</v>
      </c>
      <c r="K367" s="11">
        <v>45300</v>
      </c>
      <c r="L367" s="10" t="s">
        <v>59</v>
      </c>
      <c r="M367" s="12">
        <v>13445</v>
      </c>
      <c r="N367" s="12">
        <v>4139</v>
      </c>
      <c r="O367" s="10">
        <v>20</v>
      </c>
      <c r="P367" s="11">
        <v>45320</v>
      </c>
      <c r="Q367" s="10" t="s">
        <v>33</v>
      </c>
      <c r="R367" s="10" t="s">
        <v>33</v>
      </c>
      <c r="S367" s="10" t="s">
        <v>34</v>
      </c>
      <c r="T367" s="13">
        <v>3.2484000000000002</v>
      </c>
      <c r="U367" s="14">
        <v>300</v>
      </c>
      <c r="V367" s="14">
        <v>2024</v>
      </c>
      <c r="W367" s="10" t="s">
        <v>73</v>
      </c>
    </row>
    <row r="368" spans="1:23" s="9" customFormat="1" ht="15.75" hidden="1" customHeight="1" x14ac:dyDescent="0.25">
      <c r="A368" s="4" t="s">
        <v>1162</v>
      </c>
      <c r="B368" s="4" t="s">
        <v>1163</v>
      </c>
      <c r="C368" s="4" t="s">
        <v>1164</v>
      </c>
      <c r="D368" s="22" t="s">
        <v>6090</v>
      </c>
      <c r="E368" s="4" t="s">
        <v>87</v>
      </c>
      <c r="F368" s="4" t="s">
        <v>46</v>
      </c>
      <c r="G368" s="4" t="s">
        <v>57</v>
      </c>
      <c r="H368" s="4" t="s">
        <v>93</v>
      </c>
      <c r="I368" s="5">
        <v>45294</v>
      </c>
      <c r="J368" s="4" t="s">
        <v>40</v>
      </c>
      <c r="K368" s="5">
        <v>45636</v>
      </c>
      <c r="L368" s="4" t="s">
        <v>59</v>
      </c>
      <c r="M368" s="6">
        <v>32112</v>
      </c>
      <c r="N368" s="6">
        <v>7713</v>
      </c>
      <c r="O368" s="4">
        <v>40</v>
      </c>
      <c r="P368" s="5">
        <v>45676</v>
      </c>
      <c r="Q368" s="4" t="s">
        <v>33</v>
      </c>
      <c r="R368" s="4" t="s">
        <v>33</v>
      </c>
      <c r="S368" s="4" t="s">
        <v>60</v>
      </c>
      <c r="T368" s="7">
        <v>4.1634000000000002</v>
      </c>
      <c r="U368" s="8">
        <v>342</v>
      </c>
      <c r="V368" s="8">
        <v>2024</v>
      </c>
      <c r="W368" s="4" t="s">
        <v>89</v>
      </c>
    </row>
    <row r="369" spans="1:23" s="9" customFormat="1" ht="15.75" hidden="1" customHeight="1" x14ac:dyDescent="0.25">
      <c r="A369" s="10" t="s">
        <v>1165</v>
      </c>
      <c r="B369" s="10" t="s">
        <v>1166</v>
      </c>
      <c r="C369" s="10" t="s">
        <v>1167</v>
      </c>
      <c r="D369" s="22" t="s">
        <v>6090</v>
      </c>
      <c r="E369" s="10" t="s">
        <v>51</v>
      </c>
      <c r="F369" s="10" t="s">
        <v>65</v>
      </c>
      <c r="G369" s="10" t="s">
        <v>57</v>
      </c>
      <c r="H369" s="10" t="s">
        <v>93</v>
      </c>
      <c r="I369" s="11">
        <v>45110</v>
      </c>
      <c r="J369" s="10" t="s">
        <v>40</v>
      </c>
      <c r="K369" s="11">
        <v>45426</v>
      </c>
      <c r="L369" s="10" t="s">
        <v>59</v>
      </c>
      <c r="M369" s="12">
        <v>30178</v>
      </c>
      <c r="N369" s="12">
        <v>4916</v>
      </c>
      <c r="O369" s="10">
        <v>27</v>
      </c>
      <c r="P369" s="11">
        <v>45453</v>
      </c>
      <c r="Q369" s="10" t="s">
        <v>94</v>
      </c>
      <c r="R369" s="10" t="s">
        <v>94</v>
      </c>
      <c r="S369" s="10" t="s">
        <v>60</v>
      </c>
      <c r="T369" s="13">
        <v>6.1387</v>
      </c>
      <c r="U369" s="14">
        <v>316</v>
      </c>
      <c r="V369" s="14">
        <v>2024</v>
      </c>
      <c r="W369" s="10" t="s">
        <v>52</v>
      </c>
    </row>
    <row r="370" spans="1:23" s="9" customFormat="1" ht="15.75" hidden="1" customHeight="1" x14ac:dyDescent="0.25">
      <c r="A370" s="4" t="s">
        <v>1168</v>
      </c>
      <c r="B370" s="4" t="s">
        <v>1169</v>
      </c>
      <c r="C370" s="4" t="s">
        <v>1170</v>
      </c>
      <c r="D370" s="21" t="s">
        <v>6091</v>
      </c>
      <c r="E370" s="4" t="s">
        <v>26</v>
      </c>
      <c r="F370" s="4" t="s">
        <v>56</v>
      </c>
      <c r="G370" s="4" t="s">
        <v>28</v>
      </c>
      <c r="H370" s="4" t="s">
        <v>72</v>
      </c>
      <c r="I370" s="5">
        <v>45262</v>
      </c>
      <c r="J370" s="4" t="s">
        <v>40</v>
      </c>
      <c r="K370" s="5">
        <v>45510</v>
      </c>
      <c r="L370" s="4" t="s">
        <v>66</v>
      </c>
      <c r="M370" s="6">
        <v>6445</v>
      </c>
      <c r="N370" s="6">
        <v>7905</v>
      </c>
      <c r="O370" s="4" t="s">
        <v>32</v>
      </c>
      <c r="P370" s="4" t="s">
        <v>32</v>
      </c>
      <c r="Q370" s="4" t="s">
        <v>33</v>
      </c>
      <c r="R370" s="4" t="s">
        <v>33</v>
      </c>
      <c r="S370" s="4" t="s">
        <v>60</v>
      </c>
      <c r="T370" s="7">
        <v>0.81530000000000002</v>
      </c>
      <c r="U370" s="8">
        <v>248</v>
      </c>
      <c r="V370" s="8">
        <v>2024</v>
      </c>
      <c r="W370" s="4" t="s">
        <v>114</v>
      </c>
    </row>
    <row r="371" spans="1:23" s="9" customFormat="1" ht="15.75" hidden="1" customHeight="1" x14ac:dyDescent="0.25">
      <c r="A371" s="10" t="s">
        <v>1171</v>
      </c>
      <c r="B371" s="10" t="s">
        <v>1172</v>
      </c>
      <c r="C371" s="10" t="s">
        <v>1173</v>
      </c>
      <c r="D371" s="22" t="s">
        <v>6087</v>
      </c>
      <c r="E371" s="10" t="s">
        <v>51</v>
      </c>
      <c r="F371" s="21" t="s">
        <v>6092</v>
      </c>
      <c r="G371" s="10" t="s">
        <v>5</v>
      </c>
      <c r="H371" s="10" t="s">
        <v>39</v>
      </c>
      <c r="I371" s="11">
        <v>45053</v>
      </c>
      <c r="J371" s="10" t="s">
        <v>40</v>
      </c>
      <c r="K371" s="11">
        <v>45402</v>
      </c>
      <c r="L371" s="10" t="s">
        <v>59</v>
      </c>
      <c r="M371" s="12">
        <v>34514</v>
      </c>
      <c r="N371" s="12">
        <v>7751</v>
      </c>
      <c r="O371" s="10">
        <v>31</v>
      </c>
      <c r="P371" s="11">
        <v>45433</v>
      </c>
      <c r="Q371" s="10" t="s">
        <v>33</v>
      </c>
      <c r="R371" s="10" t="s">
        <v>33</v>
      </c>
      <c r="S371" s="10" t="s">
        <v>34</v>
      </c>
      <c r="T371" s="13">
        <v>4.4527999999999999</v>
      </c>
      <c r="U371" s="14">
        <v>349</v>
      </c>
      <c r="V371" s="14">
        <v>2024</v>
      </c>
      <c r="W371" s="10" t="s">
        <v>47</v>
      </c>
    </row>
    <row r="372" spans="1:23" s="9" customFormat="1" ht="15.75" hidden="1" customHeight="1" x14ac:dyDescent="0.25">
      <c r="A372" s="4" t="s">
        <v>1174</v>
      </c>
      <c r="B372" s="4" t="s">
        <v>1175</v>
      </c>
      <c r="C372" s="4" t="s">
        <v>1176</v>
      </c>
      <c r="D372" s="22" t="s">
        <v>6090</v>
      </c>
      <c r="E372" s="4" t="s">
        <v>51</v>
      </c>
      <c r="F372" s="21" t="s">
        <v>6092</v>
      </c>
      <c r="G372" s="4" t="s">
        <v>28</v>
      </c>
      <c r="H372" s="4" t="s">
        <v>161</v>
      </c>
      <c r="I372" s="5">
        <v>45449</v>
      </c>
      <c r="J372" s="4" t="s">
        <v>40</v>
      </c>
      <c r="K372" s="5">
        <v>45547</v>
      </c>
      <c r="L372" s="4" t="s">
        <v>59</v>
      </c>
      <c r="M372" s="6">
        <v>22356</v>
      </c>
      <c r="N372" s="6">
        <v>3251</v>
      </c>
      <c r="O372" s="4">
        <v>37</v>
      </c>
      <c r="P372" s="5">
        <v>45584</v>
      </c>
      <c r="Q372" s="4" t="s">
        <v>33</v>
      </c>
      <c r="R372" s="4" t="s">
        <v>33</v>
      </c>
      <c r="S372" s="4" t="s">
        <v>34</v>
      </c>
      <c r="T372" s="7">
        <v>6.8766999999999996</v>
      </c>
      <c r="U372" s="8">
        <v>98</v>
      </c>
      <c r="V372" s="8">
        <v>2024</v>
      </c>
      <c r="W372" s="4" t="s">
        <v>168</v>
      </c>
    </row>
    <row r="373" spans="1:23" s="9" customFormat="1" ht="15.75" hidden="1" customHeight="1" x14ac:dyDescent="0.25">
      <c r="A373" s="10" t="s">
        <v>1177</v>
      </c>
      <c r="B373" s="10" t="s">
        <v>1178</v>
      </c>
      <c r="C373" s="10" t="s">
        <v>1179</v>
      </c>
      <c r="D373" s="22" t="s">
        <v>6087</v>
      </c>
      <c r="E373" s="10" t="s">
        <v>87</v>
      </c>
      <c r="F373" s="10" t="s">
        <v>65</v>
      </c>
      <c r="G373" s="10" t="s">
        <v>57</v>
      </c>
      <c r="H373" s="10" t="s">
        <v>29</v>
      </c>
      <c r="I373" s="11">
        <v>45259</v>
      </c>
      <c r="J373" s="10" t="s">
        <v>30</v>
      </c>
      <c r="K373" s="11">
        <v>45547</v>
      </c>
      <c r="L373" s="10" t="s">
        <v>31</v>
      </c>
      <c r="M373" s="12">
        <v>9657</v>
      </c>
      <c r="N373" s="12">
        <v>594</v>
      </c>
      <c r="O373" s="10" t="s">
        <v>32</v>
      </c>
      <c r="P373" s="10" t="s">
        <v>32</v>
      </c>
      <c r="Q373" s="10" t="s">
        <v>33</v>
      </c>
      <c r="R373" s="10" t="s">
        <v>33</v>
      </c>
      <c r="S373" s="10" t="s">
        <v>41</v>
      </c>
      <c r="T373" s="13">
        <v>16.2576</v>
      </c>
      <c r="U373" s="14">
        <v>288</v>
      </c>
      <c r="V373" s="14">
        <v>2024</v>
      </c>
      <c r="W373" s="10" t="s">
        <v>168</v>
      </c>
    </row>
    <row r="374" spans="1:23" s="9" customFormat="1" ht="15.75" hidden="1" customHeight="1" x14ac:dyDescent="0.25">
      <c r="A374" s="4" t="s">
        <v>1180</v>
      </c>
      <c r="B374" s="4" t="s">
        <v>1181</v>
      </c>
      <c r="C374" s="4" t="s">
        <v>1182</v>
      </c>
      <c r="D374" s="21" t="s">
        <v>6088</v>
      </c>
      <c r="E374" s="4" t="s">
        <v>51</v>
      </c>
      <c r="F374" s="4" t="s">
        <v>65</v>
      </c>
      <c r="G374" s="4" t="s">
        <v>57</v>
      </c>
      <c r="H374" s="4" t="s">
        <v>58</v>
      </c>
      <c r="I374" s="5">
        <v>45061</v>
      </c>
      <c r="J374" s="4" t="s">
        <v>30</v>
      </c>
      <c r="K374" s="5">
        <v>45368</v>
      </c>
      <c r="L374" s="4" t="s">
        <v>59</v>
      </c>
      <c r="M374" s="6">
        <v>47200</v>
      </c>
      <c r="N374" s="6">
        <v>8088</v>
      </c>
      <c r="O374" s="4">
        <v>14</v>
      </c>
      <c r="P374" s="5">
        <v>45382</v>
      </c>
      <c r="Q374" s="4" t="s">
        <v>33</v>
      </c>
      <c r="R374" s="4" t="s">
        <v>33</v>
      </c>
      <c r="S374" s="4" t="s">
        <v>34</v>
      </c>
      <c r="T374" s="7">
        <v>5.8357999999999999</v>
      </c>
      <c r="U374" s="8">
        <v>307</v>
      </c>
      <c r="V374" s="8">
        <v>2024</v>
      </c>
      <c r="W374" s="4" t="s">
        <v>77</v>
      </c>
    </row>
    <row r="375" spans="1:23" s="9" customFormat="1" ht="15.75" hidden="1" customHeight="1" x14ac:dyDescent="0.25">
      <c r="A375" s="10" t="s">
        <v>1183</v>
      </c>
      <c r="B375" s="10" t="s">
        <v>1184</v>
      </c>
      <c r="C375" s="10" t="s">
        <v>1185</v>
      </c>
      <c r="D375" s="21" t="s">
        <v>6086</v>
      </c>
      <c r="E375" s="10" t="s">
        <v>51</v>
      </c>
      <c r="F375" s="10" t="s">
        <v>27</v>
      </c>
      <c r="G375" s="10" t="s">
        <v>57</v>
      </c>
      <c r="H375" s="10" t="s">
        <v>93</v>
      </c>
      <c r="I375" s="11">
        <v>45141</v>
      </c>
      <c r="J375" s="10" t="s">
        <v>40</v>
      </c>
      <c r="K375" s="11">
        <v>45494</v>
      </c>
      <c r="L375" s="10" t="s">
        <v>59</v>
      </c>
      <c r="M375" s="12">
        <v>44588</v>
      </c>
      <c r="N375" s="12">
        <v>2664</v>
      </c>
      <c r="O375" s="10">
        <v>31</v>
      </c>
      <c r="P375" s="11">
        <v>45525</v>
      </c>
      <c r="Q375" s="10" t="s">
        <v>33</v>
      </c>
      <c r="R375" s="10" t="s">
        <v>33</v>
      </c>
      <c r="S375" s="10" t="s">
        <v>60</v>
      </c>
      <c r="T375" s="13">
        <v>16.737200000000001</v>
      </c>
      <c r="U375" s="14">
        <v>353</v>
      </c>
      <c r="V375" s="14">
        <v>2024</v>
      </c>
      <c r="W375" s="10" t="s">
        <v>42</v>
      </c>
    </row>
    <row r="376" spans="1:23" s="9" customFormat="1" ht="15.75" hidden="1" customHeight="1" x14ac:dyDescent="0.25">
      <c r="A376" s="4" t="s">
        <v>1186</v>
      </c>
      <c r="B376" s="4" t="s">
        <v>1187</v>
      </c>
      <c r="C376" s="4" t="s">
        <v>1188</v>
      </c>
      <c r="D376" s="21" t="s">
        <v>6088</v>
      </c>
      <c r="E376" s="4" t="s">
        <v>26</v>
      </c>
      <c r="F376" s="4" t="s">
        <v>65</v>
      </c>
      <c r="G376" s="4" t="s">
        <v>5</v>
      </c>
      <c r="H376" s="4" t="s">
        <v>29</v>
      </c>
      <c r="I376" s="5">
        <v>45057</v>
      </c>
      <c r="J376" s="4" t="s">
        <v>40</v>
      </c>
      <c r="K376" s="5">
        <v>45354</v>
      </c>
      <c r="L376" s="4" t="s">
        <v>59</v>
      </c>
      <c r="M376" s="6">
        <v>28976</v>
      </c>
      <c r="N376" s="6">
        <v>4964</v>
      </c>
      <c r="O376" s="4">
        <v>2</v>
      </c>
      <c r="P376" s="5">
        <v>45356</v>
      </c>
      <c r="Q376" s="4" t="s">
        <v>94</v>
      </c>
      <c r="R376" s="4" t="s">
        <v>33</v>
      </c>
      <c r="S376" s="4" t="s">
        <v>41</v>
      </c>
      <c r="T376" s="7">
        <v>5.8372000000000002</v>
      </c>
      <c r="U376" s="8">
        <v>297</v>
      </c>
      <c r="V376" s="8">
        <v>2024</v>
      </c>
      <c r="W376" s="4" t="s">
        <v>77</v>
      </c>
    </row>
    <row r="377" spans="1:23" s="9" customFormat="1" ht="15.75" hidden="1" customHeight="1" x14ac:dyDescent="0.25">
      <c r="A377" s="10" t="s">
        <v>1189</v>
      </c>
      <c r="B377" s="10" t="s">
        <v>1190</v>
      </c>
      <c r="C377" s="10" t="s">
        <v>1191</v>
      </c>
      <c r="D377" s="21" t="s">
        <v>6089</v>
      </c>
      <c r="E377" s="10" t="s">
        <v>26</v>
      </c>
      <c r="F377" s="10" t="s">
        <v>71</v>
      </c>
      <c r="G377" s="10" t="s">
        <v>28</v>
      </c>
      <c r="H377" s="10" t="s">
        <v>39</v>
      </c>
      <c r="I377" s="11">
        <v>45144</v>
      </c>
      <c r="J377" s="10" t="s">
        <v>30</v>
      </c>
      <c r="K377" s="11">
        <v>45421</v>
      </c>
      <c r="L377" s="10" t="s">
        <v>59</v>
      </c>
      <c r="M377" s="12">
        <v>26937</v>
      </c>
      <c r="N377" s="12">
        <v>1295</v>
      </c>
      <c r="O377" s="10">
        <v>4</v>
      </c>
      <c r="P377" s="11">
        <v>45425</v>
      </c>
      <c r="Q377" s="10" t="s">
        <v>33</v>
      </c>
      <c r="R377" s="10" t="s">
        <v>33</v>
      </c>
      <c r="S377" s="10" t="s">
        <v>34</v>
      </c>
      <c r="T377" s="13">
        <v>20.800799999999999</v>
      </c>
      <c r="U377" s="14">
        <v>277</v>
      </c>
      <c r="V377" s="14">
        <v>2024</v>
      </c>
      <c r="W377" s="10" t="s">
        <v>52</v>
      </c>
    </row>
    <row r="378" spans="1:23" s="9" customFormat="1" ht="15.75" hidden="1" customHeight="1" x14ac:dyDescent="0.25">
      <c r="A378" s="4" t="s">
        <v>1192</v>
      </c>
      <c r="B378" s="4" t="s">
        <v>1193</v>
      </c>
      <c r="C378" s="4" t="s">
        <v>1194</v>
      </c>
      <c r="D378" s="22" t="s">
        <v>6090</v>
      </c>
      <c r="E378" s="4" t="s">
        <v>87</v>
      </c>
      <c r="F378" s="4" t="s">
        <v>65</v>
      </c>
      <c r="G378" s="4" t="s">
        <v>5</v>
      </c>
      <c r="H378" s="4" t="s">
        <v>118</v>
      </c>
      <c r="I378" s="5">
        <v>45432</v>
      </c>
      <c r="J378" s="4" t="s">
        <v>30</v>
      </c>
      <c r="K378" s="5">
        <v>45562</v>
      </c>
      <c r="L378" s="4" t="s">
        <v>59</v>
      </c>
      <c r="M378" s="6">
        <v>18620</v>
      </c>
      <c r="N378" s="6">
        <v>1407</v>
      </c>
      <c r="O378" s="4">
        <v>28</v>
      </c>
      <c r="P378" s="5">
        <v>45590</v>
      </c>
      <c r="Q378" s="4" t="s">
        <v>33</v>
      </c>
      <c r="R378" s="4" t="s">
        <v>33</v>
      </c>
      <c r="S378" s="4" t="s">
        <v>34</v>
      </c>
      <c r="T378" s="7">
        <v>13.2338</v>
      </c>
      <c r="U378" s="8">
        <v>130</v>
      </c>
      <c r="V378" s="8">
        <v>2024</v>
      </c>
      <c r="W378" s="4" t="s">
        <v>168</v>
      </c>
    </row>
    <row r="379" spans="1:23" s="9" customFormat="1" ht="15.75" hidden="1" customHeight="1" x14ac:dyDescent="0.25">
      <c r="A379" s="10" t="s">
        <v>1195</v>
      </c>
      <c r="B379" s="10" t="s">
        <v>1196</v>
      </c>
      <c r="C379" s="10" t="s">
        <v>1197</v>
      </c>
      <c r="D379" s="21" t="s">
        <v>6088</v>
      </c>
      <c r="E379" s="10" t="s">
        <v>87</v>
      </c>
      <c r="F379" s="10" t="s">
        <v>27</v>
      </c>
      <c r="G379" s="10" t="s">
        <v>57</v>
      </c>
      <c r="H379" s="10" t="s">
        <v>58</v>
      </c>
      <c r="I379" s="11">
        <v>45424</v>
      </c>
      <c r="J379" s="10" t="s">
        <v>40</v>
      </c>
      <c r="K379" s="11">
        <v>45556</v>
      </c>
      <c r="L379" s="10" t="s">
        <v>59</v>
      </c>
      <c r="M379" s="12">
        <v>47613</v>
      </c>
      <c r="N379" s="12">
        <v>750</v>
      </c>
      <c r="O379" s="10">
        <v>25</v>
      </c>
      <c r="P379" s="11">
        <v>45581</v>
      </c>
      <c r="Q379" s="10" t="s">
        <v>33</v>
      </c>
      <c r="R379" s="10" t="s">
        <v>33</v>
      </c>
      <c r="S379" s="10" t="s">
        <v>34</v>
      </c>
      <c r="T379" s="13">
        <v>63.484000000000002</v>
      </c>
      <c r="U379" s="14">
        <v>132</v>
      </c>
      <c r="V379" s="14">
        <v>2024</v>
      </c>
      <c r="W379" s="10" t="s">
        <v>168</v>
      </c>
    </row>
    <row r="380" spans="1:23" s="9" customFormat="1" ht="15.75" hidden="1" customHeight="1" x14ac:dyDescent="0.25">
      <c r="A380" s="4" t="s">
        <v>1198</v>
      </c>
      <c r="B380" s="4" t="s">
        <v>1199</v>
      </c>
      <c r="C380" s="4" t="s">
        <v>1200</v>
      </c>
      <c r="D380" s="22" t="s">
        <v>6090</v>
      </c>
      <c r="E380" s="4" t="s">
        <v>26</v>
      </c>
      <c r="F380" s="4" t="s">
        <v>56</v>
      </c>
      <c r="G380" s="4" t="s">
        <v>57</v>
      </c>
      <c r="H380" s="4" t="s">
        <v>29</v>
      </c>
      <c r="I380" s="5">
        <v>45435</v>
      </c>
      <c r="J380" s="4" t="s">
        <v>40</v>
      </c>
      <c r="K380" s="5">
        <v>45539</v>
      </c>
      <c r="L380" s="4" t="s">
        <v>59</v>
      </c>
      <c r="M380" s="6">
        <v>51921</v>
      </c>
      <c r="N380" s="6">
        <v>2694</v>
      </c>
      <c r="O380" s="4">
        <v>34</v>
      </c>
      <c r="P380" s="5">
        <v>45573</v>
      </c>
      <c r="Q380" s="4" t="s">
        <v>33</v>
      </c>
      <c r="R380" s="4" t="s">
        <v>33</v>
      </c>
      <c r="S380" s="4" t="s">
        <v>41</v>
      </c>
      <c r="T380" s="7">
        <v>19.2728</v>
      </c>
      <c r="U380" s="8">
        <v>104</v>
      </c>
      <c r="V380" s="8">
        <v>2024</v>
      </c>
      <c r="W380" s="4" t="s">
        <v>168</v>
      </c>
    </row>
    <row r="381" spans="1:23" s="9" customFormat="1" ht="15.75" hidden="1" customHeight="1" x14ac:dyDescent="0.25">
      <c r="A381" s="10" t="s">
        <v>1201</v>
      </c>
      <c r="B381" s="10" t="s">
        <v>1202</v>
      </c>
      <c r="C381" s="10" t="s">
        <v>1203</v>
      </c>
      <c r="D381" s="21" t="s">
        <v>6088</v>
      </c>
      <c r="E381" s="10" t="s">
        <v>87</v>
      </c>
      <c r="F381" s="10" t="s">
        <v>71</v>
      </c>
      <c r="G381" s="10" t="s">
        <v>28</v>
      </c>
      <c r="H381" s="10" t="s">
        <v>118</v>
      </c>
      <c r="I381" s="11">
        <v>45312</v>
      </c>
      <c r="J381" s="10" t="s">
        <v>40</v>
      </c>
      <c r="K381" s="11">
        <v>45426</v>
      </c>
      <c r="L381" s="10" t="s">
        <v>59</v>
      </c>
      <c r="M381" s="12">
        <v>16284</v>
      </c>
      <c r="N381" s="12">
        <v>3597</v>
      </c>
      <c r="O381" s="10">
        <v>29</v>
      </c>
      <c r="P381" s="11">
        <v>45455</v>
      </c>
      <c r="Q381" s="10" t="s">
        <v>33</v>
      </c>
      <c r="R381" s="10" t="s">
        <v>33</v>
      </c>
      <c r="S381" s="10" t="s">
        <v>34</v>
      </c>
      <c r="T381" s="13">
        <v>4.5270999999999999</v>
      </c>
      <c r="U381" s="14">
        <v>114</v>
      </c>
      <c r="V381" s="14">
        <v>2024</v>
      </c>
      <c r="W381" s="10" t="s">
        <v>52</v>
      </c>
    </row>
    <row r="382" spans="1:23" s="9" customFormat="1" ht="15.75" hidden="1" customHeight="1" x14ac:dyDescent="0.25">
      <c r="A382" s="4" t="s">
        <v>1204</v>
      </c>
      <c r="B382" s="4" t="s">
        <v>1205</v>
      </c>
      <c r="C382" s="4" t="s">
        <v>1206</v>
      </c>
      <c r="D382" s="22" t="s">
        <v>6087</v>
      </c>
      <c r="E382" s="4" t="s">
        <v>87</v>
      </c>
      <c r="F382" s="4" t="s">
        <v>65</v>
      </c>
      <c r="G382" s="4" t="s">
        <v>5</v>
      </c>
      <c r="H382" s="4" t="s">
        <v>161</v>
      </c>
      <c r="I382" s="5">
        <v>45029</v>
      </c>
      <c r="J382" s="4" t="s">
        <v>40</v>
      </c>
      <c r="K382" s="5">
        <v>45327</v>
      </c>
      <c r="L382" s="4" t="s">
        <v>59</v>
      </c>
      <c r="M382" s="6">
        <v>13994</v>
      </c>
      <c r="N382" s="6">
        <v>3204</v>
      </c>
      <c r="O382" s="4">
        <v>3</v>
      </c>
      <c r="P382" s="5">
        <v>45330</v>
      </c>
      <c r="Q382" s="4" t="s">
        <v>33</v>
      </c>
      <c r="R382" s="4" t="s">
        <v>33</v>
      </c>
      <c r="S382" s="4" t="s">
        <v>34</v>
      </c>
      <c r="T382" s="7">
        <v>4.3677000000000001</v>
      </c>
      <c r="U382" s="8">
        <v>298</v>
      </c>
      <c r="V382" s="8">
        <v>2024</v>
      </c>
      <c r="W382" s="4" t="s">
        <v>35</v>
      </c>
    </row>
    <row r="383" spans="1:23" s="9" customFormat="1" ht="15.75" hidden="1" customHeight="1" x14ac:dyDescent="0.25">
      <c r="A383" s="10" t="s">
        <v>1207</v>
      </c>
      <c r="B383" s="10" t="s">
        <v>1208</v>
      </c>
      <c r="C383" s="10" t="s">
        <v>1209</v>
      </c>
      <c r="D383" s="21" t="s">
        <v>6089</v>
      </c>
      <c r="E383" s="10" t="s">
        <v>51</v>
      </c>
      <c r="F383" s="10" t="s">
        <v>65</v>
      </c>
      <c r="G383" s="10" t="s">
        <v>57</v>
      </c>
      <c r="H383" s="10" t="s">
        <v>118</v>
      </c>
      <c r="I383" s="11">
        <v>45070</v>
      </c>
      <c r="J383" s="10" t="s">
        <v>40</v>
      </c>
      <c r="K383" s="11">
        <v>45352</v>
      </c>
      <c r="L383" s="10" t="s">
        <v>59</v>
      </c>
      <c r="M383" s="12">
        <v>67716</v>
      </c>
      <c r="N383" s="12">
        <v>6798</v>
      </c>
      <c r="O383" s="10">
        <v>31</v>
      </c>
      <c r="P383" s="11">
        <v>45383</v>
      </c>
      <c r="Q383" s="10" t="s">
        <v>33</v>
      </c>
      <c r="R383" s="10" t="s">
        <v>33</v>
      </c>
      <c r="S383" s="10" t="s">
        <v>34</v>
      </c>
      <c r="T383" s="13">
        <v>9.9611999999999998</v>
      </c>
      <c r="U383" s="14">
        <v>282</v>
      </c>
      <c r="V383" s="14">
        <v>2024</v>
      </c>
      <c r="W383" s="10" t="s">
        <v>77</v>
      </c>
    </row>
    <row r="384" spans="1:23" s="9" customFormat="1" ht="15.75" hidden="1" customHeight="1" x14ac:dyDescent="0.25">
      <c r="A384" s="4" t="s">
        <v>1210</v>
      </c>
      <c r="B384" s="4" t="s">
        <v>1211</v>
      </c>
      <c r="C384" s="4" t="s">
        <v>1212</v>
      </c>
      <c r="D384" s="21" t="s">
        <v>6086</v>
      </c>
      <c r="E384" s="4" t="s">
        <v>26</v>
      </c>
      <c r="F384" s="4" t="s">
        <v>56</v>
      </c>
      <c r="G384" s="4" t="s">
        <v>5</v>
      </c>
      <c r="H384" s="4" t="s">
        <v>29</v>
      </c>
      <c r="I384" s="5">
        <v>45187</v>
      </c>
      <c r="J384" s="4" t="s">
        <v>40</v>
      </c>
      <c r="K384" s="5">
        <v>45490</v>
      </c>
      <c r="L384" s="4" t="s">
        <v>59</v>
      </c>
      <c r="M384" s="6">
        <v>20592</v>
      </c>
      <c r="N384" s="6">
        <v>5667</v>
      </c>
      <c r="O384" s="4">
        <v>30</v>
      </c>
      <c r="P384" s="5">
        <v>45520</v>
      </c>
      <c r="Q384" s="4" t="s">
        <v>33</v>
      </c>
      <c r="R384" s="4" t="s">
        <v>33</v>
      </c>
      <c r="S384" s="4" t="s">
        <v>34</v>
      </c>
      <c r="T384" s="7">
        <v>3.6337000000000002</v>
      </c>
      <c r="U384" s="8">
        <v>303</v>
      </c>
      <c r="V384" s="8">
        <v>2024</v>
      </c>
      <c r="W384" s="4" t="s">
        <v>42</v>
      </c>
    </row>
    <row r="385" spans="1:23" s="9" customFormat="1" ht="15.75" hidden="1" customHeight="1" x14ac:dyDescent="0.25">
      <c r="A385" s="10" t="s">
        <v>1213</v>
      </c>
      <c r="B385" s="10" t="s">
        <v>1214</v>
      </c>
      <c r="C385" s="10" t="s">
        <v>1215</v>
      </c>
      <c r="D385" s="22" t="s">
        <v>6087</v>
      </c>
      <c r="E385" s="10" t="s">
        <v>51</v>
      </c>
      <c r="F385" s="21" t="s">
        <v>6092</v>
      </c>
      <c r="G385" s="10" t="s">
        <v>28</v>
      </c>
      <c r="H385" s="10" t="s">
        <v>118</v>
      </c>
      <c r="I385" s="11">
        <v>45134</v>
      </c>
      <c r="J385" s="10" t="s">
        <v>30</v>
      </c>
      <c r="K385" s="11">
        <v>45490</v>
      </c>
      <c r="L385" s="10" t="s">
        <v>59</v>
      </c>
      <c r="M385" s="12">
        <v>38859</v>
      </c>
      <c r="N385" s="12">
        <v>1938</v>
      </c>
      <c r="O385" s="10">
        <v>44</v>
      </c>
      <c r="P385" s="11">
        <v>45534</v>
      </c>
      <c r="Q385" s="10" t="s">
        <v>33</v>
      </c>
      <c r="R385" s="10" t="s">
        <v>33</v>
      </c>
      <c r="S385" s="10" t="s">
        <v>60</v>
      </c>
      <c r="T385" s="13">
        <v>20.051100000000002</v>
      </c>
      <c r="U385" s="14">
        <v>356</v>
      </c>
      <c r="V385" s="14">
        <v>2024</v>
      </c>
      <c r="W385" s="10" t="s">
        <v>42</v>
      </c>
    </row>
    <row r="386" spans="1:23" s="9" customFormat="1" ht="15.75" hidden="1" customHeight="1" x14ac:dyDescent="0.25">
      <c r="A386" s="4" t="s">
        <v>1216</v>
      </c>
      <c r="B386" s="4" t="s">
        <v>1217</v>
      </c>
      <c r="C386" s="4" t="s">
        <v>1218</v>
      </c>
      <c r="D386" s="21" t="s">
        <v>6086</v>
      </c>
      <c r="E386" s="4" t="s">
        <v>87</v>
      </c>
      <c r="F386" s="4" t="s">
        <v>71</v>
      </c>
      <c r="G386" s="4" t="s">
        <v>57</v>
      </c>
      <c r="H386" s="4" t="s">
        <v>29</v>
      </c>
      <c r="I386" s="5">
        <v>45263</v>
      </c>
      <c r="J386" s="4" t="s">
        <v>40</v>
      </c>
      <c r="K386" s="5">
        <v>45531</v>
      </c>
      <c r="L386" s="4" t="s">
        <v>59</v>
      </c>
      <c r="M386" s="6">
        <v>87187</v>
      </c>
      <c r="N386" s="6">
        <v>2604</v>
      </c>
      <c r="O386" s="4">
        <v>10</v>
      </c>
      <c r="P386" s="5">
        <v>45541</v>
      </c>
      <c r="Q386" s="4" t="s">
        <v>33</v>
      </c>
      <c r="R386" s="4" t="s">
        <v>33</v>
      </c>
      <c r="S386" s="4" t="s">
        <v>34</v>
      </c>
      <c r="T386" s="7">
        <v>33.481999999999999</v>
      </c>
      <c r="U386" s="8">
        <v>268</v>
      </c>
      <c r="V386" s="8">
        <v>2024</v>
      </c>
      <c r="W386" s="4" t="s">
        <v>114</v>
      </c>
    </row>
    <row r="387" spans="1:23" s="9" customFormat="1" ht="15.75" hidden="1" customHeight="1" x14ac:dyDescent="0.25">
      <c r="A387" s="10" t="s">
        <v>1219</v>
      </c>
      <c r="B387" s="10" t="s">
        <v>1220</v>
      </c>
      <c r="C387" s="10" t="s">
        <v>1221</v>
      </c>
      <c r="D387" s="22" t="s">
        <v>6090</v>
      </c>
      <c r="E387" s="10" t="s">
        <v>87</v>
      </c>
      <c r="F387" s="10" t="s">
        <v>71</v>
      </c>
      <c r="G387" s="10" t="s">
        <v>5</v>
      </c>
      <c r="H387" s="10" t="s">
        <v>93</v>
      </c>
      <c r="I387" s="11">
        <v>45178</v>
      </c>
      <c r="J387" s="10" t="s">
        <v>30</v>
      </c>
      <c r="K387" s="11">
        <v>45348</v>
      </c>
      <c r="L387" s="10" t="s">
        <v>59</v>
      </c>
      <c r="M387" s="12">
        <v>16844</v>
      </c>
      <c r="N387" s="12">
        <v>6345</v>
      </c>
      <c r="O387" s="10">
        <v>36</v>
      </c>
      <c r="P387" s="11">
        <v>45384</v>
      </c>
      <c r="Q387" s="10" t="s">
        <v>33</v>
      </c>
      <c r="R387" s="10" t="s">
        <v>33</v>
      </c>
      <c r="S387" s="10" t="s">
        <v>34</v>
      </c>
      <c r="T387" s="13">
        <v>2.6547000000000001</v>
      </c>
      <c r="U387" s="14">
        <v>170</v>
      </c>
      <c r="V387" s="14">
        <v>2024</v>
      </c>
      <c r="W387" s="10" t="s">
        <v>35</v>
      </c>
    </row>
    <row r="388" spans="1:23" s="9" customFormat="1" ht="15.75" hidden="1" customHeight="1" x14ac:dyDescent="0.25">
      <c r="A388" s="4" t="s">
        <v>1222</v>
      </c>
      <c r="B388" s="4" t="s">
        <v>1223</v>
      </c>
      <c r="C388" s="4" t="s">
        <v>1224</v>
      </c>
      <c r="D388" s="22" t="s">
        <v>6090</v>
      </c>
      <c r="E388" s="4" t="s">
        <v>51</v>
      </c>
      <c r="F388" s="4" t="s">
        <v>46</v>
      </c>
      <c r="G388" s="4" t="s">
        <v>28</v>
      </c>
      <c r="H388" s="4" t="s">
        <v>58</v>
      </c>
      <c r="I388" s="5">
        <v>45404</v>
      </c>
      <c r="J388" s="4" t="s">
        <v>30</v>
      </c>
      <c r="K388" s="5">
        <v>45583</v>
      </c>
      <c r="L388" s="4" t="s">
        <v>59</v>
      </c>
      <c r="M388" s="6">
        <v>50996</v>
      </c>
      <c r="N388" s="6">
        <v>5583</v>
      </c>
      <c r="O388" s="4">
        <v>43</v>
      </c>
      <c r="P388" s="5">
        <v>45626</v>
      </c>
      <c r="Q388" s="4" t="s">
        <v>33</v>
      </c>
      <c r="R388" s="4" t="s">
        <v>33</v>
      </c>
      <c r="S388" s="4" t="s">
        <v>41</v>
      </c>
      <c r="T388" s="7">
        <v>9.1341999999999999</v>
      </c>
      <c r="U388" s="8">
        <v>179</v>
      </c>
      <c r="V388" s="8">
        <v>2024</v>
      </c>
      <c r="W388" s="4" t="s">
        <v>95</v>
      </c>
    </row>
    <row r="389" spans="1:23" s="9" customFormat="1" ht="15.75" hidden="1" customHeight="1" x14ac:dyDescent="0.25">
      <c r="A389" s="10" t="s">
        <v>1225</v>
      </c>
      <c r="B389" s="10" t="s">
        <v>1226</v>
      </c>
      <c r="C389" s="10" t="s">
        <v>1227</v>
      </c>
      <c r="D389" s="21" t="s">
        <v>6089</v>
      </c>
      <c r="E389" s="10" t="s">
        <v>51</v>
      </c>
      <c r="F389" s="10" t="s">
        <v>46</v>
      </c>
      <c r="G389" s="10" t="s">
        <v>28</v>
      </c>
      <c r="H389" s="10" t="s">
        <v>29</v>
      </c>
      <c r="I389" s="11">
        <v>45117</v>
      </c>
      <c r="J389" s="10" t="s">
        <v>30</v>
      </c>
      <c r="K389" s="11">
        <v>45384</v>
      </c>
      <c r="L389" s="10" t="s">
        <v>59</v>
      </c>
      <c r="M389" s="12">
        <v>41215</v>
      </c>
      <c r="N389" s="12">
        <v>8094</v>
      </c>
      <c r="O389" s="10">
        <v>45</v>
      </c>
      <c r="P389" s="11">
        <v>45429</v>
      </c>
      <c r="Q389" s="10" t="s">
        <v>33</v>
      </c>
      <c r="R389" s="10" t="s">
        <v>33</v>
      </c>
      <c r="S389" s="10" t="s">
        <v>60</v>
      </c>
      <c r="T389" s="13">
        <v>5.0919999999999996</v>
      </c>
      <c r="U389" s="14">
        <v>267</v>
      </c>
      <c r="V389" s="14">
        <v>2024</v>
      </c>
      <c r="W389" s="10" t="s">
        <v>47</v>
      </c>
    </row>
    <row r="390" spans="1:23" s="9" customFormat="1" ht="27.75" hidden="1" customHeight="1" x14ac:dyDescent="0.25">
      <c r="A390" s="4" t="s">
        <v>1228</v>
      </c>
      <c r="B390" s="4" t="s">
        <v>1229</v>
      </c>
      <c r="C390" s="4" t="s">
        <v>1230</v>
      </c>
      <c r="D390" s="21" t="s">
        <v>6091</v>
      </c>
      <c r="E390" s="4" t="s">
        <v>87</v>
      </c>
      <c r="F390" s="4" t="s">
        <v>27</v>
      </c>
      <c r="G390" s="4" t="s">
        <v>57</v>
      </c>
      <c r="H390" s="4" t="s">
        <v>88</v>
      </c>
      <c r="I390" s="5">
        <v>45095</v>
      </c>
      <c r="J390" s="4" t="s">
        <v>30</v>
      </c>
      <c r="K390" s="5">
        <v>45387</v>
      </c>
      <c r="L390" s="4" t="s">
        <v>31</v>
      </c>
      <c r="M390" s="6">
        <v>15308</v>
      </c>
      <c r="N390" s="6">
        <v>1123</v>
      </c>
      <c r="O390" s="4" t="s">
        <v>32</v>
      </c>
      <c r="P390" s="4" t="s">
        <v>32</v>
      </c>
      <c r="Q390" s="4" t="s">
        <v>94</v>
      </c>
      <c r="R390" s="4" t="s">
        <v>94</v>
      </c>
      <c r="S390" s="4" t="s">
        <v>34</v>
      </c>
      <c r="T390" s="7">
        <v>13.6313</v>
      </c>
      <c r="U390" s="8">
        <v>292</v>
      </c>
      <c r="V390" s="8">
        <v>2024</v>
      </c>
      <c r="W390" s="4" t="s">
        <v>47</v>
      </c>
    </row>
    <row r="391" spans="1:23" s="9" customFormat="1" ht="27.75" customHeight="1" x14ac:dyDescent="0.25">
      <c r="A391" s="10" t="s">
        <v>1231</v>
      </c>
      <c r="B391" s="10" t="s">
        <v>1232</v>
      </c>
      <c r="C391" s="10" t="s">
        <v>1233</v>
      </c>
      <c r="D391" s="21" t="s">
        <v>6088</v>
      </c>
      <c r="E391" s="10" t="s">
        <v>87</v>
      </c>
      <c r="F391" s="10" t="s">
        <v>6092</v>
      </c>
      <c r="G391" s="10" t="s">
        <v>5</v>
      </c>
      <c r="H391" s="10" t="s">
        <v>58</v>
      </c>
      <c r="I391" s="11">
        <v>45237</v>
      </c>
      <c r="J391" s="10" t="s">
        <v>30</v>
      </c>
      <c r="K391" s="11">
        <v>45512</v>
      </c>
      <c r="L391" s="10" t="s">
        <v>59</v>
      </c>
      <c r="M391" s="12">
        <v>30963</v>
      </c>
      <c r="N391" s="12">
        <v>4388</v>
      </c>
      <c r="O391" s="10">
        <v>4</v>
      </c>
      <c r="P391" s="11">
        <v>45516</v>
      </c>
      <c r="Q391" s="10" t="s">
        <v>94</v>
      </c>
      <c r="R391" s="10" t="s">
        <v>94</v>
      </c>
      <c r="S391" s="10" t="s">
        <v>60</v>
      </c>
      <c r="T391" s="13">
        <v>7.0563000000000002</v>
      </c>
      <c r="U391" s="14">
        <v>275</v>
      </c>
      <c r="V391" s="14">
        <v>2024</v>
      </c>
      <c r="W391" s="10" t="s">
        <v>114</v>
      </c>
    </row>
    <row r="392" spans="1:23" s="9" customFormat="1" ht="15.75" hidden="1" customHeight="1" x14ac:dyDescent="0.25">
      <c r="A392" s="4" t="s">
        <v>1234</v>
      </c>
      <c r="B392" s="4" t="s">
        <v>1235</v>
      </c>
      <c r="C392" s="4" t="s">
        <v>1236</v>
      </c>
      <c r="D392" s="21" t="s">
        <v>6088</v>
      </c>
      <c r="E392" s="4" t="s">
        <v>26</v>
      </c>
      <c r="F392" s="21" t="s">
        <v>6092</v>
      </c>
      <c r="G392" s="4" t="s">
        <v>57</v>
      </c>
      <c r="H392" s="4" t="s">
        <v>118</v>
      </c>
      <c r="I392" s="5">
        <v>45256</v>
      </c>
      <c r="J392" s="4" t="s">
        <v>30</v>
      </c>
      <c r="K392" s="5">
        <v>45356</v>
      </c>
      <c r="L392" s="4" t="s">
        <v>31</v>
      </c>
      <c r="M392" s="6">
        <v>22788</v>
      </c>
      <c r="N392" s="6">
        <v>7983</v>
      </c>
      <c r="O392" s="4" t="s">
        <v>32</v>
      </c>
      <c r="P392" s="4" t="s">
        <v>32</v>
      </c>
      <c r="Q392" s="4" t="s">
        <v>33</v>
      </c>
      <c r="R392" s="4" t="s">
        <v>33</v>
      </c>
      <c r="S392" s="4" t="s">
        <v>34</v>
      </c>
      <c r="T392" s="7">
        <v>2.8546</v>
      </c>
      <c r="U392" s="8">
        <v>100</v>
      </c>
      <c r="V392" s="8">
        <v>2024</v>
      </c>
      <c r="W392" s="4" t="s">
        <v>77</v>
      </c>
    </row>
    <row r="393" spans="1:23" s="9" customFormat="1" ht="15.75" hidden="1" customHeight="1" x14ac:dyDescent="0.25">
      <c r="A393" s="10" t="s">
        <v>1237</v>
      </c>
      <c r="B393" s="10" t="s">
        <v>1238</v>
      </c>
      <c r="C393" s="10" t="s">
        <v>1239</v>
      </c>
      <c r="D393" s="21" t="s">
        <v>6088</v>
      </c>
      <c r="E393" s="10" t="s">
        <v>26</v>
      </c>
      <c r="F393" s="10" t="s">
        <v>56</v>
      </c>
      <c r="G393" s="10" t="s">
        <v>5</v>
      </c>
      <c r="H393" s="10" t="s">
        <v>72</v>
      </c>
      <c r="I393" s="11">
        <v>45157</v>
      </c>
      <c r="J393" s="10" t="s">
        <v>40</v>
      </c>
      <c r="K393" s="11">
        <v>45352</v>
      </c>
      <c r="L393" s="10" t="s">
        <v>66</v>
      </c>
      <c r="M393" s="12">
        <v>54976</v>
      </c>
      <c r="N393" s="12">
        <v>2965</v>
      </c>
      <c r="O393" s="10" t="s">
        <v>32</v>
      </c>
      <c r="P393" s="10" t="s">
        <v>32</v>
      </c>
      <c r="Q393" s="10" t="s">
        <v>33</v>
      </c>
      <c r="R393" s="10" t="s">
        <v>33</v>
      </c>
      <c r="S393" s="10" t="s">
        <v>34</v>
      </c>
      <c r="T393" s="13">
        <v>18.541699999999999</v>
      </c>
      <c r="U393" s="14">
        <v>195</v>
      </c>
      <c r="V393" s="14">
        <v>2024</v>
      </c>
      <c r="W393" s="10" t="s">
        <v>77</v>
      </c>
    </row>
    <row r="394" spans="1:23" s="9" customFormat="1" ht="15.75" hidden="1" customHeight="1" x14ac:dyDescent="0.25">
      <c r="A394" s="4" t="s">
        <v>1240</v>
      </c>
      <c r="B394" s="4" t="s">
        <v>1241</v>
      </c>
      <c r="C394" s="4" t="s">
        <v>1242</v>
      </c>
      <c r="D394" s="22" t="s">
        <v>6087</v>
      </c>
      <c r="E394" s="4" t="s">
        <v>26</v>
      </c>
      <c r="F394" s="4" t="s">
        <v>27</v>
      </c>
      <c r="G394" s="4" t="s">
        <v>57</v>
      </c>
      <c r="H394" s="4" t="s">
        <v>93</v>
      </c>
      <c r="I394" s="5">
        <v>44986</v>
      </c>
      <c r="J394" s="4" t="s">
        <v>40</v>
      </c>
      <c r="K394" s="5">
        <v>45334</v>
      </c>
      <c r="L394" s="4" t="s">
        <v>31</v>
      </c>
      <c r="M394" s="6">
        <v>15401</v>
      </c>
      <c r="N394" s="6">
        <v>8807</v>
      </c>
      <c r="O394" s="4" t="s">
        <v>32</v>
      </c>
      <c r="P394" s="4" t="s">
        <v>32</v>
      </c>
      <c r="Q394" s="4" t="s">
        <v>33</v>
      </c>
      <c r="R394" s="4" t="s">
        <v>33</v>
      </c>
      <c r="S394" s="4" t="s">
        <v>60</v>
      </c>
      <c r="T394" s="7">
        <v>1.7486999999999999</v>
      </c>
      <c r="U394" s="8">
        <v>348</v>
      </c>
      <c r="V394" s="8">
        <v>2024</v>
      </c>
      <c r="W394" s="4" t="s">
        <v>35</v>
      </c>
    </row>
    <row r="395" spans="1:23" s="9" customFormat="1" ht="15.75" hidden="1" customHeight="1" x14ac:dyDescent="0.25">
      <c r="A395" s="10" t="s">
        <v>1243</v>
      </c>
      <c r="B395" s="10" t="s">
        <v>1244</v>
      </c>
      <c r="C395" s="10" t="s">
        <v>1245</v>
      </c>
      <c r="D395" s="21" t="s">
        <v>6089</v>
      </c>
      <c r="E395" s="10" t="s">
        <v>26</v>
      </c>
      <c r="F395" s="21" t="s">
        <v>6092</v>
      </c>
      <c r="G395" s="10" t="s">
        <v>28</v>
      </c>
      <c r="H395" s="10" t="s">
        <v>161</v>
      </c>
      <c r="I395" s="11">
        <v>45243</v>
      </c>
      <c r="J395" s="10" t="s">
        <v>30</v>
      </c>
      <c r="K395" s="11">
        <v>45603</v>
      </c>
      <c r="L395" s="10" t="s">
        <v>66</v>
      </c>
      <c r="M395" s="12">
        <v>40538</v>
      </c>
      <c r="N395" s="12">
        <v>6766</v>
      </c>
      <c r="O395" s="10" t="s">
        <v>32</v>
      </c>
      <c r="P395" s="10" t="s">
        <v>32</v>
      </c>
      <c r="Q395" s="10" t="s">
        <v>33</v>
      </c>
      <c r="R395" s="10" t="s">
        <v>33</v>
      </c>
      <c r="S395" s="10" t="s">
        <v>60</v>
      </c>
      <c r="T395" s="13">
        <v>5.9913999999999996</v>
      </c>
      <c r="U395" s="14">
        <v>360</v>
      </c>
      <c r="V395" s="14">
        <v>2024</v>
      </c>
      <c r="W395" s="10" t="s">
        <v>61</v>
      </c>
    </row>
    <row r="396" spans="1:23" s="9" customFormat="1" ht="15.75" hidden="1" customHeight="1" x14ac:dyDescent="0.25">
      <c r="A396" s="4" t="s">
        <v>1246</v>
      </c>
      <c r="B396" s="4" t="s">
        <v>1247</v>
      </c>
      <c r="C396" s="4" t="s">
        <v>1248</v>
      </c>
      <c r="D396" s="22" t="s">
        <v>6090</v>
      </c>
      <c r="E396" s="4" t="s">
        <v>87</v>
      </c>
      <c r="F396" s="4" t="s">
        <v>46</v>
      </c>
      <c r="G396" s="4" t="s">
        <v>28</v>
      </c>
      <c r="H396" s="4" t="s">
        <v>118</v>
      </c>
      <c r="I396" s="5">
        <v>45414</v>
      </c>
      <c r="J396" s="4" t="s">
        <v>30</v>
      </c>
      <c r="K396" s="5">
        <v>45576</v>
      </c>
      <c r="L396" s="4" t="s">
        <v>59</v>
      </c>
      <c r="M396" s="6">
        <v>50693</v>
      </c>
      <c r="N396" s="6">
        <v>5076</v>
      </c>
      <c r="O396" s="4">
        <v>10</v>
      </c>
      <c r="P396" s="5">
        <v>45586</v>
      </c>
      <c r="Q396" s="4" t="s">
        <v>33</v>
      </c>
      <c r="R396" s="4" t="s">
        <v>33</v>
      </c>
      <c r="S396" s="4" t="s">
        <v>34</v>
      </c>
      <c r="T396" s="7">
        <v>9.9868000000000006</v>
      </c>
      <c r="U396" s="8">
        <v>162</v>
      </c>
      <c r="V396" s="8">
        <v>2024</v>
      </c>
      <c r="W396" s="4" t="s">
        <v>95</v>
      </c>
    </row>
    <row r="397" spans="1:23" s="9" customFormat="1" ht="15.75" hidden="1" customHeight="1" x14ac:dyDescent="0.25">
      <c r="A397" s="10" t="s">
        <v>1249</v>
      </c>
      <c r="B397" s="10" t="s">
        <v>1250</v>
      </c>
      <c r="C397" s="10" t="s">
        <v>1251</v>
      </c>
      <c r="D397" s="21" t="s">
        <v>6088</v>
      </c>
      <c r="E397" s="10" t="s">
        <v>51</v>
      </c>
      <c r="F397" s="21" t="s">
        <v>6092</v>
      </c>
      <c r="G397" s="10" t="s">
        <v>57</v>
      </c>
      <c r="H397" s="10" t="s">
        <v>88</v>
      </c>
      <c r="I397" s="11">
        <v>45243</v>
      </c>
      <c r="J397" s="10" t="s">
        <v>30</v>
      </c>
      <c r="K397" s="11">
        <v>45349</v>
      </c>
      <c r="L397" s="10" t="s">
        <v>66</v>
      </c>
      <c r="M397" s="12">
        <v>47392</v>
      </c>
      <c r="N397" s="12">
        <v>667</v>
      </c>
      <c r="O397" s="10" t="s">
        <v>32</v>
      </c>
      <c r="P397" s="10" t="s">
        <v>32</v>
      </c>
      <c r="Q397" s="10" t="s">
        <v>94</v>
      </c>
      <c r="R397" s="10" t="s">
        <v>33</v>
      </c>
      <c r="S397" s="10" t="s">
        <v>34</v>
      </c>
      <c r="T397" s="13">
        <v>71.052499999999995</v>
      </c>
      <c r="U397" s="14">
        <v>106</v>
      </c>
      <c r="V397" s="14">
        <v>2024</v>
      </c>
      <c r="W397" s="10" t="s">
        <v>35</v>
      </c>
    </row>
    <row r="398" spans="1:23" s="9" customFormat="1" ht="15.75" hidden="1" customHeight="1" x14ac:dyDescent="0.25">
      <c r="A398" s="4" t="s">
        <v>1252</v>
      </c>
      <c r="B398" s="4" t="s">
        <v>1253</v>
      </c>
      <c r="C398" s="4" t="s">
        <v>1254</v>
      </c>
      <c r="D398" s="21" t="s">
        <v>6088</v>
      </c>
      <c r="E398" s="4" t="s">
        <v>87</v>
      </c>
      <c r="F398" s="4" t="s">
        <v>71</v>
      </c>
      <c r="G398" s="4" t="s">
        <v>5</v>
      </c>
      <c r="H398" s="4" t="s">
        <v>118</v>
      </c>
      <c r="I398" s="5">
        <v>45435</v>
      </c>
      <c r="J398" s="4" t="s">
        <v>40</v>
      </c>
      <c r="K398" s="5">
        <v>45617</v>
      </c>
      <c r="L398" s="4" t="s">
        <v>66</v>
      </c>
      <c r="M398" s="6">
        <v>29218</v>
      </c>
      <c r="N398" s="6">
        <v>8599</v>
      </c>
      <c r="O398" s="4" t="s">
        <v>32</v>
      </c>
      <c r="P398" s="4" t="s">
        <v>32</v>
      </c>
      <c r="Q398" s="4" t="s">
        <v>33</v>
      </c>
      <c r="R398" s="4" t="s">
        <v>33</v>
      </c>
      <c r="S398" s="4" t="s">
        <v>34</v>
      </c>
      <c r="T398" s="7">
        <v>3.3978000000000002</v>
      </c>
      <c r="U398" s="8">
        <v>182</v>
      </c>
      <c r="V398" s="8">
        <v>2024</v>
      </c>
      <c r="W398" s="4" t="s">
        <v>61</v>
      </c>
    </row>
    <row r="399" spans="1:23" s="9" customFormat="1" ht="15.75" hidden="1" customHeight="1" x14ac:dyDescent="0.25">
      <c r="A399" s="10" t="s">
        <v>1255</v>
      </c>
      <c r="B399" s="10" t="s">
        <v>1256</v>
      </c>
      <c r="C399" s="10" t="s">
        <v>1257</v>
      </c>
      <c r="D399" s="22" t="s">
        <v>6090</v>
      </c>
      <c r="E399" s="10" t="s">
        <v>87</v>
      </c>
      <c r="F399" s="10" t="s">
        <v>56</v>
      </c>
      <c r="G399" s="10" t="s">
        <v>28</v>
      </c>
      <c r="H399" s="10" t="s">
        <v>88</v>
      </c>
      <c r="I399" s="11">
        <v>45258</v>
      </c>
      <c r="J399" s="10" t="s">
        <v>40</v>
      </c>
      <c r="K399" s="11">
        <v>45449</v>
      </c>
      <c r="L399" s="10" t="s">
        <v>59</v>
      </c>
      <c r="M399" s="12">
        <v>15109</v>
      </c>
      <c r="N399" s="12">
        <v>2757</v>
      </c>
      <c r="O399" s="10">
        <v>42</v>
      </c>
      <c r="P399" s="11">
        <v>45491</v>
      </c>
      <c r="Q399" s="10" t="s">
        <v>33</v>
      </c>
      <c r="R399" s="10" t="s">
        <v>33</v>
      </c>
      <c r="S399" s="10" t="s">
        <v>34</v>
      </c>
      <c r="T399" s="13">
        <v>5.4802</v>
      </c>
      <c r="U399" s="14">
        <v>191</v>
      </c>
      <c r="V399" s="14">
        <v>2024</v>
      </c>
      <c r="W399" s="10" t="s">
        <v>67</v>
      </c>
    </row>
    <row r="400" spans="1:23" s="9" customFormat="1" ht="15.75" hidden="1" customHeight="1" x14ac:dyDescent="0.25">
      <c r="A400" s="4" t="s">
        <v>1258</v>
      </c>
      <c r="B400" s="4" t="s">
        <v>1259</v>
      </c>
      <c r="C400" s="4" t="s">
        <v>1260</v>
      </c>
      <c r="D400" s="21" t="s">
        <v>6086</v>
      </c>
      <c r="E400" s="4" t="s">
        <v>51</v>
      </c>
      <c r="F400" s="4" t="s">
        <v>27</v>
      </c>
      <c r="G400" s="4" t="s">
        <v>5</v>
      </c>
      <c r="H400" s="4" t="s">
        <v>118</v>
      </c>
      <c r="I400" s="5">
        <v>45408</v>
      </c>
      <c r="J400" s="4" t="s">
        <v>30</v>
      </c>
      <c r="K400" s="5">
        <v>45453</v>
      </c>
      <c r="L400" s="4" t="s">
        <v>59</v>
      </c>
      <c r="M400" s="6">
        <v>35695</v>
      </c>
      <c r="N400" s="6">
        <v>8410</v>
      </c>
      <c r="O400" s="4">
        <v>38</v>
      </c>
      <c r="P400" s="5">
        <v>45491</v>
      </c>
      <c r="Q400" s="4" t="s">
        <v>33</v>
      </c>
      <c r="R400" s="4" t="s">
        <v>33</v>
      </c>
      <c r="S400" s="4" t="s">
        <v>41</v>
      </c>
      <c r="T400" s="7">
        <v>4.2443999999999997</v>
      </c>
      <c r="U400" s="8">
        <v>45</v>
      </c>
      <c r="V400" s="8">
        <v>2024</v>
      </c>
      <c r="W400" s="4" t="s">
        <v>67</v>
      </c>
    </row>
    <row r="401" spans="1:23" s="9" customFormat="1" ht="15.75" hidden="1" customHeight="1" x14ac:dyDescent="0.25">
      <c r="A401" s="10" t="s">
        <v>1261</v>
      </c>
      <c r="B401" s="10" t="s">
        <v>1262</v>
      </c>
      <c r="C401" s="10" t="s">
        <v>1263</v>
      </c>
      <c r="D401" s="22" t="s">
        <v>6090</v>
      </c>
      <c r="E401" s="10" t="s">
        <v>26</v>
      </c>
      <c r="F401" s="10" t="s">
        <v>71</v>
      </c>
      <c r="G401" s="10" t="s">
        <v>5</v>
      </c>
      <c r="H401" s="10" t="s">
        <v>39</v>
      </c>
      <c r="I401" s="11">
        <v>45455</v>
      </c>
      <c r="J401" s="10" t="s">
        <v>40</v>
      </c>
      <c r="K401" s="11">
        <v>45532</v>
      </c>
      <c r="L401" s="10" t="s">
        <v>59</v>
      </c>
      <c r="M401" s="12">
        <v>39465</v>
      </c>
      <c r="N401" s="12">
        <v>4704</v>
      </c>
      <c r="O401" s="10">
        <v>9</v>
      </c>
      <c r="P401" s="11">
        <v>45541</v>
      </c>
      <c r="Q401" s="10" t="s">
        <v>33</v>
      </c>
      <c r="R401" s="10" t="s">
        <v>33</v>
      </c>
      <c r="S401" s="10" t="s">
        <v>34</v>
      </c>
      <c r="T401" s="13">
        <v>8.3896999999999995</v>
      </c>
      <c r="U401" s="14">
        <v>77</v>
      </c>
      <c r="V401" s="14">
        <v>2024</v>
      </c>
      <c r="W401" s="10" t="s">
        <v>114</v>
      </c>
    </row>
    <row r="402" spans="1:23" s="9" customFormat="1" ht="15.75" hidden="1" customHeight="1" x14ac:dyDescent="0.25">
      <c r="A402" s="4" t="s">
        <v>1264</v>
      </c>
      <c r="B402" s="4" t="s">
        <v>1265</v>
      </c>
      <c r="C402" s="4" t="s">
        <v>1266</v>
      </c>
      <c r="D402" s="22" t="s">
        <v>6090</v>
      </c>
      <c r="E402" s="4" t="s">
        <v>87</v>
      </c>
      <c r="F402" s="4" t="s">
        <v>71</v>
      </c>
      <c r="G402" s="4" t="s">
        <v>5</v>
      </c>
      <c r="H402" s="4" t="s">
        <v>118</v>
      </c>
      <c r="I402" s="5">
        <v>45312</v>
      </c>
      <c r="J402" s="4" t="s">
        <v>40</v>
      </c>
      <c r="K402" s="5">
        <v>45579</v>
      </c>
      <c r="L402" s="4" t="s">
        <v>59</v>
      </c>
      <c r="M402" s="6">
        <v>31220</v>
      </c>
      <c r="N402" s="6">
        <v>2798</v>
      </c>
      <c r="O402" s="4">
        <v>45</v>
      </c>
      <c r="P402" s="5">
        <v>45624</v>
      </c>
      <c r="Q402" s="4" t="s">
        <v>33</v>
      </c>
      <c r="R402" s="4" t="s">
        <v>33</v>
      </c>
      <c r="S402" s="4" t="s">
        <v>41</v>
      </c>
      <c r="T402" s="7">
        <v>11.157999999999999</v>
      </c>
      <c r="U402" s="8">
        <v>267</v>
      </c>
      <c r="V402" s="8">
        <v>2024</v>
      </c>
      <c r="W402" s="4" t="s">
        <v>95</v>
      </c>
    </row>
    <row r="403" spans="1:23" s="9" customFormat="1" ht="15.75" hidden="1" customHeight="1" x14ac:dyDescent="0.25">
      <c r="A403" s="10" t="s">
        <v>1267</v>
      </c>
      <c r="B403" s="10" t="s">
        <v>1268</v>
      </c>
      <c r="C403" s="10" t="s">
        <v>1269</v>
      </c>
      <c r="D403" s="22" t="s">
        <v>6090</v>
      </c>
      <c r="E403" s="10" t="s">
        <v>87</v>
      </c>
      <c r="F403" s="10" t="s">
        <v>65</v>
      </c>
      <c r="G403" s="10" t="s">
        <v>5</v>
      </c>
      <c r="H403" s="10" t="s">
        <v>161</v>
      </c>
      <c r="I403" s="11">
        <v>45007</v>
      </c>
      <c r="J403" s="10" t="s">
        <v>40</v>
      </c>
      <c r="K403" s="11">
        <v>45367</v>
      </c>
      <c r="L403" s="10" t="s">
        <v>31</v>
      </c>
      <c r="M403" s="12">
        <v>5476</v>
      </c>
      <c r="N403" s="12">
        <v>2702</v>
      </c>
      <c r="O403" s="10" t="s">
        <v>32</v>
      </c>
      <c r="P403" s="10" t="s">
        <v>32</v>
      </c>
      <c r="Q403" s="10" t="s">
        <v>33</v>
      </c>
      <c r="R403" s="10" t="s">
        <v>33</v>
      </c>
      <c r="S403" s="10" t="s">
        <v>34</v>
      </c>
      <c r="T403" s="13">
        <v>2.0266000000000002</v>
      </c>
      <c r="U403" s="14">
        <v>360</v>
      </c>
      <c r="V403" s="14">
        <v>2024</v>
      </c>
      <c r="W403" s="10" t="s">
        <v>77</v>
      </c>
    </row>
    <row r="404" spans="1:23" s="9" customFormat="1" ht="15.75" hidden="1" customHeight="1" x14ac:dyDescent="0.25">
      <c r="A404" s="4" t="s">
        <v>1270</v>
      </c>
      <c r="B404" s="4" t="s">
        <v>1271</v>
      </c>
      <c r="C404" s="4" t="s">
        <v>1272</v>
      </c>
      <c r="D404" s="21" t="s">
        <v>6089</v>
      </c>
      <c r="E404" s="4" t="s">
        <v>87</v>
      </c>
      <c r="F404" s="4" t="s">
        <v>65</v>
      </c>
      <c r="G404" s="4" t="s">
        <v>5</v>
      </c>
      <c r="H404" s="4" t="s">
        <v>93</v>
      </c>
      <c r="I404" s="5">
        <v>44996</v>
      </c>
      <c r="J404" s="4" t="s">
        <v>30</v>
      </c>
      <c r="K404" s="5">
        <v>45358</v>
      </c>
      <c r="L404" s="4" t="s">
        <v>31</v>
      </c>
      <c r="M404" s="6">
        <v>28175</v>
      </c>
      <c r="N404" s="6">
        <v>5134</v>
      </c>
      <c r="O404" s="4" t="s">
        <v>32</v>
      </c>
      <c r="P404" s="4" t="s">
        <v>32</v>
      </c>
      <c r="Q404" s="4" t="s">
        <v>33</v>
      </c>
      <c r="R404" s="4" t="s">
        <v>33</v>
      </c>
      <c r="S404" s="4" t="s">
        <v>41</v>
      </c>
      <c r="T404" s="7">
        <v>5.4878999999999998</v>
      </c>
      <c r="U404" s="8">
        <v>362</v>
      </c>
      <c r="V404" s="8">
        <v>2024</v>
      </c>
      <c r="W404" s="4" t="s">
        <v>77</v>
      </c>
    </row>
    <row r="405" spans="1:23" s="9" customFormat="1" ht="15.75" hidden="1" customHeight="1" x14ac:dyDescent="0.25">
      <c r="A405" s="10" t="s">
        <v>1273</v>
      </c>
      <c r="B405" s="10" t="s">
        <v>1274</v>
      </c>
      <c r="C405" s="10" t="s">
        <v>1275</v>
      </c>
      <c r="D405" s="22" t="s">
        <v>6087</v>
      </c>
      <c r="E405" s="10" t="s">
        <v>26</v>
      </c>
      <c r="F405" s="10" t="s">
        <v>56</v>
      </c>
      <c r="G405" s="10" t="s">
        <v>5</v>
      </c>
      <c r="H405" s="10" t="s">
        <v>161</v>
      </c>
      <c r="I405" s="11">
        <v>45147</v>
      </c>
      <c r="J405" s="10" t="s">
        <v>40</v>
      </c>
      <c r="K405" s="11">
        <v>45367</v>
      </c>
      <c r="L405" s="10" t="s">
        <v>59</v>
      </c>
      <c r="M405" s="12">
        <v>11602</v>
      </c>
      <c r="N405" s="12">
        <v>5994</v>
      </c>
      <c r="O405" s="10">
        <v>45</v>
      </c>
      <c r="P405" s="11">
        <v>45412</v>
      </c>
      <c r="Q405" s="10" t="s">
        <v>33</v>
      </c>
      <c r="R405" s="10" t="s">
        <v>33</v>
      </c>
      <c r="S405" s="10" t="s">
        <v>34</v>
      </c>
      <c r="T405" s="13">
        <v>1.9356</v>
      </c>
      <c r="U405" s="14">
        <v>220</v>
      </c>
      <c r="V405" s="14">
        <v>2024</v>
      </c>
      <c r="W405" s="10" t="s">
        <v>77</v>
      </c>
    </row>
    <row r="406" spans="1:23" s="9" customFormat="1" ht="27.75" customHeight="1" x14ac:dyDescent="0.25">
      <c r="A406" s="4" t="s">
        <v>1276</v>
      </c>
      <c r="B406" s="4" t="s">
        <v>1277</v>
      </c>
      <c r="C406" s="4" t="s">
        <v>1278</v>
      </c>
      <c r="D406" s="22" t="s">
        <v>6087</v>
      </c>
      <c r="E406" s="4" t="s">
        <v>26</v>
      </c>
      <c r="F406" s="10" t="s">
        <v>6092</v>
      </c>
      <c r="G406" s="4" t="s">
        <v>5</v>
      </c>
      <c r="H406" s="4" t="s">
        <v>29</v>
      </c>
      <c r="I406" s="5">
        <v>45241</v>
      </c>
      <c r="J406" s="4" t="s">
        <v>30</v>
      </c>
      <c r="K406" s="5">
        <v>45377</v>
      </c>
      <c r="L406" s="4" t="s">
        <v>59</v>
      </c>
      <c r="M406" s="6">
        <v>38647</v>
      </c>
      <c r="N406" s="6">
        <v>7832</v>
      </c>
      <c r="O406" s="4">
        <v>4</v>
      </c>
      <c r="P406" s="5">
        <v>45381</v>
      </c>
      <c r="Q406" s="4" t="s">
        <v>94</v>
      </c>
      <c r="R406" s="4" t="s">
        <v>94</v>
      </c>
      <c r="S406" s="4" t="s">
        <v>60</v>
      </c>
      <c r="T406" s="7">
        <v>4.9344999999999999</v>
      </c>
      <c r="U406" s="8">
        <v>136</v>
      </c>
      <c r="V406" s="8">
        <v>2024</v>
      </c>
      <c r="W406" s="4" t="s">
        <v>77</v>
      </c>
    </row>
    <row r="407" spans="1:23" s="9" customFormat="1" ht="15.75" hidden="1" customHeight="1" x14ac:dyDescent="0.25">
      <c r="A407" s="10" t="s">
        <v>1279</v>
      </c>
      <c r="B407" s="10" t="s">
        <v>1280</v>
      </c>
      <c r="C407" s="10" t="s">
        <v>1281</v>
      </c>
      <c r="D407" s="22" t="s">
        <v>6087</v>
      </c>
      <c r="E407" s="10" t="s">
        <v>51</v>
      </c>
      <c r="F407" s="21" t="s">
        <v>6092</v>
      </c>
      <c r="G407" s="10" t="s">
        <v>57</v>
      </c>
      <c r="H407" s="10" t="s">
        <v>72</v>
      </c>
      <c r="I407" s="11">
        <v>45164</v>
      </c>
      <c r="J407" s="10" t="s">
        <v>40</v>
      </c>
      <c r="K407" s="11">
        <v>45428</v>
      </c>
      <c r="L407" s="10" t="s">
        <v>59</v>
      </c>
      <c r="M407" s="12">
        <v>10242</v>
      </c>
      <c r="N407" s="12">
        <v>6608</v>
      </c>
      <c r="O407" s="10">
        <v>42</v>
      </c>
      <c r="P407" s="11">
        <v>45470</v>
      </c>
      <c r="Q407" s="10" t="s">
        <v>33</v>
      </c>
      <c r="R407" s="10" t="s">
        <v>33</v>
      </c>
      <c r="S407" s="10" t="s">
        <v>60</v>
      </c>
      <c r="T407" s="13">
        <v>1.5499000000000001</v>
      </c>
      <c r="U407" s="14">
        <v>264</v>
      </c>
      <c r="V407" s="14">
        <v>2024</v>
      </c>
      <c r="W407" s="10" t="s">
        <v>52</v>
      </c>
    </row>
    <row r="408" spans="1:23" s="9" customFormat="1" ht="27.75" customHeight="1" x14ac:dyDescent="0.25">
      <c r="A408" s="4" t="s">
        <v>1282</v>
      </c>
      <c r="B408" s="4" t="s">
        <v>1283</v>
      </c>
      <c r="C408" s="4" t="s">
        <v>1284</v>
      </c>
      <c r="D408" s="22" t="s">
        <v>6090</v>
      </c>
      <c r="E408" s="4" t="s">
        <v>26</v>
      </c>
      <c r="F408" s="10" t="s">
        <v>6092</v>
      </c>
      <c r="G408" s="4" t="s">
        <v>57</v>
      </c>
      <c r="H408" s="4" t="s">
        <v>161</v>
      </c>
      <c r="I408" s="5">
        <v>45195</v>
      </c>
      <c r="J408" s="4" t="s">
        <v>30</v>
      </c>
      <c r="K408" s="5">
        <v>45453</v>
      </c>
      <c r="L408" s="4" t="s">
        <v>59</v>
      </c>
      <c r="M408" s="6">
        <v>24076</v>
      </c>
      <c r="N408" s="6">
        <v>5677</v>
      </c>
      <c r="O408" s="4">
        <v>20</v>
      </c>
      <c r="P408" s="5">
        <v>45473</v>
      </c>
      <c r="Q408" s="4" t="s">
        <v>94</v>
      </c>
      <c r="R408" s="4" t="s">
        <v>94</v>
      </c>
      <c r="S408" s="4" t="s">
        <v>41</v>
      </c>
      <c r="T408" s="7">
        <v>4.2409999999999997</v>
      </c>
      <c r="U408" s="8">
        <v>258</v>
      </c>
      <c r="V408" s="8">
        <v>2024</v>
      </c>
      <c r="W408" s="4" t="s">
        <v>67</v>
      </c>
    </row>
    <row r="409" spans="1:23" s="9" customFormat="1" ht="15.75" hidden="1" customHeight="1" x14ac:dyDescent="0.25">
      <c r="A409" s="10" t="s">
        <v>1285</v>
      </c>
      <c r="B409" s="10" t="s">
        <v>1286</v>
      </c>
      <c r="C409" s="10" t="s">
        <v>1287</v>
      </c>
      <c r="D409" s="22" t="s">
        <v>6090</v>
      </c>
      <c r="E409" s="10" t="s">
        <v>51</v>
      </c>
      <c r="F409" s="10" t="s">
        <v>56</v>
      </c>
      <c r="G409" s="10" t="s">
        <v>5</v>
      </c>
      <c r="H409" s="10" t="s">
        <v>72</v>
      </c>
      <c r="I409" s="11">
        <v>45051</v>
      </c>
      <c r="J409" s="10" t="s">
        <v>30</v>
      </c>
      <c r="K409" s="11">
        <v>45395</v>
      </c>
      <c r="L409" s="10" t="s">
        <v>66</v>
      </c>
      <c r="M409" s="12">
        <v>29372</v>
      </c>
      <c r="N409" s="12">
        <v>1823</v>
      </c>
      <c r="O409" s="10" t="s">
        <v>32</v>
      </c>
      <c r="P409" s="10" t="s">
        <v>32</v>
      </c>
      <c r="Q409" s="10" t="s">
        <v>33</v>
      </c>
      <c r="R409" s="10" t="s">
        <v>33</v>
      </c>
      <c r="S409" s="10" t="s">
        <v>34</v>
      </c>
      <c r="T409" s="13">
        <v>16.111899999999999</v>
      </c>
      <c r="U409" s="14">
        <v>344</v>
      </c>
      <c r="V409" s="14">
        <v>2024</v>
      </c>
      <c r="W409" s="10" t="s">
        <v>47</v>
      </c>
    </row>
    <row r="410" spans="1:23" s="9" customFormat="1" ht="15.75" hidden="1" customHeight="1" x14ac:dyDescent="0.25">
      <c r="A410" s="4" t="s">
        <v>1288</v>
      </c>
      <c r="B410" s="4" t="s">
        <v>1289</v>
      </c>
      <c r="C410" s="4" t="s">
        <v>1290</v>
      </c>
      <c r="D410" s="22" t="s">
        <v>6090</v>
      </c>
      <c r="E410" s="4" t="s">
        <v>26</v>
      </c>
      <c r="F410" s="4" t="s">
        <v>65</v>
      </c>
      <c r="G410" s="4" t="s">
        <v>5</v>
      </c>
      <c r="H410" s="4" t="s">
        <v>58</v>
      </c>
      <c r="I410" s="5">
        <v>45297</v>
      </c>
      <c r="J410" s="4" t="s">
        <v>40</v>
      </c>
      <c r="K410" s="5">
        <v>45528</v>
      </c>
      <c r="L410" s="4" t="s">
        <v>59</v>
      </c>
      <c r="M410" s="6">
        <v>44385</v>
      </c>
      <c r="N410" s="6">
        <v>3478</v>
      </c>
      <c r="O410" s="4">
        <v>6</v>
      </c>
      <c r="P410" s="5">
        <v>45534</v>
      </c>
      <c r="Q410" s="4" t="s">
        <v>33</v>
      </c>
      <c r="R410" s="4" t="s">
        <v>33</v>
      </c>
      <c r="S410" s="4" t="s">
        <v>60</v>
      </c>
      <c r="T410" s="7">
        <v>12.7616</v>
      </c>
      <c r="U410" s="8">
        <v>231</v>
      </c>
      <c r="V410" s="8">
        <v>2024</v>
      </c>
      <c r="W410" s="4" t="s">
        <v>114</v>
      </c>
    </row>
    <row r="411" spans="1:23" s="9" customFormat="1" ht="15.75" hidden="1" customHeight="1" x14ac:dyDescent="0.25">
      <c r="A411" s="10" t="s">
        <v>1291</v>
      </c>
      <c r="B411" s="10" t="s">
        <v>1292</v>
      </c>
      <c r="C411" s="10" t="s">
        <v>1293</v>
      </c>
      <c r="D411" s="21" t="s">
        <v>6091</v>
      </c>
      <c r="E411" s="10" t="s">
        <v>26</v>
      </c>
      <c r="F411" s="10" t="s">
        <v>46</v>
      </c>
      <c r="G411" s="10" t="s">
        <v>57</v>
      </c>
      <c r="H411" s="10" t="s">
        <v>88</v>
      </c>
      <c r="I411" s="11">
        <v>45535</v>
      </c>
      <c r="J411" s="10" t="s">
        <v>40</v>
      </c>
      <c r="K411" s="11">
        <v>45610</v>
      </c>
      <c r="L411" s="10" t="s">
        <v>59</v>
      </c>
      <c r="M411" s="12">
        <v>12971</v>
      </c>
      <c r="N411" s="12">
        <v>1445</v>
      </c>
      <c r="O411" s="10">
        <v>17</v>
      </c>
      <c r="P411" s="11">
        <v>45627</v>
      </c>
      <c r="Q411" s="10" t="s">
        <v>33</v>
      </c>
      <c r="R411" s="10" t="s">
        <v>33</v>
      </c>
      <c r="S411" s="10" t="s">
        <v>34</v>
      </c>
      <c r="T411" s="13">
        <v>8.9764999999999997</v>
      </c>
      <c r="U411" s="14">
        <v>75</v>
      </c>
      <c r="V411" s="14">
        <v>2024</v>
      </c>
      <c r="W411" s="10" t="s">
        <v>61</v>
      </c>
    </row>
    <row r="412" spans="1:23" s="9" customFormat="1" ht="15.75" hidden="1" customHeight="1" x14ac:dyDescent="0.25">
      <c r="A412" s="4" t="s">
        <v>1294</v>
      </c>
      <c r="B412" s="4" t="s">
        <v>1295</v>
      </c>
      <c r="C412" s="4" t="s">
        <v>1296</v>
      </c>
      <c r="D412" s="21" t="s">
        <v>6086</v>
      </c>
      <c r="E412" s="4" t="s">
        <v>87</v>
      </c>
      <c r="F412" s="21" t="s">
        <v>6092</v>
      </c>
      <c r="G412" s="4" t="s">
        <v>57</v>
      </c>
      <c r="H412" s="4" t="s">
        <v>93</v>
      </c>
      <c r="I412" s="5">
        <v>45318</v>
      </c>
      <c r="J412" s="4" t="s">
        <v>40</v>
      </c>
      <c r="K412" s="5">
        <v>45424</v>
      </c>
      <c r="L412" s="4" t="s">
        <v>59</v>
      </c>
      <c r="M412" s="6">
        <v>98500</v>
      </c>
      <c r="N412" s="6">
        <v>1716</v>
      </c>
      <c r="O412" s="4">
        <v>13</v>
      </c>
      <c r="P412" s="5">
        <v>45437</v>
      </c>
      <c r="Q412" s="4" t="s">
        <v>33</v>
      </c>
      <c r="R412" s="4" t="s">
        <v>33</v>
      </c>
      <c r="S412" s="4" t="s">
        <v>60</v>
      </c>
      <c r="T412" s="7">
        <v>57.4009</v>
      </c>
      <c r="U412" s="8">
        <v>106</v>
      </c>
      <c r="V412" s="8">
        <v>2024</v>
      </c>
      <c r="W412" s="4" t="s">
        <v>52</v>
      </c>
    </row>
    <row r="413" spans="1:23" s="9" customFormat="1" ht="15.75" hidden="1" customHeight="1" x14ac:dyDescent="0.25">
      <c r="A413" s="10" t="s">
        <v>1297</v>
      </c>
      <c r="B413" s="10" t="s">
        <v>1298</v>
      </c>
      <c r="C413" s="10" t="s">
        <v>1299</v>
      </c>
      <c r="D413" s="22" t="s">
        <v>6087</v>
      </c>
      <c r="E413" s="10" t="s">
        <v>87</v>
      </c>
      <c r="F413" s="10" t="s">
        <v>27</v>
      </c>
      <c r="G413" s="10" t="s">
        <v>5</v>
      </c>
      <c r="H413" s="10" t="s">
        <v>39</v>
      </c>
      <c r="I413" s="11">
        <v>45313</v>
      </c>
      <c r="J413" s="10" t="s">
        <v>40</v>
      </c>
      <c r="K413" s="11">
        <v>45347</v>
      </c>
      <c r="L413" s="10" t="s">
        <v>59</v>
      </c>
      <c r="M413" s="12">
        <v>7694</v>
      </c>
      <c r="N413" s="12">
        <v>3758</v>
      </c>
      <c r="O413" s="10">
        <v>5</v>
      </c>
      <c r="P413" s="11">
        <v>45352</v>
      </c>
      <c r="Q413" s="10" t="s">
        <v>94</v>
      </c>
      <c r="R413" s="10" t="s">
        <v>33</v>
      </c>
      <c r="S413" s="10" t="s">
        <v>60</v>
      </c>
      <c r="T413" s="13">
        <v>2.0474000000000001</v>
      </c>
      <c r="U413" s="14">
        <v>34</v>
      </c>
      <c r="V413" s="14">
        <v>2024</v>
      </c>
      <c r="W413" s="10" t="s">
        <v>35</v>
      </c>
    </row>
    <row r="414" spans="1:23" s="9" customFormat="1" ht="15.75" hidden="1" customHeight="1" x14ac:dyDescent="0.25">
      <c r="A414" s="4" t="s">
        <v>1300</v>
      </c>
      <c r="B414" s="4" t="s">
        <v>1301</v>
      </c>
      <c r="C414" s="4" t="s">
        <v>1302</v>
      </c>
      <c r="D414" s="21" t="s">
        <v>6089</v>
      </c>
      <c r="E414" s="4" t="s">
        <v>87</v>
      </c>
      <c r="F414" s="4" t="s">
        <v>56</v>
      </c>
      <c r="G414" s="4" t="s">
        <v>5</v>
      </c>
      <c r="H414" s="4" t="s">
        <v>72</v>
      </c>
      <c r="I414" s="5">
        <v>45214</v>
      </c>
      <c r="J414" s="4" t="s">
        <v>40</v>
      </c>
      <c r="K414" s="5">
        <v>45426</v>
      </c>
      <c r="L414" s="4" t="s">
        <v>59</v>
      </c>
      <c r="M414" s="6">
        <v>11216</v>
      </c>
      <c r="N414" s="6">
        <v>5728</v>
      </c>
      <c r="O414" s="4">
        <v>8</v>
      </c>
      <c r="P414" s="5">
        <v>45434</v>
      </c>
      <c r="Q414" s="4" t="s">
        <v>33</v>
      </c>
      <c r="R414" s="4" t="s">
        <v>33</v>
      </c>
      <c r="S414" s="4" t="s">
        <v>34</v>
      </c>
      <c r="T414" s="7">
        <v>1.9581</v>
      </c>
      <c r="U414" s="8">
        <v>212</v>
      </c>
      <c r="V414" s="8">
        <v>2024</v>
      </c>
      <c r="W414" s="4" t="s">
        <v>52</v>
      </c>
    </row>
    <row r="415" spans="1:23" s="9" customFormat="1" ht="15.75" hidden="1" customHeight="1" x14ac:dyDescent="0.25">
      <c r="A415" s="10" t="s">
        <v>1303</v>
      </c>
      <c r="B415" s="10" t="s">
        <v>1304</v>
      </c>
      <c r="C415" s="10" t="s">
        <v>1305</v>
      </c>
      <c r="D415" s="21" t="s">
        <v>6086</v>
      </c>
      <c r="E415" s="10" t="s">
        <v>51</v>
      </c>
      <c r="F415" s="10" t="s">
        <v>46</v>
      </c>
      <c r="G415" s="10" t="s">
        <v>57</v>
      </c>
      <c r="H415" s="10" t="s">
        <v>118</v>
      </c>
      <c r="I415" s="11">
        <v>45496</v>
      </c>
      <c r="J415" s="10" t="s">
        <v>30</v>
      </c>
      <c r="K415" s="11">
        <v>45536</v>
      </c>
      <c r="L415" s="10" t="s">
        <v>59</v>
      </c>
      <c r="M415" s="12">
        <v>99269</v>
      </c>
      <c r="N415" s="12">
        <v>7376</v>
      </c>
      <c r="O415" s="10">
        <v>23</v>
      </c>
      <c r="P415" s="11">
        <v>45559</v>
      </c>
      <c r="Q415" s="10" t="s">
        <v>33</v>
      </c>
      <c r="R415" s="10" t="s">
        <v>33</v>
      </c>
      <c r="S415" s="10" t="s">
        <v>60</v>
      </c>
      <c r="T415" s="13">
        <v>13.458399999999999</v>
      </c>
      <c r="U415" s="14">
        <v>40</v>
      </c>
      <c r="V415" s="14">
        <v>2024</v>
      </c>
      <c r="W415" s="10" t="s">
        <v>168</v>
      </c>
    </row>
    <row r="416" spans="1:23" s="9" customFormat="1" ht="15.75" hidden="1" customHeight="1" x14ac:dyDescent="0.25">
      <c r="A416" s="4" t="s">
        <v>1306</v>
      </c>
      <c r="B416" s="4" t="s">
        <v>1307</v>
      </c>
      <c r="C416" s="4" t="s">
        <v>1308</v>
      </c>
      <c r="D416" s="22" t="s">
        <v>6090</v>
      </c>
      <c r="E416" s="4" t="s">
        <v>26</v>
      </c>
      <c r="F416" s="4" t="s">
        <v>46</v>
      </c>
      <c r="G416" s="4" t="s">
        <v>57</v>
      </c>
      <c r="H416" s="4" t="s">
        <v>29</v>
      </c>
      <c r="I416" s="5">
        <v>45315</v>
      </c>
      <c r="J416" s="4" t="s">
        <v>40</v>
      </c>
      <c r="K416" s="5">
        <v>45442</v>
      </c>
      <c r="L416" s="4" t="s">
        <v>31</v>
      </c>
      <c r="M416" s="6">
        <v>49261</v>
      </c>
      <c r="N416" s="6">
        <v>2376</v>
      </c>
      <c r="O416" s="4" t="s">
        <v>32</v>
      </c>
      <c r="P416" s="4" t="s">
        <v>32</v>
      </c>
      <c r="Q416" s="4" t="s">
        <v>33</v>
      </c>
      <c r="R416" s="4" t="s">
        <v>33</v>
      </c>
      <c r="S416" s="4" t="s">
        <v>34</v>
      </c>
      <c r="T416" s="7">
        <v>20.732700000000001</v>
      </c>
      <c r="U416" s="8">
        <v>127</v>
      </c>
      <c r="V416" s="8">
        <v>2024</v>
      </c>
      <c r="W416" s="4" t="s">
        <v>52</v>
      </c>
    </row>
    <row r="417" spans="1:23" s="9" customFormat="1" ht="15.75" hidden="1" customHeight="1" x14ac:dyDescent="0.25">
      <c r="A417" s="10" t="s">
        <v>1309</v>
      </c>
      <c r="B417" s="10" t="s">
        <v>1310</v>
      </c>
      <c r="C417" s="10" t="s">
        <v>1311</v>
      </c>
      <c r="D417" s="22" t="s">
        <v>6087</v>
      </c>
      <c r="E417" s="10" t="s">
        <v>26</v>
      </c>
      <c r="F417" s="10" t="s">
        <v>27</v>
      </c>
      <c r="G417" s="10" t="s">
        <v>28</v>
      </c>
      <c r="H417" s="10" t="s">
        <v>29</v>
      </c>
      <c r="I417" s="11">
        <v>45110</v>
      </c>
      <c r="J417" s="10" t="s">
        <v>30</v>
      </c>
      <c r="K417" s="11">
        <v>45311</v>
      </c>
      <c r="L417" s="10" t="s">
        <v>59</v>
      </c>
      <c r="M417" s="12">
        <v>26543</v>
      </c>
      <c r="N417" s="12">
        <v>7501</v>
      </c>
      <c r="O417" s="10">
        <v>41</v>
      </c>
      <c r="P417" s="11">
        <v>45352</v>
      </c>
      <c r="Q417" s="10" t="s">
        <v>33</v>
      </c>
      <c r="R417" s="10" t="s">
        <v>33</v>
      </c>
      <c r="S417" s="10" t="s">
        <v>41</v>
      </c>
      <c r="T417" s="13">
        <v>3.5386000000000002</v>
      </c>
      <c r="U417" s="14">
        <v>201</v>
      </c>
      <c r="V417" s="14">
        <v>2024</v>
      </c>
      <c r="W417" s="10" t="s">
        <v>73</v>
      </c>
    </row>
    <row r="418" spans="1:23" s="9" customFormat="1" ht="15.75" hidden="1" customHeight="1" x14ac:dyDescent="0.25">
      <c r="A418" s="4" t="s">
        <v>1312</v>
      </c>
      <c r="B418" s="4" t="s">
        <v>1313</v>
      </c>
      <c r="C418" s="4" t="s">
        <v>1314</v>
      </c>
      <c r="D418" s="21" t="s">
        <v>6086</v>
      </c>
      <c r="E418" s="4" t="s">
        <v>26</v>
      </c>
      <c r="F418" s="4" t="s">
        <v>56</v>
      </c>
      <c r="G418" s="4" t="s">
        <v>28</v>
      </c>
      <c r="H418" s="4" t="s">
        <v>58</v>
      </c>
      <c r="I418" s="5">
        <v>45343</v>
      </c>
      <c r="J418" s="4" t="s">
        <v>40</v>
      </c>
      <c r="K418" s="5">
        <v>45529</v>
      </c>
      <c r="L418" s="4" t="s">
        <v>59</v>
      </c>
      <c r="M418" s="6">
        <v>37688</v>
      </c>
      <c r="N418" s="6">
        <v>2463</v>
      </c>
      <c r="O418" s="4">
        <v>38</v>
      </c>
      <c r="P418" s="5">
        <v>45567</v>
      </c>
      <c r="Q418" s="4" t="s">
        <v>33</v>
      </c>
      <c r="R418" s="4" t="s">
        <v>33</v>
      </c>
      <c r="S418" s="4" t="s">
        <v>60</v>
      </c>
      <c r="T418" s="7">
        <v>15.3017</v>
      </c>
      <c r="U418" s="8">
        <v>186</v>
      </c>
      <c r="V418" s="8">
        <v>2024</v>
      </c>
      <c r="W418" s="4" t="s">
        <v>114</v>
      </c>
    </row>
    <row r="419" spans="1:23" s="9" customFormat="1" ht="15.75" hidden="1" customHeight="1" x14ac:dyDescent="0.25">
      <c r="A419" s="10" t="s">
        <v>1315</v>
      </c>
      <c r="B419" s="10" t="s">
        <v>1316</v>
      </c>
      <c r="C419" s="10" t="s">
        <v>1317</v>
      </c>
      <c r="D419" s="22" t="s">
        <v>6090</v>
      </c>
      <c r="E419" s="10" t="s">
        <v>87</v>
      </c>
      <c r="F419" s="10" t="s">
        <v>27</v>
      </c>
      <c r="G419" s="10" t="s">
        <v>28</v>
      </c>
      <c r="H419" s="10" t="s">
        <v>93</v>
      </c>
      <c r="I419" s="11">
        <v>45198</v>
      </c>
      <c r="J419" s="10" t="s">
        <v>40</v>
      </c>
      <c r="K419" s="11">
        <v>45364</v>
      </c>
      <c r="L419" s="10" t="s">
        <v>59</v>
      </c>
      <c r="M419" s="12">
        <v>36318</v>
      </c>
      <c r="N419" s="12">
        <v>1911</v>
      </c>
      <c r="O419" s="10">
        <v>41</v>
      </c>
      <c r="P419" s="11">
        <v>45405</v>
      </c>
      <c r="Q419" s="10" t="s">
        <v>33</v>
      </c>
      <c r="R419" s="10" t="s">
        <v>33</v>
      </c>
      <c r="S419" s="10" t="s">
        <v>34</v>
      </c>
      <c r="T419" s="13">
        <v>19.0047</v>
      </c>
      <c r="U419" s="14">
        <v>166</v>
      </c>
      <c r="V419" s="14">
        <v>2024</v>
      </c>
      <c r="W419" s="10" t="s">
        <v>77</v>
      </c>
    </row>
    <row r="420" spans="1:23" s="9" customFormat="1" ht="15.75" hidden="1" customHeight="1" x14ac:dyDescent="0.25">
      <c r="A420" s="4" t="s">
        <v>1318</v>
      </c>
      <c r="B420" s="4" t="s">
        <v>1319</v>
      </c>
      <c r="C420" s="4" t="s">
        <v>1320</v>
      </c>
      <c r="D420" s="21" t="s">
        <v>6089</v>
      </c>
      <c r="E420" s="4" t="s">
        <v>87</v>
      </c>
      <c r="F420" s="4" t="s">
        <v>65</v>
      </c>
      <c r="G420" s="4" t="s">
        <v>5</v>
      </c>
      <c r="H420" s="4" t="s">
        <v>39</v>
      </c>
      <c r="I420" s="5">
        <v>45027</v>
      </c>
      <c r="J420" s="4" t="s">
        <v>40</v>
      </c>
      <c r="K420" s="5">
        <v>45345</v>
      </c>
      <c r="L420" s="4" t="s">
        <v>59</v>
      </c>
      <c r="M420" s="6">
        <v>15609</v>
      </c>
      <c r="N420" s="6">
        <v>5482</v>
      </c>
      <c r="O420" s="4">
        <v>44</v>
      </c>
      <c r="P420" s="5">
        <v>45389</v>
      </c>
      <c r="Q420" s="4" t="s">
        <v>33</v>
      </c>
      <c r="R420" s="4" t="s">
        <v>33</v>
      </c>
      <c r="S420" s="4" t="s">
        <v>60</v>
      </c>
      <c r="T420" s="7">
        <v>2.8473000000000002</v>
      </c>
      <c r="U420" s="8">
        <v>318</v>
      </c>
      <c r="V420" s="8">
        <v>2024</v>
      </c>
      <c r="W420" s="4" t="s">
        <v>35</v>
      </c>
    </row>
    <row r="421" spans="1:23" s="9" customFormat="1" ht="15.75" hidden="1" customHeight="1" x14ac:dyDescent="0.25">
      <c r="A421" s="10" t="s">
        <v>1321</v>
      </c>
      <c r="B421" s="10" t="s">
        <v>1322</v>
      </c>
      <c r="C421" s="10" t="s">
        <v>1323</v>
      </c>
      <c r="D421" s="21" t="s">
        <v>6091</v>
      </c>
      <c r="E421" s="10" t="s">
        <v>51</v>
      </c>
      <c r="F421" s="10" t="s">
        <v>46</v>
      </c>
      <c r="G421" s="10" t="s">
        <v>57</v>
      </c>
      <c r="H421" s="10" t="s">
        <v>39</v>
      </c>
      <c r="I421" s="11">
        <v>45361</v>
      </c>
      <c r="J421" s="10" t="s">
        <v>40</v>
      </c>
      <c r="K421" s="11">
        <v>45520</v>
      </c>
      <c r="L421" s="10" t="s">
        <v>31</v>
      </c>
      <c r="M421" s="12">
        <v>16764</v>
      </c>
      <c r="N421" s="12">
        <v>4615</v>
      </c>
      <c r="O421" s="10" t="s">
        <v>32</v>
      </c>
      <c r="P421" s="10" t="s">
        <v>32</v>
      </c>
      <c r="Q421" s="10" t="s">
        <v>33</v>
      </c>
      <c r="R421" s="10" t="s">
        <v>33</v>
      </c>
      <c r="S421" s="10" t="s">
        <v>60</v>
      </c>
      <c r="T421" s="13">
        <v>3.6324999999999998</v>
      </c>
      <c r="U421" s="14">
        <v>159</v>
      </c>
      <c r="V421" s="14">
        <v>2024</v>
      </c>
      <c r="W421" s="10" t="s">
        <v>114</v>
      </c>
    </row>
    <row r="422" spans="1:23" s="9" customFormat="1" ht="15.75" hidden="1" customHeight="1" x14ac:dyDescent="0.25">
      <c r="A422" s="4" t="s">
        <v>1324</v>
      </c>
      <c r="B422" s="4" t="s">
        <v>1325</v>
      </c>
      <c r="C422" s="4" t="s">
        <v>1326</v>
      </c>
      <c r="D422" s="22" t="s">
        <v>6087</v>
      </c>
      <c r="E422" s="4" t="s">
        <v>51</v>
      </c>
      <c r="F422" s="4" t="s">
        <v>71</v>
      </c>
      <c r="G422" s="4" t="s">
        <v>28</v>
      </c>
      <c r="H422" s="4" t="s">
        <v>58</v>
      </c>
      <c r="I422" s="5">
        <v>45104</v>
      </c>
      <c r="J422" s="4" t="s">
        <v>40</v>
      </c>
      <c r="K422" s="5">
        <v>45428</v>
      </c>
      <c r="L422" s="4" t="s">
        <v>59</v>
      </c>
      <c r="M422" s="6">
        <v>21620</v>
      </c>
      <c r="N422" s="6">
        <v>4313</v>
      </c>
      <c r="O422" s="4">
        <v>44</v>
      </c>
      <c r="P422" s="5">
        <v>45472</v>
      </c>
      <c r="Q422" s="4" t="s">
        <v>94</v>
      </c>
      <c r="R422" s="4" t="s">
        <v>33</v>
      </c>
      <c r="S422" s="4" t="s">
        <v>34</v>
      </c>
      <c r="T422" s="7">
        <v>5.0128000000000004</v>
      </c>
      <c r="U422" s="8">
        <v>324</v>
      </c>
      <c r="V422" s="8">
        <v>2024</v>
      </c>
      <c r="W422" s="4" t="s">
        <v>52</v>
      </c>
    </row>
    <row r="423" spans="1:23" s="9" customFormat="1" ht="15.75" hidden="1" customHeight="1" x14ac:dyDescent="0.25">
      <c r="A423" s="10" t="s">
        <v>1327</v>
      </c>
      <c r="B423" s="10" t="s">
        <v>1328</v>
      </c>
      <c r="C423" s="10" t="s">
        <v>1329</v>
      </c>
      <c r="D423" s="21" t="s">
        <v>6089</v>
      </c>
      <c r="E423" s="10" t="s">
        <v>26</v>
      </c>
      <c r="F423" s="10" t="s">
        <v>27</v>
      </c>
      <c r="G423" s="10" t="s">
        <v>57</v>
      </c>
      <c r="H423" s="10" t="s">
        <v>93</v>
      </c>
      <c r="I423" s="11">
        <v>44979</v>
      </c>
      <c r="J423" s="10" t="s">
        <v>40</v>
      </c>
      <c r="K423" s="11">
        <v>45336</v>
      </c>
      <c r="L423" s="10" t="s">
        <v>59</v>
      </c>
      <c r="M423" s="12">
        <v>39473</v>
      </c>
      <c r="N423" s="12">
        <v>4272</v>
      </c>
      <c r="O423" s="10">
        <v>44</v>
      </c>
      <c r="P423" s="11">
        <v>45380</v>
      </c>
      <c r="Q423" s="10" t="s">
        <v>33</v>
      </c>
      <c r="R423" s="10" t="s">
        <v>33</v>
      </c>
      <c r="S423" s="10" t="s">
        <v>41</v>
      </c>
      <c r="T423" s="13">
        <v>9.2399000000000004</v>
      </c>
      <c r="U423" s="14">
        <v>357</v>
      </c>
      <c r="V423" s="14">
        <v>2024</v>
      </c>
      <c r="W423" s="10" t="s">
        <v>35</v>
      </c>
    </row>
    <row r="424" spans="1:23" s="9" customFormat="1" ht="15.75" hidden="1" customHeight="1" x14ac:dyDescent="0.25">
      <c r="A424" s="4" t="s">
        <v>1330</v>
      </c>
      <c r="B424" s="4" t="s">
        <v>1331</v>
      </c>
      <c r="C424" s="4" t="s">
        <v>1332</v>
      </c>
      <c r="D424" s="22" t="s">
        <v>6087</v>
      </c>
      <c r="E424" s="4" t="s">
        <v>51</v>
      </c>
      <c r="F424" s="4" t="s">
        <v>71</v>
      </c>
      <c r="G424" s="4" t="s">
        <v>5</v>
      </c>
      <c r="H424" s="4" t="s">
        <v>39</v>
      </c>
      <c r="I424" s="5">
        <v>45271</v>
      </c>
      <c r="J424" s="4" t="s">
        <v>40</v>
      </c>
      <c r="K424" s="5">
        <v>45325</v>
      </c>
      <c r="L424" s="4" t="s">
        <v>59</v>
      </c>
      <c r="M424" s="6">
        <v>12884</v>
      </c>
      <c r="N424" s="6">
        <v>1717</v>
      </c>
      <c r="O424" s="4">
        <v>35</v>
      </c>
      <c r="P424" s="5">
        <v>45360</v>
      </c>
      <c r="Q424" s="4" t="s">
        <v>33</v>
      </c>
      <c r="R424" s="4" t="s">
        <v>33</v>
      </c>
      <c r="S424" s="4" t="s">
        <v>34</v>
      </c>
      <c r="T424" s="7">
        <v>7.5038</v>
      </c>
      <c r="U424" s="8">
        <v>54</v>
      </c>
      <c r="V424" s="8">
        <v>2024</v>
      </c>
      <c r="W424" s="4" t="s">
        <v>35</v>
      </c>
    </row>
    <row r="425" spans="1:23" s="9" customFormat="1" ht="15.75" hidden="1" customHeight="1" x14ac:dyDescent="0.25">
      <c r="A425" s="10" t="s">
        <v>1333</v>
      </c>
      <c r="B425" s="10" t="s">
        <v>1334</v>
      </c>
      <c r="C425" s="10" t="s">
        <v>1335</v>
      </c>
      <c r="D425" s="21" t="s">
        <v>6086</v>
      </c>
      <c r="E425" s="10" t="s">
        <v>51</v>
      </c>
      <c r="F425" s="21" t="s">
        <v>6092</v>
      </c>
      <c r="G425" s="10" t="s">
        <v>28</v>
      </c>
      <c r="H425" s="10" t="s">
        <v>72</v>
      </c>
      <c r="I425" s="11">
        <v>45477</v>
      </c>
      <c r="J425" s="10" t="s">
        <v>40</v>
      </c>
      <c r="K425" s="11">
        <v>45545</v>
      </c>
      <c r="L425" s="10" t="s">
        <v>59</v>
      </c>
      <c r="M425" s="12">
        <v>67953</v>
      </c>
      <c r="N425" s="12">
        <v>872</v>
      </c>
      <c r="O425" s="10">
        <v>7</v>
      </c>
      <c r="P425" s="11">
        <v>45552</v>
      </c>
      <c r="Q425" s="10" t="s">
        <v>33</v>
      </c>
      <c r="R425" s="10" t="s">
        <v>33</v>
      </c>
      <c r="S425" s="10" t="s">
        <v>60</v>
      </c>
      <c r="T425" s="13">
        <v>77.927800000000005</v>
      </c>
      <c r="U425" s="14">
        <v>68</v>
      </c>
      <c r="V425" s="14">
        <v>2024</v>
      </c>
      <c r="W425" s="10" t="s">
        <v>168</v>
      </c>
    </row>
    <row r="426" spans="1:23" s="9" customFormat="1" ht="15.75" hidden="1" customHeight="1" x14ac:dyDescent="0.25">
      <c r="A426" s="4" t="s">
        <v>1336</v>
      </c>
      <c r="B426" s="4" t="s">
        <v>1337</v>
      </c>
      <c r="C426" s="4" t="s">
        <v>1338</v>
      </c>
      <c r="D426" s="22" t="s">
        <v>6090</v>
      </c>
      <c r="E426" s="4" t="s">
        <v>26</v>
      </c>
      <c r="F426" s="4" t="s">
        <v>27</v>
      </c>
      <c r="G426" s="4" t="s">
        <v>28</v>
      </c>
      <c r="H426" s="4" t="s">
        <v>39</v>
      </c>
      <c r="I426" s="5">
        <v>45246</v>
      </c>
      <c r="J426" s="4" t="s">
        <v>40</v>
      </c>
      <c r="K426" s="5">
        <v>45339</v>
      </c>
      <c r="L426" s="4" t="s">
        <v>59</v>
      </c>
      <c r="M426" s="6">
        <v>46975</v>
      </c>
      <c r="N426" s="6">
        <v>3741</v>
      </c>
      <c r="O426" s="4">
        <v>5</v>
      </c>
      <c r="P426" s="5">
        <v>45344</v>
      </c>
      <c r="Q426" s="4" t="s">
        <v>94</v>
      </c>
      <c r="R426" s="4" t="s">
        <v>33</v>
      </c>
      <c r="S426" s="4" t="s">
        <v>41</v>
      </c>
      <c r="T426" s="7">
        <v>12.556800000000001</v>
      </c>
      <c r="U426" s="8">
        <v>93</v>
      </c>
      <c r="V426" s="8">
        <v>2024</v>
      </c>
      <c r="W426" s="4" t="s">
        <v>35</v>
      </c>
    </row>
    <row r="427" spans="1:23" s="9" customFormat="1" ht="15.75" hidden="1" customHeight="1" x14ac:dyDescent="0.25">
      <c r="A427" s="10" t="s">
        <v>1339</v>
      </c>
      <c r="B427" s="10" t="s">
        <v>1340</v>
      </c>
      <c r="C427" s="10" t="s">
        <v>1341</v>
      </c>
      <c r="D427" s="22" t="s">
        <v>6087</v>
      </c>
      <c r="E427" s="10" t="s">
        <v>51</v>
      </c>
      <c r="F427" s="10" t="s">
        <v>71</v>
      </c>
      <c r="G427" s="10" t="s">
        <v>5</v>
      </c>
      <c r="H427" s="10" t="s">
        <v>39</v>
      </c>
      <c r="I427" s="11">
        <v>45556</v>
      </c>
      <c r="J427" s="10" t="s">
        <v>30</v>
      </c>
      <c r="K427" s="11">
        <v>45618</v>
      </c>
      <c r="L427" s="10" t="s">
        <v>59</v>
      </c>
      <c r="M427" s="12">
        <v>8209</v>
      </c>
      <c r="N427" s="12">
        <v>3533</v>
      </c>
      <c r="O427" s="10">
        <v>38</v>
      </c>
      <c r="P427" s="11">
        <v>45656</v>
      </c>
      <c r="Q427" s="10" t="s">
        <v>94</v>
      </c>
      <c r="R427" s="10" t="s">
        <v>33</v>
      </c>
      <c r="S427" s="10" t="s">
        <v>60</v>
      </c>
      <c r="T427" s="13">
        <v>2.3235000000000001</v>
      </c>
      <c r="U427" s="14">
        <v>62</v>
      </c>
      <c r="V427" s="14">
        <v>2024</v>
      </c>
      <c r="W427" s="10" t="s">
        <v>61</v>
      </c>
    </row>
    <row r="428" spans="1:23" s="9" customFormat="1" ht="15.75" hidden="1" customHeight="1" x14ac:dyDescent="0.25">
      <c r="A428" s="4" t="s">
        <v>1342</v>
      </c>
      <c r="B428" s="4" t="s">
        <v>1343</v>
      </c>
      <c r="C428" s="4" t="s">
        <v>1344</v>
      </c>
      <c r="D428" s="22" t="s">
        <v>6090</v>
      </c>
      <c r="E428" s="4" t="s">
        <v>51</v>
      </c>
      <c r="F428" s="4" t="s">
        <v>46</v>
      </c>
      <c r="G428" s="4" t="s">
        <v>5</v>
      </c>
      <c r="H428" s="4" t="s">
        <v>93</v>
      </c>
      <c r="I428" s="5">
        <v>45199</v>
      </c>
      <c r="J428" s="4" t="s">
        <v>30</v>
      </c>
      <c r="K428" s="5">
        <v>45296</v>
      </c>
      <c r="L428" s="4" t="s">
        <v>66</v>
      </c>
      <c r="M428" s="6">
        <v>28889</v>
      </c>
      <c r="N428" s="6">
        <v>5239</v>
      </c>
      <c r="O428" s="4" t="s">
        <v>32</v>
      </c>
      <c r="P428" s="4" t="s">
        <v>32</v>
      </c>
      <c r="Q428" s="4" t="s">
        <v>94</v>
      </c>
      <c r="R428" s="4" t="s">
        <v>94</v>
      </c>
      <c r="S428" s="4" t="s">
        <v>34</v>
      </c>
      <c r="T428" s="7">
        <v>5.5141999999999998</v>
      </c>
      <c r="U428" s="8">
        <v>97</v>
      </c>
      <c r="V428" s="8">
        <v>2024</v>
      </c>
      <c r="W428" s="4" t="s">
        <v>73</v>
      </c>
    </row>
    <row r="429" spans="1:23" s="9" customFormat="1" ht="15.75" hidden="1" customHeight="1" x14ac:dyDescent="0.25">
      <c r="A429" s="10" t="s">
        <v>1345</v>
      </c>
      <c r="B429" s="10" t="s">
        <v>1346</v>
      </c>
      <c r="C429" s="10" t="s">
        <v>1347</v>
      </c>
      <c r="D429" s="21" t="s">
        <v>6086</v>
      </c>
      <c r="E429" s="10" t="s">
        <v>51</v>
      </c>
      <c r="F429" s="10" t="s">
        <v>71</v>
      </c>
      <c r="G429" s="10" t="s">
        <v>28</v>
      </c>
      <c r="H429" s="10" t="s">
        <v>72</v>
      </c>
      <c r="I429" s="11">
        <v>45508</v>
      </c>
      <c r="J429" s="10" t="s">
        <v>30</v>
      </c>
      <c r="K429" s="11">
        <v>45629</v>
      </c>
      <c r="L429" s="10" t="s">
        <v>59</v>
      </c>
      <c r="M429" s="12">
        <v>32404</v>
      </c>
      <c r="N429" s="12">
        <v>6890</v>
      </c>
      <c r="O429" s="10">
        <v>6</v>
      </c>
      <c r="P429" s="11">
        <v>45635</v>
      </c>
      <c r="Q429" s="10" t="s">
        <v>33</v>
      </c>
      <c r="R429" s="10" t="s">
        <v>33</v>
      </c>
      <c r="S429" s="10" t="s">
        <v>34</v>
      </c>
      <c r="T429" s="13">
        <v>4.7030000000000003</v>
      </c>
      <c r="U429" s="14">
        <v>121</v>
      </c>
      <c r="V429" s="14">
        <v>2024</v>
      </c>
      <c r="W429" s="10" t="s">
        <v>89</v>
      </c>
    </row>
    <row r="430" spans="1:23" s="9" customFormat="1" ht="15.75" hidden="1" customHeight="1" x14ac:dyDescent="0.25">
      <c r="A430" s="4" t="s">
        <v>1348</v>
      </c>
      <c r="B430" s="4" t="s">
        <v>1349</v>
      </c>
      <c r="C430" s="4" t="s">
        <v>1350</v>
      </c>
      <c r="D430" s="21" t="s">
        <v>6091</v>
      </c>
      <c r="E430" s="4" t="s">
        <v>51</v>
      </c>
      <c r="F430" s="4" t="s">
        <v>46</v>
      </c>
      <c r="G430" s="4" t="s">
        <v>5</v>
      </c>
      <c r="H430" s="4" t="s">
        <v>58</v>
      </c>
      <c r="I430" s="5">
        <v>45105</v>
      </c>
      <c r="J430" s="4" t="s">
        <v>40</v>
      </c>
      <c r="K430" s="5">
        <v>45395</v>
      </c>
      <c r="L430" s="4" t="s">
        <v>59</v>
      </c>
      <c r="M430" s="6">
        <v>3786</v>
      </c>
      <c r="N430" s="6">
        <v>8895</v>
      </c>
      <c r="O430" s="4">
        <v>14</v>
      </c>
      <c r="P430" s="5">
        <v>45409</v>
      </c>
      <c r="Q430" s="4" t="s">
        <v>94</v>
      </c>
      <c r="R430" s="4" t="s">
        <v>33</v>
      </c>
      <c r="S430" s="4" t="s">
        <v>34</v>
      </c>
      <c r="T430" s="7">
        <v>0.42559999999999998</v>
      </c>
      <c r="U430" s="8">
        <v>290</v>
      </c>
      <c r="V430" s="8">
        <v>2024</v>
      </c>
      <c r="W430" s="4" t="s">
        <v>47</v>
      </c>
    </row>
    <row r="431" spans="1:23" s="9" customFormat="1" ht="15.75" hidden="1" customHeight="1" x14ac:dyDescent="0.25">
      <c r="A431" s="10" t="s">
        <v>1351</v>
      </c>
      <c r="B431" s="10" t="s">
        <v>1352</v>
      </c>
      <c r="C431" s="10" t="s">
        <v>1353</v>
      </c>
      <c r="D431" s="21" t="s">
        <v>6089</v>
      </c>
      <c r="E431" s="10" t="s">
        <v>51</v>
      </c>
      <c r="F431" s="10" t="s">
        <v>65</v>
      </c>
      <c r="G431" s="10" t="s">
        <v>57</v>
      </c>
      <c r="H431" s="10" t="s">
        <v>93</v>
      </c>
      <c r="I431" s="11">
        <v>45266</v>
      </c>
      <c r="J431" s="10" t="s">
        <v>40</v>
      </c>
      <c r="K431" s="11">
        <v>45535</v>
      </c>
      <c r="L431" s="10" t="s">
        <v>31</v>
      </c>
      <c r="M431" s="12">
        <v>45837</v>
      </c>
      <c r="N431" s="12">
        <v>3343</v>
      </c>
      <c r="O431" s="10" t="s">
        <v>32</v>
      </c>
      <c r="P431" s="10" t="s">
        <v>32</v>
      </c>
      <c r="Q431" s="10" t="s">
        <v>33</v>
      </c>
      <c r="R431" s="10" t="s">
        <v>33</v>
      </c>
      <c r="S431" s="10" t="s">
        <v>60</v>
      </c>
      <c r="T431" s="13">
        <v>13.7113</v>
      </c>
      <c r="U431" s="14">
        <v>269</v>
      </c>
      <c r="V431" s="14">
        <v>2024</v>
      </c>
      <c r="W431" s="10" t="s">
        <v>114</v>
      </c>
    </row>
    <row r="432" spans="1:23" s="9" customFormat="1" ht="15.75" hidden="1" customHeight="1" x14ac:dyDescent="0.25">
      <c r="A432" s="4" t="s">
        <v>1354</v>
      </c>
      <c r="B432" s="4" t="s">
        <v>1355</v>
      </c>
      <c r="C432" s="4" t="s">
        <v>1356</v>
      </c>
      <c r="D432" s="22" t="s">
        <v>6090</v>
      </c>
      <c r="E432" s="4" t="s">
        <v>51</v>
      </c>
      <c r="F432" s="4" t="s">
        <v>65</v>
      </c>
      <c r="G432" s="4" t="s">
        <v>28</v>
      </c>
      <c r="H432" s="4" t="s">
        <v>58</v>
      </c>
      <c r="I432" s="5">
        <v>45507</v>
      </c>
      <c r="J432" s="4" t="s">
        <v>30</v>
      </c>
      <c r="K432" s="5">
        <v>45556</v>
      </c>
      <c r="L432" s="4" t="s">
        <v>59</v>
      </c>
      <c r="M432" s="6">
        <v>10447</v>
      </c>
      <c r="N432" s="6">
        <v>8372</v>
      </c>
      <c r="O432" s="4">
        <v>21</v>
      </c>
      <c r="P432" s="5">
        <v>45577</v>
      </c>
      <c r="Q432" s="4" t="s">
        <v>33</v>
      </c>
      <c r="R432" s="4" t="s">
        <v>33</v>
      </c>
      <c r="S432" s="4" t="s">
        <v>34</v>
      </c>
      <c r="T432" s="7">
        <v>1.2478</v>
      </c>
      <c r="U432" s="8">
        <v>49</v>
      </c>
      <c r="V432" s="8">
        <v>2024</v>
      </c>
      <c r="W432" s="4" t="s">
        <v>168</v>
      </c>
    </row>
    <row r="433" spans="1:23" s="9" customFormat="1" ht="15.75" hidden="1" customHeight="1" x14ac:dyDescent="0.25">
      <c r="A433" s="10" t="s">
        <v>1357</v>
      </c>
      <c r="B433" s="10" t="s">
        <v>1358</v>
      </c>
      <c r="C433" s="10" t="s">
        <v>1359</v>
      </c>
      <c r="D433" s="22" t="s">
        <v>6090</v>
      </c>
      <c r="E433" s="10" t="s">
        <v>51</v>
      </c>
      <c r="F433" s="10" t="s">
        <v>46</v>
      </c>
      <c r="G433" s="10" t="s">
        <v>5</v>
      </c>
      <c r="H433" s="10" t="s">
        <v>88</v>
      </c>
      <c r="I433" s="11">
        <v>45068</v>
      </c>
      <c r="J433" s="10" t="s">
        <v>30</v>
      </c>
      <c r="K433" s="11">
        <v>45400</v>
      </c>
      <c r="L433" s="10" t="s">
        <v>59</v>
      </c>
      <c r="M433" s="12">
        <v>40117</v>
      </c>
      <c r="N433" s="12">
        <v>1130</v>
      </c>
      <c r="O433" s="10">
        <v>35</v>
      </c>
      <c r="P433" s="11">
        <v>45435</v>
      </c>
      <c r="Q433" s="10" t="s">
        <v>33</v>
      </c>
      <c r="R433" s="10" t="s">
        <v>33</v>
      </c>
      <c r="S433" s="10" t="s">
        <v>60</v>
      </c>
      <c r="T433" s="13">
        <v>35.501800000000003</v>
      </c>
      <c r="U433" s="14">
        <v>332</v>
      </c>
      <c r="V433" s="14">
        <v>2024</v>
      </c>
      <c r="W433" s="10" t="s">
        <v>47</v>
      </c>
    </row>
    <row r="434" spans="1:23" s="9" customFormat="1" ht="15.75" hidden="1" customHeight="1" x14ac:dyDescent="0.25">
      <c r="A434" s="4" t="s">
        <v>1360</v>
      </c>
      <c r="B434" s="4" t="s">
        <v>1361</v>
      </c>
      <c r="C434" s="4" t="s">
        <v>1362</v>
      </c>
      <c r="D434" s="21" t="s">
        <v>6091</v>
      </c>
      <c r="E434" s="4" t="s">
        <v>51</v>
      </c>
      <c r="F434" s="4" t="s">
        <v>65</v>
      </c>
      <c r="G434" s="4" t="s">
        <v>5</v>
      </c>
      <c r="H434" s="4" t="s">
        <v>39</v>
      </c>
      <c r="I434" s="5">
        <v>45241</v>
      </c>
      <c r="J434" s="4" t="s">
        <v>30</v>
      </c>
      <c r="K434" s="5">
        <v>45386</v>
      </c>
      <c r="L434" s="4" t="s">
        <v>59</v>
      </c>
      <c r="M434" s="6">
        <v>17195</v>
      </c>
      <c r="N434" s="6">
        <v>4422</v>
      </c>
      <c r="O434" s="4">
        <v>20</v>
      </c>
      <c r="P434" s="5">
        <v>45406</v>
      </c>
      <c r="Q434" s="4" t="s">
        <v>94</v>
      </c>
      <c r="R434" s="4" t="s">
        <v>33</v>
      </c>
      <c r="S434" s="4" t="s">
        <v>41</v>
      </c>
      <c r="T434" s="7">
        <v>3.8885000000000001</v>
      </c>
      <c r="U434" s="8">
        <v>145</v>
      </c>
      <c r="V434" s="8">
        <v>2024</v>
      </c>
      <c r="W434" s="4" t="s">
        <v>47</v>
      </c>
    </row>
    <row r="435" spans="1:23" s="9" customFormat="1" ht="15.75" hidden="1" customHeight="1" x14ac:dyDescent="0.25">
      <c r="A435" s="10" t="s">
        <v>1363</v>
      </c>
      <c r="B435" s="10" t="s">
        <v>1364</v>
      </c>
      <c r="C435" s="10" t="s">
        <v>1365</v>
      </c>
      <c r="D435" s="21" t="s">
        <v>6089</v>
      </c>
      <c r="E435" s="10" t="s">
        <v>87</v>
      </c>
      <c r="F435" s="10" t="s">
        <v>71</v>
      </c>
      <c r="G435" s="10" t="s">
        <v>5</v>
      </c>
      <c r="H435" s="10" t="s">
        <v>93</v>
      </c>
      <c r="I435" s="11">
        <v>45177</v>
      </c>
      <c r="J435" s="10" t="s">
        <v>40</v>
      </c>
      <c r="K435" s="11">
        <v>45533</v>
      </c>
      <c r="L435" s="10" t="s">
        <v>66</v>
      </c>
      <c r="M435" s="12">
        <v>60244</v>
      </c>
      <c r="N435" s="12">
        <v>4947</v>
      </c>
      <c r="O435" s="10" t="s">
        <v>32</v>
      </c>
      <c r="P435" s="10" t="s">
        <v>32</v>
      </c>
      <c r="Q435" s="10" t="s">
        <v>33</v>
      </c>
      <c r="R435" s="10" t="s">
        <v>33</v>
      </c>
      <c r="S435" s="10" t="s">
        <v>34</v>
      </c>
      <c r="T435" s="13">
        <v>12.177899999999999</v>
      </c>
      <c r="U435" s="14">
        <v>356</v>
      </c>
      <c r="V435" s="14">
        <v>2024</v>
      </c>
      <c r="W435" s="10" t="s">
        <v>114</v>
      </c>
    </row>
    <row r="436" spans="1:23" s="9" customFormat="1" ht="15.75" hidden="1" customHeight="1" x14ac:dyDescent="0.25">
      <c r="A436" s="4" t="s">
        <v>1366</v>
      </c>
      <c r="B436" s="4" t="s">
        <v>1367</v>
      </c>
      <c r="C436" s="4" t="s">
        <v>1368</v>
      </c>
      <c r="D436" s="21" t="s">
        <v>6089</v>
      </c>
      <c r="E436" s="4" t="s">
        <v>26</v>
      </c>
      <c r="F436" s="21" t="s">
        <v>6092</v>
      </c>
      <c r="G436" s="4" t="s">
        <v>5</v>
      </c>
      <c r="H436" s="4" t="s">
        <v>39</v>
      </c>
      <c r="I436" s="5">
        <v>45441</v>
      </c>
      <c r="J436" s="4" t="s">
        <v>30</v>
      </c>
      <c r="K436" s="5">
        <v>45614</v>
      </c>
      <c r="L436" s="4" t="s">
        <v>59</v>
      </c>
      <c r="M436" s="6">
        <v>39506</v>
      </c>
      <c r="N436" s="6">
        <v>2388</v>
      </c>
      <c r="O436" s="4">
        <v>23</v>
      </c>
      <c r="P436" s="5">
        <v>45637</v>
      </c>
      <c r="Q436" s="4" t="s">
        <v>33</v>
      </c>
      <c r="R436" s="4" t="s">
        <v>33</v>
      </c>
      <c r="S436" s="4" t="s">
        <v>34</v>
      </c>
      <c r="T436" s="7">
        <v>16.543600000000001</v>
      </c>
      <c r="U436" s="8">
        <v>173</v>
      </c>
      <c r="V436" s="8">
        <v>2024</v>
      </c>
      <c r="W436" s="4" t="s">
        <v>61</v>
      </c>
    </row>
    <row r="437" spans="1:23" s="9" customFormat="1" ht="15.75" hidden="1" customHeight="1" x14ac:dyDescent="0.25">
      <c r="A437" s="10" t="s">
        <v>1369</v>
      </c>
      <c r="B437" s="10" t="s">
        <v>1370</v>
      </c>
      <c r="C437" s="10" t="s">
        <v>1371</v>
      </c>
      <c r="D437" s="22" t="s">
        <v>6090</v>
      </c>
      <c r="E437" s="10" t="s">
        <v>87</v>
      </c>
      <c r="F437" s="10" t="s">
        <v>27</v>
      </c>
      <c r="G437" s="10" t="s">
        <v>28</v>
      </c>
      <c r="H437" s="10" t="s">
        <v>161</v>
      </c>
      <c r="I437" s="11">
        <v>45282</v>
      </c>
      <c r="J437" s="10" t="s">
        <v>30</v>
      </c>
      <c r="K437" s="11">
        <v>45564</v>
      </c>
      <c r="L437" s="10" t="s">
        <v>59</v>
      </c>
      <c r="M437" s="12">
        <v>59534</v>
      </c>
      <c r="N437" s="12">
        <v>6398</v>
      </c>
      <c r="O437" s="10">
        <v>7</v>
      </c>
      <c r="P437" s="11">
        <v>45571</v>
      </c>
      <c r="Q437" s="10" t="s">
        <v>33</v>
      </c>
      <c r="R437" s="10" t="s">
        <v>33</v>
      </c>
      <c r="S437" s="10" t="s">
        <v>60</v>
      </c>
      <c r="T437" s="13">
        <v>9.3050999999999995</v>
      </c>
      <c r="U437" s="14">
        <v>282</v>
      </c>
      <c r="V437" s="14">
        <v>2024</v>
      </c>
      <c r="W437" s="10" t="s">
        <v>168</v>
      </c>
    </row>
    <row r="438" spans="1:23" s="9" customFormat="1" ht="15.75" hidden="1" customHeight="1" x14ac:dyDescent="0.25">
      <c r="A438" s="4" t="s">
        <v>1372</v>
      </c>
      <c r="B438" s="4" t="s">
        <v>1373</v>
      </c>
      <c r="C438" s="4" t="s">
        <v>1374</v>
      </c>
      <c r="D438" s="22" t="s">
        <v>6090</v>
      </c>
      <c r="E438" s="4" t="s">
        <v>51</v>
      </c>
      <c r="F438" s="4" t="s">
        <v>46</v>
      </c>
      <c r="G438" s="4" t="s">
        <v>28</v>
      </c>
      <c r="H438" s="4" t="s">
        <v>118</v>
      </c>
      <c r="I438" s="5">
        <v>45467</v>
      </c>
      <c r="J438" s="4" t="s">
        <v>30</v>
      </c>
      <c r="K438" s="5">
        <v>45601</v>
      </c>
      <c r="L438" s="4" t="s">
        <v>31</v>
      </c>
      <c r="M438" s="6">
        <v>33881</v>
      </c>
      <c r="N438" s="6">
        <v>2159</v>
      </c>
      <c r="O438" s="4" t="s">
        <v>32</v>
      </c>
      <c r="P438" s="4" t="s">
        <v>32</v>
      </c>
      <c r="Q438" s="4" t="s">
        <v>33</v>
      </c>
      <c r="R438" s="4" t="s">
        <v>33</v>
      </c>
      <c r="S438" s="4" t="s">
        <v>60</v>
      </c>
      <c r="T438" s="7">
        <v>15.6929</v>
      </c>
      <c r="U438" s="8">
        <v>134</v>
      </c>
      <c r="V438" s="8">
        <v>2024</v>
      </c>
      <c r="W438" s="4" t="s">
        <v>61</v>
      </c>
    </row>
    <row r="439" spans="1:23" s="9" customFormat="1" ht="15.75" hidden="1" customHeight="1" x14ac:dyDescent="0.25">
      <c r="A439" s="10" t="s">
        <v>1375</v>
      </c>
      <c r="B439" s="10" t="s">
        <v>1376</v>
      </c>
      <c r="C439" s="10" t="s">
        <v>1377</v>
      </c>
      <c r="D439" s="21" t="s">
        <v>6089</v>
      </c>
      <c r="E439" s="10" t="s">
        <v>26</v>
      </c>
      <c r="F439" s="10" t="s">
        <v>56</v>
      </c>
      <c r="G439" s="10" t="s">
        <v>5</v>
      </c>
      <c r="H439" s="10" t="s">
        <v>88</v>
      </c>
      <c r="I439" s="11">
        <v>45121</v>
      </c>
      <c r="J439" s="10" t="s">
        <v>40</v>
      </c>
      <c r="K439" s="11">
        <v>45409</v>
      </c>
      <c r="L439" s="10" t="s">
        <v>59</v>
      </c>
      <c r="M439" s="12">
        <v>52996</v>
      </c>
      <c r="N439" s="12">
        <v>3795</v>
      </c>
      <c r="O439" s="10">
        <v>8</v>
      </c>
      <c r="P439" s="11">
        <v>45417</v>
      </c>
      <c r="Q439" s="10" t="s">
        <v>33</v>
      </c>
      <c r="R439" s="10" t="s">
        <v>33</v>
      </c>
      <c r="S439" s="10" t="s">
        <v>41</v>
      </c>
      <c r="T439" s="13">
        <v>13.964700000000001</v>
      </c>
      <c r="U439" s="14">
        <v>288</v>
      </c>
      <c r="V439" s="14">
        <v>2024</v>
      </c>
      <c r="W439" s="10" t="s">
        <v>47</v>
      </c>
    </row>
    <row r="440" spans="1:23" s="9" customFormat="1" ht="15.75" hidden="1" customHeight="1" x14ac:dyDescent="0.25">
      <c r="A440" s="4" t="s">
        <v>1378</v>
      </c>
      <c r="B440" s="4" t="s">
        <v>1379</v>
      </c>
      <c r="C440" s="4" t="s">
        <v>1380</v>
      </c>
      <c r="D440" s="21" t="s">
        <v>6086</v>
      </c>
      <c r="E440" s="4" t="s">
        <v>26</v>
      </c>
      <c r="F440" s="4" t="s">
        <v>71</v>
      </c>
      <c r="G440" s="4" t="s">
        <v>28</v>
      </c>
      <c r="H440" s="4" t="s">
        <v>93</v>
      </c>
      <c r="I440" s="5">
        <v>45086</v>
      </c>
      <c r="J440" s="4" t="s">
        <v>30</v>
      </c>
      <c r="K440" s="5">
        <v>45319</v>
      </c>
      <c r="L440" s="4" t="s">
        <v>59</v>
      </c>
      <c r="M440" s="6">
        <v>31059</v>
      </c>
      <c r="N440" s="6">
        <v>1455</v>
      </c>
      <c r="O440" s="4">
        <v>23</v>
      </c>
      <c r="P440" s="5">
        <v>45342</v>
      </c>
      <c r="Q440" s="4" t="s">
        <v>33</v>
      </c>
      <c r="R440" s="4" t="s">
        <v>33</v>
      </c>
      <c r="S440" s="4" t="s">
        <v>60</v>
      </c>
      <c r="T440" s="7">
        <v>21.346399999999999</v>
      </c>
      <c r="U440" s="8">
        <v>233</v>
      </c>
      <c r="V440" s="8">
        <v>2024</v>
      </c>
      <c r="W440" s="4" t="s">
        <v>73</v>
      </c>
    </row>
    <row r="441" spans="1:23" s="9" customFormat="1" ht="15.75" hidden="1" customHeight="1" x14ac:dyDescent="0.25">
      <c r="A441" s="10" t="s">
        <v>1381</v>
      </c>
      <c r="B441" s="10" t="s">
        <v>1382</v>
      </c>
      <c r="C441" s="10" t="s">
        <v>1383</v>
      </c>
      <c r="D441" s="22" t="s">
        <v>6087</v>
      </c>
      <c r="E441" s="10" t="s">
        <v>51</v>
      </c>
      <c r="F441" s="10" t="s">
        <v>27</v>
      </c>
      <c r="G441" s="10" t="s">
        <v>28</v>
      </c>
      <c r="H441" s="10" t="s">
        <v>88</v>
      </c>
      <c r="I441" s="11">
        <v>44979</v>
      </c>
      <c r="J441" s="10" t="s">
        <v>30</v>
      </c>
      <c r="K441" s="11">
        <v>45301</v>
      </c>
      <c r="L441" s="10" t="s">
        <v>31</v>
      </c>
      <c r="M441" s="12">
        <v>20020</v>
      </c>
      <c r="N441" s="12">
        <v>679</v>
      </c>
      <c r="O441" s="10" t="s">
        <v>32</v>
      </c>
      <c r="P441" s="10" t="s">
        <v>32</v>
      </c>
      <c r="Q441" s="10" t="s">
        <v>33</v>
      </c>
      <c r="R441" s="10" t="s">
        <v>33</v>
      </c>
      <c r="S441" s="10" t="s">
        <v>41</v>
      </c>
      <c r="T441" s="13">
        <v>29.484500000000001</v>
      </c>
      <c r="U441" s="14">
        <v>322</v>
      </c>
      <c r="V441" s="14">
        <v>2024</v>
      </c>
      <c r="W441" s="10" t="s">
        <v>73</v>
      </c>
    </row>
    <row r="442" spans="1:23" s="9" customFormat="1" ht="15.75" hidden="1" customHeight="1" x14ac:dyDescent="0.25">
      <c r="A442" s="4" t="s">
        <v>1384</v>
      </c>
      <c r="B442" s="4" t="s">
        <v>1385</v>
      </c>
      <c r="C442" s="4" t="s">
        <v>1386</v>
      </c>
      <c r="D442" s="21" t="s">
        <v>6089</v>
      </c>
      <c r="E442" s="4" t="s">
        <v>51</v>
      </c>
      <c r="F442" s="4" t="s">
        <v>71</v>
      </c>
      <c r="G442" s="4" t="s">
        <v>28</v>
      </c>
      <c r="H442" s="4" t="s">
        <v>29</v>
      </c>
      <c r="I442" s="5">
        <v>45176</v>
      </c>
      <c r="J442" s="4" t="s">
        <v>40</v>
      </c>
      <c r="K442" s="5">
        <v>45323</v>
      </c>
      <c r="L442" s="4" t="s">
        <v>66</v>
      </c>
      <c r="M442" s="6">
        <v>32073</v>
      </c>
      <c r="N442" s="6">
        <v>8893</v>
      </c>
      <c r="O442" s="4" t="s">
        <v>32</v>
      </c>
      <c r="P442" s="4" t="s">
        <v>32</v>
      </c>
      <c r="Q442" s="4" t="s">
        <v>33</v>
      </c>
      <c r="R442" s="4" t="s">
        <v>33</v>
      </c>
      <c r="S442" s="4" t="s">
        <v>34</v>
      </c>
      <c r="T442" s="7">
        <v>3.6065</v>
      </c>
      <c r="U442" s="8">
        <v>147</v>
      </c>
      <c r="V442" s="8">
        <v>2024</v>
      </c>
      <c r="W442" s="4" t="s">
        <v>35</v>
      </c>
    </row>
    <row r="443" spans="1:23" s="9" customFormat="1" ht="15.75" hidden="1" customHeight="1" x14ac:dyDescent="0.25">
      <c r="A443" s="10" t="s">
        <v>1387</v>
      </c>
      <c r="B443" s="10" t="s">
        <v>1388</v>
      </c>
      <c r="C443" s="10" t="s">
        <v>1389</v>
      </c>
      <c r="D443" s="21" t="s">
        <v>6088</v>
      </c>
      <c r="E443" s="10" t="s">
        <v>26</v>
      </c>
      <c r="F443" s="10" t="s">
        <v>56</v>
      </c>
      <c r="G443" s="10" t="s">
        <v>57</v>
      </c>
      <c r="H443" s="10" t="s">
        <v>93</v>
      </c>
      <c r="I443" s="11">
        <v>45062</v>
      </c>
      <c r="J443" s="10" t="s">
        <v>40</v>
      </c>
      <c r="K443" s="11">
        <v>45325</v>
      </c>
      <c r="L443" s="10" t="s">
        <v>66</v>
      </c>
      <c r="M443" s="12">
        <v>21835</v>
      </c>
      <c r="N443" s="12">
        <v>5901</v>
      </c>
      <c r="O443" s="10" t="s">
        <v>32</v>
      </c>
      <c r="P443" s="10" t="s">
        <v>32</v>
      </c>
      <c r="Q443" s="10" t="s">
        <v>33</v>
      </c>
      <c r="R443" s="10" t="s">
        <v>33</v>
      </c>
      <c r="S443" s="10" t="s">
        <v>34</v>
      </c>
      <c r="T443" s="13">
        <v>3.7002000000000002</v>
      </c>
      <c r="U443" s="14">
        <v>263</v>
      </c>
      <c r="V443" s="14">
        <v>2024</v>
      </c>
      <c r="W443" s="10" t="s">
        <v>35</v>
      </c>
    </row>
    <row r="444" spans="1:23" s="9" customFormat="1" ht="15.75" hidden="1" customHeight="1" x14ac:dyDescent="0.25">
      <c r="A444" s="4" t="s">
        <v>1390</v>
      </c>
      <c r="B444" s="4" t="s">
        <v>1391</v>
      </c>
      <c r="C444" s="4" t="s">
        <v>1392</v>
      </c>
      <c r="D444" s="21" t="s">
        <v>6088</v>
      </c>
      <c r="E444" s="4" t="s">
        <v>51</v>
      </c>
      <c r="F444" s="4" t="s">
        <v>71</v>
      </c>
      <c r="G444" s="4" t="s">
        <v>5</v>
      </c>
      <c r="H444" s="4" t="s">
        <v>72</v>
      </c>
      <c r="I444" s="5">
        <v>45195</v>
      </c>
      <c r="J444" s="4" t="s">
        <v>30</v>
      </c>
      <c r="K444" s="5">
        <v>45292</v>
      </c>
      <c r="L444" s="4" t="s">
        <v>66</v>
      </c>
      <c r="M444" s="6">
        <v>13900</v>
      </c>
      <c r="N444" s="6">
        <v>915</v>
      </c>
      <c r="O444" s="4" t="s">
        <v>32</v>
      </c>
      <c r="P444" s="4" t="s">
        <v>32</v>
      </c>
      <c r="Q444" s="4" t="s">
        <v>33</v>
      </c>
      <c r="R444" s="4" t="s">
        <v>33</v>
      </c>
      <c r="S444" s="4" t="s">
        <v>34</v>
      </c>
      <c r="T444" s="7">
        <v>15.1913</v>
      </c>
      <c r="U444" s="8">
        <v>97</v>
      </c>
      <c r="V444" s="8">
        <v>2024</v>
      </c>
      <c r="W444" s="4" t="s">
        <v>73</v>
      </c>
    </row>
    <row r="445" spans="1:23" s="9" customFormat="1" ht="15.75" hidden="1" customHeight="1" x14ac:dyDescent="0.25">
      <c r="A445" s="10" t="s">
        <v>1393</v>
      </c>
      <c r="B445" s="10" t="s">
        <v>1394</v>
      </c>
      <c r="C445" s="10" t="s">
        <v>1395</v>
      </c>
      <c r="D445" s="22" t="s">
        <v>6090</v>
      </c>
      <c r="E445" s="10" t="s">
        <v>87</v>
      </c>
      <c r="F445" s="10" t="s">
        <v>27</v>
      </c>
      <c r="G445" s="10" t="s">
        <v>5</v>
      </c>
      <c r="H445" s="10" t="s">
        <v>39</v>
      </c>
      <c r="I445" s="11">
        <v>45162</v>
      </c>
      <c r="J445" s="10" t="s">
        <v>40</v>
      </c>
      <c r="K445" s="11">
        <v>45480</v>
      </c>
      <c r="L445" s="10" t="s">
        <v>31</v>
      </c>
      <c r="M445" s="12">
        <v>33303</v>
      </c>
      <c r="N445" s="12">
        <v>4442</v>
      </c>
      <c r="O445" s="10" t="s">
        <v>32</v>
      </c>
      <c r="P445" s="10" t="s">
        <v>32</v>
      </c>
      <c r="Q445" s="10" t="s">
        <v>33</v>
      </c>
      <c r="R445" s="10" t="s">
        <v>33</v>
      </c>
      <c r="S445" s="10" t="s">
        <v>60</v>
      </c>
      <c r="T445" s="13">
        <v>7.4973000000000001</v>
      </c>
      <c r="U445" s="14">
        <v>318</v>
      </c>
      <c r="V445" s="14">
        <v>2024</v>
      </c>
      <c r="W445" s="10" t="s">
        <v>42</v>
      </c>
    </row>
    <row r="446" spans="1:23" s="9" customFormat="1" ht="15.75" hidden="1" customHeight="1" x14ac:dyDescent="0.25">
      <c r="A446" s="4" t="s">
        <v>1396</v>
      </c>
      <c r="B446" s="4" t="s">
        <v>1397</v>
      </c>
      <c r="C446" s="4" t="s">
        <v>1398</v>
      </c>
      <c r="D446" s="22" t="s">
        <v>6087</v>
      </c>
      <c r="E446" s="4" t="s">
        <v>51</v>
      </c>
      <c r="F446" s="4" t="s">
        <v>27</v>
      </c>
      <c r="G446" s="4" t="s">
        <v>57</v>
      </c>
      <c r="H446" s="4" t="s">
        <v>161</v>
      </c>
      <c r="I446" s="5">
        <v>45137</v>
      </c>
      <c r="J446" s="4" t="s">
        <v>30</v>
      </c>
      <c r="K446" s="5">
        <v>45317</v>
      </c>
      <c r="L446" s="4" t="s">
        <v>59</v>
      </c>
      <c r="M446" s="6">
        <v>10315</v>
      </c>
      <c r="N446" s="6">
        <v>3928</v>
      </c>
      <c r="O446" s="4">
        <v>10</v>
      </c>
      <c r="P446" s="5">
        <v>45327</v>
      </c>
      <c r="Q446" s="4" t="s">
        <v>33</v>
      </c>
      <c r="R446" s="4" t="s">
        <v>33</v>
      </c>
      <c r="S446" s="4" t="s">
        <v>60</v>
      </c>
      <c r="T446" s="7">
        <v>2.6259999999999999</v>
      </c>
      <c r="U446" s="8">
        <v>180</v>
      </c>
      <c r="V446" s="8">
        <v>2024</v>
      </c>
      <c r="W446" s="4" t="s">
        <v>73</v>
      </c>
    </row>
    <row r="447" spans="1:23" s="9" customFormat="1" ht="15.75" hidden="1" customHeight="1" x14ac:dyDescent="0.25">
      <c r="A447" s="10" t="s">
        <v>1399</v>
      </c>
      <c r="B447" s="10" t="s">
        <v>1400</v>
      </c>
      <c r="C447" s="10" t="s">
        <v>1401</v>
      </c>
      <c r="D447" s="21" t="s">
        <v>6089</v>
      </c>
      <c r="E447" s="10" t="s">
        <v>51</v>
      </c>
      <c r="F447" s="10" t="s">
        <v>65</v>
      </c>
      <c r="G447" s="10" t="s">
        <v>5</v>
      </c>
      <c r="H447" s="10" t="s">
        <v>88</v>
      </c>
      <c r="I447" s="11">
        <v>45334</v>
      </c>
      <c r="J447" s="10" t="s">
        <v>40</v>
      </c>
      <c r="K447" s="11">
        <v>45458</v>
      </c>
      <c r="L447" s="10" t="s">
        <v>59</v>
      </c>
      <c r="M447" s="12">
        <v>64814</v>
      </c>
      <c r="N447" s="12">
        <v>1069</v>
      </c>
      <c r="O447" s="10">
        <v>3</v>
      </c>
      <c r="P447" s="11">
        <v>45461</v>
      </c>
      <c r="Q447" s="10" t="s">
        <v>33</v>
      </c>
      <c r="R447" s="10" t="s">
        <v>33</v>
      </c>
      <c r="S447" s="10" t="s">
        <v>34</v>
      </c>
      <c r="T447" s="13">
        <v>60.630499999999998</v>
      </c>
      <c r="U447" s="14">
        <v>124</v>
      </c>
      <c r="V447" s="14">
        <v>2024</v>
      </c>
      <c r="W447" s="10" t="s">
        <v>67</v>
      </c>
    </row>
    <row r="448" spans="1:23" s="9" customFormat="1" ht="15.75" hidden="1" customHeight="1" x14ac:dyDescent="0.25">
      <c r="A448" s="4" t="s">
        <v>1402</v>
      </c>
      <c r="B448" s="4" t="s">
        <v>1403</v>
      </c>
      <c r="C448" s="4" t="s">
        <v>1404</v>
      </c>
      <c r="D448" s="21" t="s">
        <v>6086</v>
      </c>
      <c r="E448" s="4" t="s">
        <v>26</v>
      </c>
      <c r="F448" s="4" t="s">
        <v>27</v>
      </c>
      <c r="G448" s="4" t="s">
        <v>5</v>
      </c>
      <c r="H448" s="4" t="s">
        <v>118</v>
      </c>
      <c r="I448" s="5">
        <v>45061</v>
      </c>
      <c r="J448" s="4" t="s">
        <v>40</v>
      </c>
      <c r="K448" s="5">
        <v>45338</v>
      </c>
      <c r="L448" s="4" t="s">
        <v>66</v>
      </c>
      <c r="M448" s="6">
        <v>88977</v>
      </c>
      <c r="N448" s="6">
        <v>3029</v>
      </c>
      <c r="O448" s="4" t="s">
        <v>32</v>
      </c>
      <c r="P448" s="4" t="s">
        <v>32</v>
      </c>
      <c r="Q448" s="4" t="s">
        <v>33</v>
      </c>
      <c r="R448" s="4" t="s">
        <v>33</v>
      </c>
      <c r="S448" s="4" t="s">
        <v>60</v>
      </c>
      <c r="T448" s="7">
        <v>29.375</v>
      </c>
      <c r="U448" s="8">
        <v>277</v>
      </c>
      <c r="V448" s="8">
        <v>2024</v>
      </c>
      <c r="W448" s="4" t="s">
        <v>35</v>
      </c>
    </row>
    <row r="449" spans="1:23" s="9" customFormat="1" ht="15.75" hidden="1" customHeight="1" x14ac:dyDescent="0.25">
      <c r="A449" s="10" t="s">
        <v>1405</v>
      </c>
      <c r="B449" s="10" t="s">
        <v>1406</v>
      </c>
      <c r="C449" s="10" t="s">
        <v>1407</v>
      </c>
      <c r="D449" s="22" t="s">
        <v>6090</v>
      </c>
      <c r="E449" s="10" t="s">
        <v>26</v>
      </c>
      <c r="F449" s="10" t="s">
        <v>46</v>
      </c>
      <c r="G449" s="10" t="s">
        <v>28</v>
      </c>
      <c r="H449" s="10" t="s">
        <v>93</v>
      </c>
      <c r="I449" s="11">
        <v>45372</v>
      </c>
      <c r="J449" s="10" t="s">
        <v>40</v>
      </c>
      <c r="K449" s="11">
        <v>45598</v>
      </c>
      <c r="L449" s="10" t="s">
        <v>59</v>
      </c>
      <c r="M449" s="12">
        <v>49142</v>
      </c>
      <c r="N449" s="12">
        <v>565</v>
      </c>
      <c r="O449" s="10">
        <v>37</v>
      </c>
      <c r="P449" s="11">
        <v>45635</v>
      </c>
      <c r="Q449" s="10" t="s">
        <v>33</v>
      </c>
      <c r="R449" s="10" t="s">
        <v>33</v>
      </c>
      <c r="S449" s="10" t="s">
        <v>41</v>
      </c>
      <c r="T449" s="13">
        <v>86.977000000000004</v>
      </c>
      <c r="U449" s="14">
        <v>226</v>
      </c>
      <c r="V449" s="14">
        <v>2024</v>
      </c>
      <c r="W449" s="10" t="s">
        <v>61</v>
      </c>
    </row>
    <row r="450" spans="1:23" s="9" customFormat="1" ht="15.75" hidden="1" customHeight="1" x14ac:dyDescent="0.25">
      <c r="A450" s="4" t="s">
        <v>1408</v>
      </c>
      <c r="B450" s="4" t="s">
        <v>1409</v>
      </c>
      <c r="C450" s="4" t="s">
        <v>1410</v>
      </c>
      <c r="D450" s="22" t="s">
        <v>6090</v>
      </c>
      <c r="E450" s="4" t="s">
        <v>87</v>
      </c>
      <c r="F450" s="4" t="s">
        <v>71</v>
      </c>
      <c r="G450" s="4" t="s">
        <v>57</v>
      </c>
      <c r="H450" s="4" t="s">
        <v>93</v>
      </c>
      <c r="I450" s="5">
        <v>45163</v>
      </c>
      <c r="J450" s="4" t="s">
        <v>30</v>
      </c>
      <c r="K450" s="5">
        <v>45342</v>
      </c>
      <c r="L450" s="4" t="s">
        <v>66</v>
      </c>
      <c r="M450" s="6">
        <v>47749</v>
      </c>
      <c r="N450" s="6">
        <v>4358</v>
      </c>
      <c r="O450" s="4" t="s">
        <v>32</v>
      </c>
      <c r="P450" s="4" t="s">
        <v>32</v>
      </c>
      <c r="Q450" s="4" t="s">
        <v>33</v>
      </c>
      <c r="R450" s="4" t="s">
        <v>33</v>
      </c>
      <c r="S450" s="4" t="s">
        <v>34</v>
      </c>
      <c r="T450" s="7">
        <v>10.9566</v>
      </c>
      <c r="U450" s="8">
        <v>179</v>
      </c>
      <c r="V450" s="8">
        <v>2024</v>
      </c>
      <c r="W450" s="4" t="s">
        <v>35</v>
      </c>
    </row>
    <row r="451" spans="1:23" s="9" customFormat="1" ht="15.75" hidden="1" customHeight="1" x14ac:dyDescent="0.25">
      <c r="A451" s="10" t="s">
        <v>1411</v>
      </c>
      <c r="B451" s="10" t="s">
        <v>1412</v>
      </c>
      <c r="C451" s="10" t="s">
        <v>1413</v>
      </c>
      <c r="D451" s="22" t="s">
        <v>6087</v>
      </c>
      <c r="E451" s="10" t="s">
        <v>51</v>
      </c>
      <c r="F451" s="21" t="s">
        <v>6092</v>
      </c>
      <c r="G451" s="10" t="s">
        <v>5</v>
      </c>
      <c r="H451" s="10" t="s">
        <v>118</v>
      </c>
      <c r="I451" s="11">
        <v>45290</v>
      </c>
      <c r="J451" s="10" t="s">
        <v>30</v>
      </c>
      <c r="K451" s="11">
        <v>45448</v>
      </c>
      <c r="L451" s="10" t="s">
        <v>59</v>
      </c>
      <c r="M451" s="12">
        <v>28463</v>
      </c>
      <c r="N451" s="12">
        <v>6227</v>
      </c>
      <c r="O451" s="10">
        <v>34</v>
      </c>
      <c r="P451" s="11">
        <v>45482</v>
      </c>
      <c r="Q451" s="10" t="s">
        <v>94</v>
      </c>
      <c r="R451" s="10" t="s">
        <v>33</v>
      </c>
      <c r="S451" s="10" t="s">
        <v>60</v>
      </c>
      <c r="T451" s="13">
        <v>4.5709</v>
      </c>
      <c r="U451" s="14">
        <v>158</v>
      </c>
      <c r="V451" s="14">
        <v>2024</v>
      </c>
      <c r="W451" s="10" t="s">
        <v>67</v>
      </c>
    </row>
    <row r="452" spans="1:23" s="9" customFormat="1" ht="15.75" hidden="1" customHeight="1" x14ac:dyDescent="0.25">
      <c r="A452" s="4" t="s">
        <v>1414</v>
      </c>
      <c r="B452" s="4" t="s">
        <v>1415</v>
      </c>
      <c r="C452" s="4" t="s">
        <v>1416</v>
      </c>
      <c r="D452" s="22" t="s">
        <v>6087</v>
      </c>
      <c r="E452" s="4" t="s">
        <v>87</v>
      </c>
      <c r="F452" s="21" t="s">
        <v>6092</v>
      </c>
      <c r="G452" s="4" t="s">
        <v>5</v>
      </c>
      <c r="H452" s="4" t="s">
        <v>161</v>
      </c>
      <c r="I452" s="5">
        <v>45067</v>
      </c>
      <c r="J452" s="4" t="s">
        <v>30</v>
      </c>
      <c r="K452" s="5">
        <v>45376</v>
      </c>
      <c r="L452" s="4" t="s">
        <v>59</v>
      </c>
      <c r="M452" s="6">
        <v>21167</v>
      </c>
      <c r="N452" s="6">
        <v>5352</v>
      </c>
      <c r="O452" s="4">
        <v>35</v>
      </c>
      <c r="P452" s="5">
        <v>45411</v>
      </c>
      <c r="Q452" s="4" t="s">
        <v>33</v>
      </c>
      <c r="R452" s="4" t="s">
        <v>33</v>
      </c>
      <c r="S452" s="4" t="s">
        <v>60</v>
      </c>
      <c r="T452" s="7">
        <v>3.9550000000000001</v>
      </c>
      <c r="U452" s="8">
        <v>309</v>
      </c>
      <c r="V452" s="8">
        <v>2024</v>
      </c>
      <c r="W452" s="4" t="s">
        <v>77</v>
      </c>
    </row>
    <row r="453" spans="1:23" s="9" customFormat="1" ht="15.75" hidden="1" customHeight="1" x14ac:dyDescent="0.25">
      <c r="A453" s="10" t="s">
        <v>1417</v>
      </c>
      <c r="B453" s="10" t="s">
        <v>1418</v>
      </c>
      <c r="C453" s="10" t="s">
        <v>1419</v>
      </c>
      <c r="D453" s="22" t="s">
        <v>6087</v>
      </c>
      <c r="E453" s="10" t="s">
        <v>26</v>
      </c>
      <c r="F453" s="10" t="s">
        <v>56</v>
      </c>
      <c r="G453" s="10" t="s">
        <v>28</v>
      </c>
      <c r="H453" s="10" t="s">
        <v>161</v>
      </c>
      <c r="I453" s="11">
        <v>45264</v>
      </c>
      <c r="J453" s="10" t="s">
        <v>30</v>
      </c>
      <c r="K453" s="11">
        <v>45594</v>
      </c>
      <c r="L453" s="10" t="s">
        <v>59</v>
      </c>
      <c r="M453" s="12">
        <v>11104</v>
      </c>
      <c r="N453" s="12">
        <v>6309</v>
      </c>
      <c r="O453" s="10">
        <v>21</v>
      </c>
      <c r="P453" s="11">
        <v>45615</v>
      </c>
      <c r="Q453" s="10" t="s">
        <v>33</v>
      </c>
      <c r="R453" s="10" t="s">
        <v>33</v>
      </c>
      <c r="S453" s="10" t="s">
        <v>41</v>
      </c>
      <c r="T453" s="13">
        <v>1.76</v>
      </c>
      <c r="U453" s="14">
        <v>330</v>
      </c>
      <c r="V453" s="14">
        <v>2024</v>
      </c>
      <c r="W453" s="10" t="s">
        <v>95</v>
      </c>
    </row>
    <row r="454" spans="1:23" s="9" customFormat="1" ht="15.75" hidden="1" customHeight="1" x14ac:dyDescent="0.25">
      <c r="A454" s="4" t="s">
        <v>1420</v>
      </c>
      <c r="B454" s="4" t="s">
        <v>1421</v>
      </c>
      <c r="C454" s="4" t="s">
        <v>1422</v>
      </c>
      <c r="D454" s="22" t="s">
        <v>6087</v>
      </c>
      <c r="E454" s="4" t="s">
        <v>51</v>
      </c>
      <c r="F454" s="4" t="s">
        <v>71</v>
      </c>
      <c r="G454" s="4" t="s">
        <v>57</v>
      </c>
      <c r="H454" s="4" t="s">
        <v>29</v>
      </c>
      <c r="I454" s="5">
        <v>45320</v>
      </c>
      <c r="J454" s="4" t="s">
        <v>30</v>
      </c>
      <c r="K454" s="5">
        <v>45478</v>
      </c>
      <c r="L454" s="4" t="s">
        <v>59</v>
      </c>
      <c r="M454" s="6">
        <v>37209</v>
      </c>
      <c r="N454" s="6">
        <v>2209</v>
      </c>
      <c r="O454" s="4">
        <v>26</v>
      </c>
      <c r="P454" s="5">
        <v>45504</v>
      </c>
      <c r="Q454" s="4" t="s">
        <v>33</v>
      </c>
      <c r="R454" s="4" t="s">
        <v>33</v>
      </c>
      <c r="S454" s="4" t="s">
        <v>41</v>
      </c>
      <c r="T454" s="7">
        <v>16.8443</v>
      </c>
      <c r="U454" s="8">
        <v>158</v>
      </c>
      <c r="V454" s="8">
        <v>2024</v>
      </c>
      <c r="W454" s="4" t="s">
        <v>42</v>
      </c>
    </row>
    <row r="455" spans="1:23" s="9" customFormat="1" ht="15.75" hidden="1" customHeight="1" x14ac:dyDescent="0.25">
      <c r="A455" s="10" t="s">
        <v>1423</v>
      </c>
      <c r="B455" s="10" t="s">
        <v>1424</v>
      </c>
      <c r="C455" s="10" t="s">
        <v>1425</v>
      </c>
      <c r="D455" s="22" t="s">
        <v>6090</v>
      </c>
      <c r="E455" s="10" t="s">
        <v>51</v>
      </c>
      <c r="F455" s="10" t="s">
        <v>71</v>
      </c>
      <c r="G455" s="10" t="s">
        <v>5</v>
      </c>
      <c r="H455" s="10" t="s">
        <v>93</v>
      </c>
      <c r="I455" s="11">
        <v>45077</v>
      </c>
      <c r="J455" s="10" t="s">
        <v>30</v>
      </c>
      <c r="K455" s="11">
        <v>45335</v>
      </c>
      <c r="L455" s="10" t="s">
        <v>31</v>
      </c>
      <c r="M455" s="12">
        <v>37054</v>
      </c>
      <c r="N455" s="12">
        <v>5175</v>
      </c>
      <c r="O455" s="10" t="s">
        <v>32</v>
      </c>
      <c r="P455" s="10" t="s">
        <v>32</v>
      </c>
      <c r="Q455" s="10" t="s">
        <v>33</v>
      </c>
      <c r="R455" s="10" t="s">
        <v>33</v>
      </c>
      <c r="S455" s="10" t="s">
        <v>34</v>
      </c>
      <c r="T455" s="13">
        <v>7.1601999999999997</v>
      </c>
      <c r="U455" s="14">
        <v>258</v>
      </c>
      <c r="V455" s="14">
        <v>2024</v>
      </c>
      <c r="W455" s="10" t="s">
        <v>35</v>
      </c>
    </row>
    <row r="456" spans="1:23" s="9" customFormat="1" ht="15.75" hidden="1" customHeight="1" x14ac:dyDescent="0.25">
      <c r="A456" s="4" t="s">
        <v>1426</v>
      </c>
      <c r="B456" s="4" t="s">
        <v>1427</v>
      </c>
      <c r="C456" s="4" t="s">
        <v>1428</v>
      </c>
      <c r="D456" s="22" t="s">
        <v>6087</v>
      </c>
      <c r="E456" s="4" t="s">
        <v>26</v>
      </c>
      <c r="F456" s="4" t="s">
        <v>71</v>
      </c>
      <c r="G456" s="4" t="s">
        <v>57</v>
      </c>
      <c r="H456" s="4" t="s">
        <v>118</v>
      </c>
      <c r="I456" s="5">
        <v>45442</v>
      </c>
      <c r="J456" s="4" t="s">
        <v>30</v>
      </c>
      <c r="K456" s="5">
        <v>45577</v>
      </c>
      <c r="L456" s="4" t="s">
        <v>59</v>
      </c>
      <c r="M456" s="6">
        <v>9632</v>
      </c>
      <c r="N456" s="6">
        <v>2367</v>
      </c>
      <c r="O456" s="4">
        <v>36</v>
      </c>
      <c r="P456" s="5">
        <v>45613</v>
      </c>
      <c r="Q456" s="4" t="s">
        <v>33</v>
      </c>
      <c r="R456" s="4" t="s">
        <v>33</v>
      </c>
      <c r="S456" s="4" t="s">
        <v>34</v>
      </c>
      <c r="T456" s="7">
        <v>4.0693000000000001</v>
      </c>
      <c r="U456" s="8">
        <v>135</v>
      </c>
      <c r="V456" s="8">
        <v>2024</v>
      </c>
      <c r="W456" s="4" t="s">
        <v>95</v>
      </c>
    </row>
    <row r="457" spans="1:23" s="9" customFormat="1" ht="15.75" hidden="1" customHeight="1" x14ac:dyDescent="0.25">
      <c r="A457" s="10" t="s">
        <v>1429</v>
      </c>
      <c r="B457" s="10" t="s">
        <v>1430</v>
      </c>
      <c r="C457" s="10" t="s">
        <v>1431</v>
      </c>
      <c r="D457" s="22" t="s">
        <v>6087</v>
      </c>
      <c r="E457" s="10" t="s">
        <v>51</v>
      </c>
      <c r="F457" s="10" t="s">
        <v>65</v>
      </c>
      <c r="G457" s="10" t="s">
        <v>28</v>
      </c>
      <c r="H457" s="10" t="s">
        <v>72</v>
      </c>
      <c r="I457" s="11">
        <v>45310</v>
      </c>
      <c r="J457" s="10" t="s">
        <v>40</v>
      </c>
      <c r="K457" s="11">
        <v>45638</v>
      </c>
      <c r="L457" s="10" t="s">
        <v>59</v>
      </c>
      <c r="M457" s="12">
        <v>4970</v>
      </c>
      <c r="N457" s="12">
        <v>6307</v>
      </c>
      <c r="O457" s="10">
        <v>10</v>
      </c>
      <c r="P457" s="11">
        <v>45648</v>
      </c>
      <c r="Q457" s="10" t="s">
        <v>33</v>
      </c>
      <c r="R457" s="10" t="s">
        <v>33</v>
      </c>
      <c r="S457" s="10" t="s">
        <v>41</v>
      </c>
      <c r="T457" s="13">
        <v>0.78800000000000003</v>
      </c>
      <c r="U457" s="14">
        <v>328</v>
      </c>
      <c r="V457" s="14">
        <v>2024</v>
      </c>
      <c r="W457" s="10" t="s">
        <v>89</v>
      </c>
    </row>
    <row r="458" spans="1:23" s="9" customFormat="1" ht="15.75" hidden="1" customHeight="1" x14ac:dyDescent="0.25">
      <c r="A458" s="4" t="s">
        <v>1432</v>
      </c>
      <c r="B458" s="4" t="s">
        <v>1433</v>
      </c>
      <c r="C458" s="4" t="s">
        <v>1434</v>
      </c>
      <c r="D458" s="21" t="s">
        <v>6086</v>
      </c>
      <c r="E458" s="4" t="s">
        <v>51</v>
      </c>
      <c r="F458" s="21" t="s">
        <v>6092</v>
      </c>
      <c r="G458" s="4" t="s">
        <v>5</v>
      </c>
      <c r="H458" s="4" t="s">
        <v>58</v>
      </c>
      <c r="I458" s="5">
        <v>45302</v>
      </c>
      <c r="J458" s="4" t="s">
        <v>30</v>
      </c>
      <c r="K458" s="5">
        <v>45530</v>
      </c>
      <c r="L458" s="4" t="s">
        <v>59</v>
      </c>
      <c r="M458" s="6">
        <v>44323</v>
      </c>
      <c r="N458" s="6">
        <v>4125</v>
      </c>
      <c r="O458" s="4">
        <v>21</v>
      </c>
      <c r="P458" s="5">
        <v>45551</v>
      </c>
      <c r="Q458" s="4" t="s">
        <v>94</v>
      </c>
      <c r="R458" s="4" t="s">
        <v>33</v>
      </c>
      <c r="S458" s="4" t="s">
        <v>34</v>
      </c>
      <c r="T458" s="7">
        <v>10.744999999999999</v>
      </c>
      <c r="U458" s="8">
        <v>228</v>
      </c>
      <c r="V458" s="8">
        <v>2024</v>
      </c>
      <c r="W458" s="4" t="s">
        <v>114</v>
      </c>
    </row>
    <row r="459" spans="1:23" s="9" customFormat="1" ht="15.75" hidden="1" customHeight="1" x14ac:dyDescent="0.25">
      <c r="A459" s="10" t="s">
        <v>1435</v>
      </c>
      <c r="B459" s="10" t="s">
        <v>1436</v>
      </c>
      <c r="C459" s="10" t="s">
        <v>1437</v>
      </c>
      <c r="D459" s="22" t="s">
        <v>6090</v>
      </c>
      <c r="E459" s="10" t="s">
        <v>26</v>
      </c>
      <c r="F459" s="10" t="s">
        <v>27</v>
      </c>
      <c r="G459" s="10" t="s">
        <v>5</v>
      </c>
      <c r="H459" s="10" t="s">
        <v>72</v>
      </c>
      <c r="I459" s="11">
        <v>45355</v>
      </c>
      <c r="J459" s="10" t="s">
        <v>40</v>
      </c>
      <c r="K459" s="11">
        <v>45399</v>
      </c>
      <c r="L459" s="10" t="s">
        <v>59</v>
      </c>
      <c r="M459" s="12">
        <v>36187</v>
      </c>
      <c r="N459" s="12">
        <v>6837</v>
      </c>
      <c r="O459" s="10">
        <v>9</v>
      </c>
      <c r="P459" s="11">
        <v>45408</v>
      </c>
      <c r="Q459" s="10" t="s">
        <v>94</v>
      </c>
      <c r="R459" s="10" t="s">
        <v>33</v>
      </c>
      <c r="S459" s="10" t="s">
        <v>34</v>
      </c>
      <c r="T459" s="13">
        <v>5.2927999999999997</v>
      </c>
      <c r="U459" s="14">
        <v>44</v>
      </c>
      <c r="V459" s="14">
        <v>2024</v>
      </c>
      <c r="W459" s="10" t="s">
        <v>47</v>
      </c>
    </row>
    <row r="460" spans="1:23" s="9" customFormat="1" ht="15.75" hidden="1" customHeight="1" x14ac:dyDescent="0.25">
      <c r="A460" s="4" t="s">
        <v>1438</v>
      </c>
      <c r="B460" s="4" t="s">
        <v>1439</v>
      </c>
      <c r="C460" s="4" t="s">
        <v>1440</v>
      </c>
      <c r="D460" s="22" t="s">
        <v>6087</v>
      </c>
      <c r="E460" s="4" t="s">
        <v>26</v>
      </c>
      <c r="F460" s="4" t="s">
        <v>65</v>
      </c>
      <c r="G460" s="4" t="s">
        <v>5</v>
      </c>
      <c r="H460" s="4" t="s">
        <v>93</v>
      </c>
      <c r="I460" s="5">
        <v>45340</v>
      </c>
      <c r="J460" s="4" t="s">
        <v>40</v>
      </c>
      <c r="K460" s="5">
        <v>45570</v>
      </c>
      <c r="L460" s="4" t="s">
        <v>59</v>
      </c>
      <c r="M460" s="6">
        <v>39667</v>
      </c>
      <c r="N460" s="6">
        <v>1826</v>
      </c>
      <c r="O460" s="4">
        <v>8</v>
      </c>
      <c r="P460" s="5">
        <v>45578</v>
      </c>
      <c r="Q460" s="4" t="s">
        <v>33</v>
      </c>
      <c r="R460" s="4" t="s">
        <v>33</v>
      </c>
      <c r="S460" s="4" t="s">
        <v>41</v>
      </c>
      <c r="T460" s="7">
        <v>21.723400000000002</v>
      </c>
      <c r="U460" s="8">
        <v>230</v>
      </c>
      <c r="V460" s="8">
        <v>2024</v>
      </c>
      <c r="W460" s="4" t="s">
        <v>95</v>
      </c>
    </row>
    <row r="461" spans="1:23" s="9" customFormat="1" ht="15.75" hidden="1" customHeight="1" x14ac:dyDescent="0.25">
      <c r="A461" s="10" t="s">
        <v>1441</v>
      </c>
      <c r="B461" s="10" t="s">
        <v>1442</v>
      </c>
      <c r="C461" s="10" t="s">
        <v>1443</v>
      </c>
      <c r="D461" s="21" t="s">
        <v>6089</v>
      </c>
      <c r="E461" s="10" t="s">
        <v>26</v>
      </c>
      <c r="F461" s="10" t="s">
        <v>71</v>
      </c>
      <c r="G461" s="10" t="s">
        <v>5</v>
      </c>
      <c r="H461" s="10" t="s">
        <v>93</v>
      </c>
      <c r="I461" s="11">
        <v>45130</v>
      </c>
      <c r="J461" s="10" t="s">
        <v>40</v>
      </c>
      <c r="K461" s="11">
        <v>45411</v>
      </c>
      <c r="L461" s="10" t="s">
        <v>59</v>
      </c>
      <c r="M461" s="12">
        <v>20631</v>
      </c>
      <c r="N461" s="12">
        <v>4232</v>
      </c>
      <c r="O461" s="10">
        <v>22</v>
      </c>
      <c r="P461" s="11">
        <v>45433</v>
      </c>
      <c r="Q461" s="10" t="s">
        <v>33</v>
      </c>
      <c r="R461" s="10" t="s">
        <v>33</v>
      </c>
      <c r="S461" s="10" t="s">
        <v>41</v>
      </c>
      <c r="T461" s="13">
        <v>4.875</v>
      </c>
      <c r="U461" s="14">
        <v>281</v>
      </c>
      <c r="V461" s="14">
        <v>2024</v>
      </c>
      <c r="W461" s="10" t="s">
        <v>47</v>
      </c>
    </row>
    <row r="462" spans="1:23" s="9" customFormat="1" ht="15.75" hidden="1" customHeight="1" x14ac:dyDescent="0.25">
      <c r="A462" s="4" t="s">
        <v>1444</v>
      </c>
      <c r="B462" s="4" t="s">
        <v>1445</v>
      </c>
      <c r="C462" s="4" t="s">
        <v>1446</v>
      </c>
      <c r="D462" s="22" t="s">
        <v>6090</v>
      </c>
      <c r="E462" s="4" t="s">
        <v>51</v>
      </c>
      <c r="F462" s="4" t="s">
        <v>65</v>
      </c>
      <c r="G462" s="4" t="s">
        <v>5</v>
      </c>
      <c r="H462" s="4" t="s">
        <v>93</v>
      </c>
      <c r="I462" s="5">
        <v>45181</v>
      </c>
      <c r="J462" s="4" t="s">
        <v>40</v>
      </c>
      <c r="K462" s="5">
        <v>45325</v>
      </c>
      <c r="L462" s="4" t="s">
        <v>66</v>
      </c>
      <c r="M462" s="6">
        <v>29915</v>
      </c>
      <c r="N462" s="6">
        <v>5662</v>
      </c>
      <c r="O462" s="4" t="s">
        <v>32</v>
      </c>
      <c r="P462" s="4" t="s">
        <v>32</v>
      </c>
      <c r="Q462" s="4" t="s">
        <v>33</v>
      </c>
      <c r="R462" s="4" t="s">
        <v>33</v>
      </c>
      <c r="S462" s="4" t="s">
        <v>41</v>
      </c>
      <c r="T462" s="7">
        <v>5.2835000000000001</v>
      </c>
      <c r="U462" s="8">
        <v>144</v>
      </c>
      <c r="V462" s="8">
        <v>2024</v>
      </c>
      <c r="W462" s="4" t="s">
        <v>35</v>
      </c>
    </row>
    <row r="463" spans="1:23" s="9" customFormat="1" ht="15.75" hidden="1" customHeight="1" x14ac:dyDescent="0.25">
      <c r="A463" s="10" t="s">
        <v>1447</v>
      </c>
      <c r="B463" s="10" t="s">
        <v>1448</v>
      </c>
      <c r="C463" s="10" t="s">
        <v>1449</v>
      </c>
      <c r="D463" s="21" t="s">
        <v>6088</v>
      </c>
      <c r="E463" s="10" t="s">
        <v>87</v>
      </c>
      <c r="F463" s="10" t="s">
        <v>71</v>
      </c>
      <c r="G463" s="10" t="s">
        <v>28</v>
      </c>
      <c r="H463" s="10" t="s">
        <v>118</v>
      </c>
      <c r="I463" s="11">
        <v>45148</v>
      </c>
      <c r="J463" s="10" t="s">
        <v>40</v>
      </c>
      <c r="K463" s="11">
        <v>45362</v>
      </c>
      <c r="L463" s="10" t="s">
        <v>31</v>
      </c>
      <c r="M463" s="12">
        <v>36940</v>
      </c>
      <c r="N463" s="12">
        <v>989</v>
      </c>
      <c r="O463" s="10" t="s">
        <v>32</v>
      </c>
      <c r="P463" s="10" t="s">
        <v>32</v>
      </c>
      <c r="Q463" s="10" t="s">
        <v>33</v>
      </c>
      <c r="R463" s="10" t="s">
        <v>33</v>
      </c>
      <c r="S463" s="10" t="s">
        <v>41</v>
      </c>
      <c r="T463" s="13">
        <v>37.350900000000003</v>
      </c>
      <c r="U463" s="14">
        <v>214</v>
      </c>
      <c r="V463" s="14">
        <v>2024</v>
      </c>
      <c r="W463" s="10" t="s">
        <v>77</v>
      </c>
    </row>
    <row r="464" spans="1:23" s="9" customFormat="1" ht="15.75" hidden="1" customHeight="1" x14ac:dyDescent="0.25">
      <c r="A464" s="4" t="s">
        <v>1450</v>
      </c>
      <c r="B464" s="4" t="s">
        <v>1451</v>
      </c>
      <c r="C464" s="4" t="s">
        <v>1452</v>
      </c>
      <c r="D464" s="21" t="s">
        <v>6089</v>
      </c>
      <c r="E464" s="4" t="s">
        <v>26</v>
      </c>
      <c r="F464" s="4" t="s">
        <v>65</v>
      </c>
      <c r="G464" s="4" t="s">
        <v>28</v>
      </c>
      <c r="H464" s="4" t="s">
        <v>58</v>
      </c>
      <c r="I464" s="5">
        <v>45220</v>
      </c>
      <c r="J464" s="4" t="s">
        <v>40</v>
      </c>
      <c r="K464" s="5">
        <v>45309</v>
      </c>
      <c r="L464" s="4" t="s">
        <v>31</v>
      </c>
      <c r="M464" s="6">
        <v>57553</v>
      </c>
      <c r="N464" s="6">
        <v>7688</v>
      </c>
      <c r="O464" s="4" t="s">
        <v>32</v>
      </c>
      <c r="P464" s="4" t="s">
        <v>32</v>
      </c>
      <c r="Q464" s="4" t="s">
        <v>33</v>
      </c>
      <c r="R464" s="4" t="s">
        <v>33</v>
      </c>
      <c r="S464" s="4" t="s">
        <v>34</v>
      </c>
      <c r="T464" s="7">
        <v>7.4861000000000004</v>
      </c>
      <c r="U464" s="8">
        <v>89</v>
      </c>
      <c r="V464" s="8">
        <v>2024</v>
      </c>
      <c r="W464" s="4" t="s">
        <v>73</v>
      </c>
    </row>
    <row r="465" spans="1:23" s="9" customFormat="1" ht="15.75" hidden="1" customHeight="1" x14ac:dyDescent="0.25">
      <c r="A465" s="10" t="s">
        <v>1453</v>
      </c>
      <c r="B465" s="10" t="s">
        <v>1454</v>
      </c>
      <c r="C465" s="10" t="s">
        <v>1455</v>
      </c>
      <c r="D465" s="21" t="s">
        <v>6088</v>
      </c>
      <c r="E465" s="10" t="s">
        <v>51</v>
      </c>
      <c r="F465" s="10" t="s">
        <v>65</v>
      </c>
      <c r="G465" s="10" t="s">
        <v>57</v>
      </c>
      <c r="H465" s="10" t="s">
        <v>58</v>
      </c>
      <c r="I465" s="11">
        <v>45352</v>
      </c>
      <c r="J465" s="10" t="s">
        <v>40</v>
      </c>
      <c r="K465" s="11">
        <v>45556</v>
      </c>
      <c r="L465" s="10" t="s">
        <v>59</v>
      </c>
      <c r="M465" s="12">
        <v>50663</v>
      </c>
      <c r="N465" s="12">
        <v>2372</v>
      </c>
      <c r="O465" s="10">
        <v>3</v>
      </c>
      <c r="P465" s="11">
        <v>45559</v>
      </c>
      <c r="Q465" s="10" t="s">
        <v>33</v>
      </c>
      <c r="R465" s="10" t="s">
        <v>33</v>
      </c>
      <c r="S465" s="10" t="s">
        <v>34</v>
      </c>
      <c r="T465" s="13">
        <v>21.358799999999999</v>
      </c>
      <c r="U465" s="14">
        <v>204</v>
      </c>
      <c r="V465" s="14">
        <v>2024</v>
      </c>
      <c r="W465" s="10" t="s">
        <v>168</v>
      </c>
    </row>
    <row r="466" spans="1:23" s="9" customFormat="1" ht="15.75" hidden="1" customHeight="1" x14ac:dyDescent="0.25">
      <c r="A466" s="4" t="s">
        <v>1456</v>
      </c>
      <c r="B466" s="4" t="s">
        <v>1457</v>
      </c>
      <c r="C466" s="4" t="s">
        <v>1458</v>
      </c>
      <c r="D466" s="21" t="s">
        <v>6091</v>
      </c>
      <c r="E466" s="4" t="s">
        <v>51</v>
      </c>
      <c r="F466" s="4" t="s">
        <v>27</v>
      </c>
      <c r="G466" s="4" t="s">
        <v>28</v>
      </c>
      <c r="H466" s="4" t="s">
        <v>29</v>
      </c>
      <c r="I466" s="5">
        <v>45099</v>
      </c>
      <c r="J466" s="4" t="s">
        <v>40</v>
      </c>
      <c r="K466" s="5">
        <v>45360</v>
      </c>
      <c r="L466" s="4" t="s">
        <v>59</v>
      </c>
      <c r="M466" s="6">
        <v>15791</v>
      </c>
      <c r="N466" s="6">
        <v>5913</v>
      </c>
      <c r="O466" s="4">
        <v>17</v>
      </c>
      <c r="P466" s="5">
        <v>45377</v>
      </c>
      <c r="Q466" s="4" t="s">
        <v>94</v>
      </c>
      <c r="R466" s="4" t="s">
        <v>94</v>
      </c>
      <c r="S466" s="4" t="s">
        <v>34</v>
      </c>
      <c r="T466" s="7">
        <v>2.6705999999999999</v>
      </c>
      <c r="U466" s="8">
        <v>261</v>
      </c>
      <c r="V466" s="8">
        <v>2024</v>
      </c>
      <c r="W466" s="4" t="s">
        <v>77</v>
      </c>
    </row>
    <row r="467" spans="1:23" s="9" customFormat="1" ht="15.75" hidden="1" customHeight="1" x14ac:dyDescent="0.25">
      <c r="A467" s="10" t="s">
        <v>1459</v>
      </c>
      <c r="B467" s="10" t="s">
        <v>1460</v>
      </c>
      <c r="C467" s="10" t="s">
        <v>1461</v>
      </c>
      <c r="D467" s="21" t="s">
        <v>6089</v>
      </c>
      <c r="E467" s="10" t="s">
        <v>87</v>
      </c>
      <c r="F467" s="10" t="s">
        <v>27</v>
      </c>
      <c r="G467" s="10" t="s">
        <v>5</v>
      </c>
      <c r="H467" s="10" t="s">
        <v>161</v>
      </c>
      <c r="I467" s="11">
        <v>45117</v>
      </c>
      <c r="J467" s="10" t="s">
        <v>30</v>
      </c>
      <c r="K467" s="11">
        <v>45395</v>
      </c>
      <c r="L467" s="10" t="s">
        <v>59</v>
      </c>
      <c r="M467" s="12">
        <v>29189</v>
      </c>
      <c r="N467" s="12">
        <v>1006</v>
      </c>
      <c r="O467" s="10">
        <v>45</v>
      </c>
      <c r="P467" s="11">
        <v>45440</v>
      </c>
      <c r="Q467" s="10" t="s">
        <v>94</v>
      </c>
      <c r="R467" s="10" t="s">
        <v>33</v>
      </c>
      <c r="S467" s="10" t="s">
        <v>34</v>
      </c>
      <c r="T467" s="13">
        <v>29.014900000000001</v>
      </c>
      <c r="U467" s="14">
        <v>278</v>
      </c>
      <c r="V467" s="14">
        <v>2024</v>
      </c>
      <c r="W467" s="10" t="s">
        <v>47</v>
      </c>
    </row>
    <row r="468" spans="1:23" s="9" customFormat="1" ht="15.75" hidden="1" customHeight="1" x14ac:dyDescent="0.25">
      <c r="A468" s="4" t="s">
        <v>1462</v>
      </c>
      <c r="B468" s="4" t="s">
        <v>1463</v>
      </c>
      <c r="C468" s="4" t="s">
        <v>1464</v>
      </c>
      <c r="D468" s="21" t="s">
        <v>6089</v>
      </c>
      <c r="E468" s="4" t="s">
        <v>51</v>
      </c>
      <c r="F468" s="4" t="s">
        <v>65</v>
      </c>
      <c r="G468" s="4" t="s">
        <v>28</v>
      </c>
      <c r="H468" s="4" t="s">
        <v>118</v>
      </c>
      <c r="I468" s="5">
        <v>45306</v>
      </c>
      <c r="J468" s="4" t="s">
        <v>30</v>
      </c>
      <c r="K468" s="5">
        <v>45551</v>
      </c>
      <c r="L468" s="4" t="s">
        <v>59</v>
      </c>
      <c r="M468" s="6">
        <v>66193</v>
      </c>
      <c r="N468" s="6">
        <v>7338</v>
      </c>
      <c r="O468" s="4">
        <v>24</v>
      </c>
      <c r="P468" s="5">
        <v>45575</v>
      </c>
      <c r="Q468" s="4" t="s">
        <v>33</v>
      </c>
      <c r="R468" s="4" t="s">
        <v>33</v>
      </c>
      <c r="S468" s="4" t="s">
        <v>34</v>
      </c>
      <c r="T468" s="7">
        <v>9.0206</v>
      </c>
      <c r="U468" s="8">
        <v>245</v>
      </c>
      <c r="V468" s="8">
        <v>2024</v>
      </c>
      <c r="W468" s="4" t="s">
        <v>168</v>
      </c>
    </row>
    <row r="469" spans="1:23" s="9" customFormat="1" ht="15.75" hidden="1" customHeight="1" x14ac:dyDescent="0.25">
      <c r="A469" s="10" t="s">
        <v>1465</v>
      </c>
      <c r="B469" s="10" t="s">
        <v>1466</v>
      </c>
      <c r="C469" s="10" t="s">
        <v>1467</v>
      </c>
      <c r="D469" s="22" t="s">
        <v>6087</v>
      </c>
      <c r="E469" s="10" t="s">
        <v>87</v>
      </c>
      <c r="F469" s="21" t="s">
        <v>6092</v>
      </c>
      <c r="G469" s="10" t="s">
        <v>57</v>
      </c>
      <c r="H469" s="10" t="s">
        <v>88</v>
      </c>
      <c r="I469" s="11">
        <v>45115</v>
      </c>
      <c r="J469" s="10" t="s">
        <v>30</v>
      </c>
      <c r="K469" s="11">
        <v>45307</v>
      </c>
      <c r="L469" s="10" t="s">
        <v>66</v>
      </c>
      <c r="M469" s="12">
        <v>15688</v>
      </c>
      <c r="N469" s="12">
        <v>8182</v>
      </c>
      <c r="O469" s="10" t="s">
        <v>32</v>
      </c>
      <c r="P469" s="10" t="s">
        <v>32</v>
      </c>
      <c r="Q469" s="10" t="s">
        <v>33</v>
      </c>
      <c r="R469" s="10" t="s">
        <v>33</v>
      </c>
      <c r="S469" s="10" t="s">
        <v>60</v>
      </c>
      <c r="T469" s="13">
        <v>1.9174</v>
      </c>
      <c r="U469" s="14">
        <v>192</v>
      </c>
      <c r="V469" s="14">
        <v>2024</v>
      </c>
      <c r="W469" s="10" t="s">
        <v>73</v>
      </c>
    </row>
    <row r="470" spans="1:23" s="9" customFormat="1" ht="15.75" hidden="1" customHeight="1" x14ac:dyDescent="0.25">
      <c r="A470" s="4" t="s">
        <v>1468</v>
      </c>
      <c r="B470" s="4" t="s">
        <v>1469</v>
      </c>
      <c r="C470" s="4" t="s">
        <v>1470</v>
      </c>
      <c r="D470" s="22" t="s">
        <v>6087</v>
      </c>
      <c r="E470" s="4" t="s">
        <v>87</v>
      </c>
      <c r="F470" s="4" t="s">
        <v>27</v>
      </c>
      <c r="G470" s="4" t="s">
        <v>57</v>
      </c>
      <c r="H470" s="4" t="s">
        <v>39</v>
      </c>
      <c r="I470" s="5">
        <v>45231</v>
      </c>
      <c r="J470" s="4" t="s">
        <v>30</v>
      </c>
      <c r="K470" s="5">
        <v>45572</v>
      </c>
      <c r="L470" s="4" t="s">
        <v>31</v>
      </c>
      <c r="M470" s="6">
        <v>30418</v>
      </c>
      <c r="N470" s="6">
        <v>4781</v>
      </c>
      <c r="O470" s="4" t="s">
        <v>32</v>
      </c>
      <c r="P470" s="4" t="s">
        <v>32</v>
      </c>
      <c r="Q470" s="4" t="s">
        <v>33</v>
      </c>
      <c r="R470" s="4" t="s">
        <v>33</v>
      </c>
      <c r="S470" s="4" t="s">
        <v>34</v>
      </c>
      <c r="T470" s="7">
        <v>6.3623000000000003</v>
      </c>
      <c r="U470" s="8">
        <v>341</v>
      </c>
      <c r="V470" s="8">
        <v>2024</v>
      </c>
      <c r="W470" s="4" t="s">
        <v>95</v>
      </c>
    </row>
    <row r="471" spans="1:23" s="9" customFormat="1" ht="15.75" hidden="1" customHeight="1" x14ac:dyDescent="0.25">
      <c r="A471" s="10" t="s">
        <v>1471</v>
      </c>
      <c r="B471" s="10" t="s">
        <v>1472</v>
      </c>
      <c r="C471" s="10" t="s">
        <v>1473</v>
      </c>
      <c r="D471" s="21" t="s">
        <v>6086</v>
      </c>
      <c r="E471" s="10" t="s">
        <v>87</v>
      </c>
      <c r="F471" s="21" t="s">
        <v>6092</v>
      </c>
      <c r="G471" s="10" t="s">
        <v>57</v>
      </c>
      <c r="H471" s="10" t="s">
        <v>72</v>
      </c>
      <c r="I471" s="11">
        <v>45373</v>
      </c>
      <c r="J471" s="10" t="s">
        <v>30</v>
      </c>
      <c r="K471" s="11">
        <v>45476</v>
      </c>
      <c r="L471" s="10" t="s">
        <v>59</v>
      </c>
      <c r="M471" s="12">
        <v>63412</v>
      </c>
      <c r="N471" s="12">
        <v>6716</v>
      </c>
      <c r="O471" s="10">
        <v>13</v>
      </c>
      <c r="P471" s="11">
        <v>45489</v>
      </c>
      <c r="Q471" s="10" t="s">
        <v>33</v>
      </c>
      <c r="R471" s="10" t="s">
        <v>33</v>
      </c>
      <c r="S471" s="10" t="s">
        <v>34</v>
      </c>
      <c r="T471" s="13">
        <v>9.4419000000000004</v>
      </c>
      <c r="U471" s="14">
        <v>103</v>
      </c>
      <c r="V471" s="14">
        <v>2024</v>
      </c>
      <c r="W471" s="10" t="s">
        <v>42</v>
      </c>
    </row>
    <row r="472" spans="1:23" s="9" customFormat="1" ht="15.75" hidden="1" customHeight="1" x14ac:dyDescent="0.25">
      <c r="A472" s="4" t="s">
        <v>1474</v>
      </c>
      <c r="B472" s="4" t="s">
        <v>1475</v>
      </c>
      <c r="C472" s="4" t="s">
        <v>1476</v>
      </c>
      <c r="D472" s="22" t="s">
        <v>6090</v>
      </c>
      <c r="E472" s="4" t="s">
        <v>26</v>
      </c>
      <c r="F472" s="4" t="s">
        <v>56</v>
      </c>
      <c r="G472" s="4" t="s">
        <v>57</v>
      </c>
      <c r="H472" s="4" t="s">
        <v>29</v>
      </c>
      <c r="I472" s="5">
        <v>45223</v>
      </c>
      <c r="J472" s="4" t="s">
        <v>40</v>
      </c>
      <c r="K472" s="5">
        <v>45416</v>
      </c>
      <c r="L472" s="4" t="s">
        <v>31</v>
      </c>
      <c r="M472" s="6">
        <v>56302</v>
      </c>
      <c r="N472" s="6">
        <v>6035</v>
      </c>
      <c r="O472" s="4" t="s">
        <v>32</v>
      </c>
      <c r="P472" s="4" t="s">
        <v>32</v>
      </c>
      <c r="Q472" s="4" t="s">
        <v>33</v>
      </c>
      <c r="R472" s="4" t="s">
        <v>33</v>
      </c>
      <c r="S472" s="4" t="s">
        <v>41</v>
      </c>
      <c r="T472" s="7">
        <v>9.3292000000000002</v>
      </c>
      <c r="U472" s="8">
        <v>193</v>
      </c>
      <c r="V472" s="8">
        <v>2024</v>
      </c>
      <c r="W472" s="4" t="s">
        <v>52</v>
      </c>
    </row>
    <row r="473" spans="1:23" s="9" customFormat="1" ht="15.75" hidden="1" customHeight="1" x14ac:dyDescent="0.25">
      <c r="A473" s="10" t="s">
        <v>1477</v>
      </c>
      <c r="B473" s="10" t="s">
        <v>1478</v>
      </c>
      <c r="C473" s="10" t="s">
        <v>1479</v>
      </c>
      <c r="D473" s="21" t="s">
        <v>6091</v>
      </c>
      <c r="E473" s="10" t="s">
        <v>26</v>
      </c>
      <c r="F473" s="10" t="s">
        <v>46</v>
      </c>
      <c r="G473" s="10" t="s">
        <v>28</v>
      </c>
      <c r="H473" s="10" t="s">
        <v>72</v>
      </c>
      <c r="I473" s="11">
        <v>45164</v>
      </c>
      <c r="J473" s="10" t="s">
        <v>30</v>
      </c>
      <c r="K473" s="11">
        <v>45332</v>
      </c>
      <c r="L473" s="10" t="s">
        <v>31</v>
      </c>
      <c r="M473" s="12">
        <v>12404</v>
      </c>
      <c r="N473" s="12">
        <v>1796</v>
      </c>
      <c r="O473" s="10" t="s">
        <v>32</v>
      </c>
      <c r="P473" s="10" t="s">
        <v>32</v>
      </c>
      <c r="Q473" s="10" t="s">
        <v>33</v>
      </c>
      <c r="R473" s="10" t="s">
        <v>33</v>
      </c>
      <c r="S473" s="10" t="s">
        <v>60</v>
      </c>
      <c r="T473" s="13">
        <v>6.9065000000000003</v>
      </c>
      <c r="U473" s="14">
        <v>168</v>
      </c>
      <c r="V473" s="14">
        <v>2024</v>
      </c>
      <c r="W473" s="10" t="s">
        <v>35</v>
      </c>
    </row>
    <row r="474" spans="1:23" s="9" customFormat="1" ht="15.75" hidden="1" customHeight="1" x14ac:dyDescent="0.25">
      <c r="A474" s="4" t="s">
        <v>1480</v>
      </c>
      <c r="B474" s="4" t="s">
        <v>1481</v>
      </c>
      <c r="C474" s="4" t="s">
        <v>1482</v>
      </c>
      <c r="D474" s="22" t="s">
        <v>6087</v>
      </c>
      <c r="E474" s="4" t="s">
        <v>87</v>
      </c>
      <c r="F474" s="4" t="s">
        <v>27</v>
      </c>
      <c r="G474" s="4" t="s">
        <v>57</v>
      </c>
      <c r="H474" s="4" t="s">
        <v>93</v>
      </c>
      <c r="I474" s="5">
        <v>45206</v>
      </c>
      <c r="J474" s="4" t="s">
        <v>30</v>
      </c>
      <c r="K474" s="5">
        <v>45436</v>
      </c>
      <c r="L474" s="4" t="s">
        <v>59</v>
      </c>
      <c r="M474" s="6">
        <v>32954</v>
      </c>
      <c r="N474" s="6">
        <v>1045</v>
      </c>
      <c r="O474" s="4">
        <v>16</v>
      </c>
      <c r="P474" s="5">
        <v>45452</v>
      </c>
      <c r="Q474" s="4" t="s">
        <v>33</v>
      </c>
      <c r="R474" s="4" t="s">
        <v>33</v>
      </c>
      <c r="S474" s="4" t="s">
        <v>34</v>
      </c>
      <c r="T474" s="7">
        <v>31.5349</v>
      </c>
      <c r="U474" s="8">
        <v>230</v>
      </c>
      <c r="V474" s="8">
        <v>2024</v>
      </c>
      <c r="W474" s="4" t="s">
        <v>52</v>
      </c>
    </row>
    <row r="475" spans="1:23" s="9" customFormat="1" ht="15.75" hidden="1" customHeight="1" x14ac:dyDescent="0.25">
      <c r="A475" s="10" t="s">
        <v>1483</v>
      </c>
      <c r="B475" s="10" t="s">
        <v>1484</v>
      </c>
      <c r="C475" s="10" t="s">
        <v>1485</v>
      </c>
      <c r="D475" s="22" t="s">
        <v>6087</v>
      </c>
      <c r="E475" s="10" t="s">
        <v>87</v>
      </c>
      <c r="F475" s="10" t="s">
        <v>46</v>
      </c>
      <c r="G475" s="10" t="s">
        <v>5</v>
      </c>
      <c r="H475" s="10" t="s">
        <v>93</v>
      </c>
      <c r="I475" s="11">
        <v>45326</v>
      </c>
      <c r="J475" s="10" t="s">
        <v>40</v>
      </c>
      <c r="K475" s="11">
        <v>45478</v>
      </c>
      <c r="L475" s="10" t="s">
        <v>59</v>
      </c>
      <c r="M475" s="12">
        <v>14626</v>
      </c>
      <c r="N475" s="12">
        <v>7557</v>
      </c>
      <c r="O475" s="10">
        <v>41</v>
      </c>
      <c r="P475" s="11">
        <v>45519</v>
      </c>
      <c r="Q475" s="10" t="s">
        <v>33</v>
      </c>
      <c r="R475" s="10" t="s">
        <v>33</v>
      </c>
      <c r="S475" s="10" t="s">
        <v>41</v>
      </c>
      <c r="T475" s="13">
        <v>1.9354</v>
      </c>
      <c r="U475" s="14">
        <v>152</v>
      </c>
      <c r="V475" s="14">
        <v>2024</v>
      </c>
      <c r="W475" s="10" t="s">
        <v>42</v>
      </c>
    </row>
    <row r="476" spans="1:23" s="9" customFormat="1" ht="15.75" hidden="1" customHeight="1" x14ac:dyDescent="0.25">
      <c r="A476" s="4" t="s">
        <v>1486</v>
      </c>
      <c r="B476" s="4" t="s">
        <v>1487</v>
      </c>
      <c r="C476" s="4" t="s">
        <v>1488</v>
      </c>
      <c r="D476" s="21" t="s">
        <v>6088</v>
      </c>
      <c r="E476" s="4" t="s">
        <v>26</v>
      </c>
      <c r="F476" s="21" t="s">
        <v>6092</v>
      </c>
      <c r="G476" s="4" t="s">
        <v>5</v>
      </c>
      <c r="H476" s="4" t="s">
        <v>88</v>
      </c>
      <c r="I476" s="5">
        <v>45345</v>
      </c>
      <c r="J476" s="4" t="s">
        <v>30</v>
      </c>
      <c r="K476" s="5">
        <v>45419</v>
      </c>
      <c r="L476" s="4" t="s">
        <v>31</v>
      </c>
      <c r="M476" s="6">
        <v>40337</v>
      </c>
      <c r="N476" s="6">
        <v>978</v>
      </c>
      <c r="O476" s="4" t="s">
        <v>32</v>
      </c>
      <c r="P476" s="4" t="s">
        <v>32</v>
      </c>
      <c r="Q476" s="4" t="s">
        <v>33</v>
      </c>
      <c r="R476" s="4" t="s">
        <v>33</v>
      </c>
      <c r="S476" s="4" t="s">
        <v>60</v>
      </c>
      <c r="T476" s="7">
        <v>41.244399999999999</v>
      </c>
      <c r="U476" s="8">
        <v>74</v>
      </c>
      <c r="V476" s="8">
        <v>2024</v>
      </c>
      <c r="W476" s="4" t="s">
        <v>52</v>
      </c>
    </row>
    <row r="477" spans="1:23" s="9" customFormat="1" ht="15.75" hidden="1" customHeight="1" x14ac:dyDescent="0.25">
      <c r="A477" s="10" t="s">
        <v>1489</v>
      </c>
      <c r="B477" s="10" t="s">
        <v>1490</v>
      </c>
      <c r="C477" s="10" t="s">
        <v>1491</v>
      </c>
      <c r="D477" s="21" t="s">
        <v>6091</v>
      </c>
      <c r="E477" s="10" t="s">
        <v>26</v>
      </c>
      <c r="F477" s="21" t="s">
        <v>6092</v>
      </c>
      <c r="G477" s="10" t="s">
        <v>5</v>
      </c>
      <c r="H477" s="10" t="s">
        <v>161</v>
      </c>
      <c r="I477" s="11">
        <v>45223</v>
      </c>
      <c r="J477" s="10" t="s">
        <v>40</v>
      </c>
      <c r="K477" s="11">
        <v>45578</v>
      </c>
      <c r="L477" s="10" t="s">
        <v>59</v>
      </c>
      <c r="M477" s="12">
        <v>2680</v>
      </c>
      <c r="N477" s="12">
        <v>1535</v>
      </c>
      <c r="O477" s="10">
        <v>20</v>
      </c>
      <c r="P477" s="11">
        <v>45598</v>
      </c>
      <c r="Q477" s="10" t="s">
        <v>33</v>
      </c>
      <c r="R477" s="10" t="s">
        <v>33</v>
      </c>
      <c r="S477" s="10" t="s">
        <v>60</v>
      </c>
      <c r="T477" s="13">
        <v>1.7459</v>
      </c>
      <c r="U477" s="14">
        <v>355</v>
      </c>
      <c r="V477" s="14">
        <v>2024</v>
      </c>
      <c r="W477" s="10" t="s">
        <v>95</v>
      </c>
    </row>
    <row r="478" spans="1:23" s="9" customFormat="1" ht="15.75" hidden="1" customHeight="1" x14ac:dyDescent="0.25">
      <c r="A478" s="4" t="s">
        <v>1492</v>
      </c>
      <c r="B478" s="4" t="s">
        <v>1493</v>
      </c>
      <c r="C478" s="4" t="s">
        <v>1494</v>
      </c>
      <c r="D478" s="21" t="s">
        <v>6089</v>
      </c>
      <c r="E478" s="4" t="s">
        <v>26</v>
      </c>
      <c r="F478" s="4" t="s">
        <v>71</v>
      </c>
      <c r="G478" s="4" t="s">
        <v>5</v>
      </c>
      <c r="H478" s="4" t="s">
        <v>161</v>
      </c>
      <c r="I478" s="5">
        <v>45431</v>
      </c>
      <c r="J478" s="4" t="s">
        <v>30</v>
      </c>
      <c r="K478" s="5">
        <v>45472</v>
      </c>
      <c r="L478" s="4" t="s">
        <v>59</v>
      </c>
      <c r="M478" s="6">
        <v>69121</v>
      </c>
      <c r="N478" s="6">
        <v>4041</v>
      </c>
      <c r="O478" s="4">
        <v>7</v>
      </c>
      <c r="P478" s="5">
        <v>45479</v>
      </c>
      <c r="Q478" s="4" t="s">
        <v>94</v>
      </c>
      <c r="R478" s="4" t="s">
        <v>94</v>
      </c>
      <c r="S478" s="4" t="s">
        <v>34</v>
      </c>
      <c r="T478" s="7">
        <v>17.104900000000001</v>
      </c>
      <c r="U478" s="8">
        <v>41</v>
      </c>
      <c r="V478" s="8">
        <v>2024</v>
      </c>
      <c r="W478" s="4" t="s">
        <v>67</v>
      </c>
    </row>
    <row r="479" spans="1:23" s="9" customFormat="1" ht="15.75" hidden="1" customHeight="1" x14ac:dyDescent="0.25">
      <c r="A479" s="10" t="s">
        <v>1495</v>
      </c>
      <c r="B479" s="10" t="s">
        <v>1496</v>
      </c>
      <c r="C479" s="10" t="s">
        <v>1497</v>
      </c>
      <c r="D479" s="21" t="s">
        <v>6091</v>
      </c>
      <c r="E479" s="10" t="s">
        <v>51</v>
      </c>
      <c r="F479" s="10" t="s">
        <v>27</v>
      </c>
      <c r="G479" s="10" t="s">
        <v>5</v>
      </c>
      <c r="H479" s="10" t="s">
        <v>72</v>
      </c>
      <c r="I479" s="11">
        <v>45421</v>
      </c>
      <c r="J479" s="10" t="s">
        <v>30</v>
      </c>
      <c r="K479" s="11">
        <v>45525</v>
      </c>
      <c r="L479" s="10" t="s">
        <v>66</v>
      </c>
      <c r="M479" s="12">
        <v>17697</v>
      </c>
      <c r="N479" s="12">
        <v>6139</v>
      </c>
      <c r="O479" s="10" t="s">
        <v>32</v>
      </c>
      <c r="P479" s="10" t="s">
        <v>32</v>
      </c>
      <c r="Q479" s="10" t="s">
        <v>33</v>
      </c>
      <c r="R479" s="10" t="s">
        <v>33</v>
      </c>
      <c r="S479" s="10" t="s">
        <v>34</v>
      </c>
      <c r="T479" s="13">
        <v>2.8826999999999998</v>
      </c>
      <c r="U479" s="14">
        <v>104</v>
      </c>
      <c r="V479" s="14">
        <v>2024</v>
      </c>
      <c r="W479" s="10" t="s">
        <v>114</v>
      </c>
    </row>
    <row r="480" spans="1:23" s="9" customFormat="1" ht="15.75" hidden="1" customHeight="1" x14ac:dyDescent="0.25">
      <c r="A480" s="4" t="s">
        <v>1498</v>
      </c>
      <c r="B480" s="4" t="s">
        <v>1499</v>
      </c>
      <c r="C480" s="4" t="s">
        <v>1500</v>
      </c>
      <c r="D480" s="22" t="s">
        <v>6087</v>
      </c>
      <c r="E480" s="4" t="s">
        <v>87</v>
      </c>
      <c r="F480" s="4" t="s">
        <v>56</v>
      </c>
      <c r="G480" s="4" t="s">
        <v>28</v>
      </c>
      <c r="H480" s="4" t="s">
        <v>58</v>
      </c>
      <c r="I480" s="5">
        <v>45302</v>
      </c>
      <c r="J480" s="4" t="s">
        <v>40</v>
      </c>
      <c r="K480" s="5">
        <v>45521</v>
      </c>
      <c r="L480" s="4" t="s">
        <v>66</v>
      </c>
      <c r="M480" s="6">
        <v>4848</v>
      </c>
      <c r="N480" s="6">
        <v>8360</v>
      </c>
      <c r="O480" s="4" t="s">
        <v>32</v>
      </c>
      <c r="P480" s="4" t="s">
        <v>32</v>
      </c>
      <c r="Q480" s="4" t="s">
        <v>33</v>
      </c>
      <c r="R480" s="4" t="s">
        <v>33</v>
      </c>
      <c r="S480" s="4" t="s">
        <v>41</v>
      </c>
      <c r="T480" s="7">
        <v>0.57989999999999997</v>
      </c>
      <c r="U480" s="8">
        <v>219</v>
      </c>
      <c r="V480" s="8">
        <v>2024</v>
      </c>
      <c r="W480" s="4" t="s">
        <v>114</v>
      </c>
    </row>
    <row r="481" spans="1:23" s="9" customFormat="1" ht="15.75" hidden="1" customHeight="1" x14ac:dyDescent="0.25">
      <c r="A481" s="10" t="s">
        <v>1501</v>
      </c>
      <c r="B481" s="10" t="s">
        <v>1502</v>
      </c>
      <c r="C481" s="10" t="s">
        <v>1503</v>
      </c>
      <c r="D481" s="22" t="s">
        <v>6090</v>
      </c>
      <c r="E481" s="10" t="s">
        <v>26</v>
      </c>
      <c r="F481" s="10" t="s">
        <v>46</v>
      </c>
      <c r="G481" s="10" t="s">
        <v>5</v>
      </c>
      <c r="H481" s="10" t="s">
        <v>72</v>
      </c>
      <c r="I481" s="11">
        <v>45105</v>
      </c>
      <c r="J481" s="10" t="s">
        <v>30</v>
      </c>
      <c r="K481" s="11">
        <v>45363</v>
      </c>
      <c r="L481" s="10" t="s">
        <v>66</v>
      </c>
      <c r="M481" s="12">
        <v>14109</v>
      </c>
      <c r="N481" s="12">
        <v>1704</v>
      </c>
      <c r="O481" s="10" t="s">
        <v>32</v>
      </c>
      <c r="P481" s="10" t="s">
        <v>32</v>
      </c>
      <c r="Q481" s="10" t="s">
        <v>33</v>
      </c>
      <c r="R481" s="10" t="s">
        <v>33</v>
      </c>
      <c r="S481" s="10" t="s">
        <v>41</v>
      </c>
      <c r="T481" s="13">
        <v>8.2798999999999996</v>
      </c>
      <c r="U481" s="14">
        <v>258</v>
      </c>
      <c r="V481" s="14">
        <v>2024</v>
      </c>
      <c r="W481" s="10" t="s">
        <v>77</v>
      </c>
    </row>
    <row r="482" spans="1:23" s="9" customFormat="1" ht="15.75" hidden="1" customHeight="1" x14ac:dyDescent="0.25">
      <c r="A482" s="4" t="s">
        <v>1504</v>
      </c>
      <c r="B482" s="4" t="s">
        <v>1505</v>
      </c>
      <c r="C482" s="4" t="s">
        <v>1506</v>
      </c>
      <c r="D482" s="21" t="s">
        <v>6089</v>
      </c>
      <c r="E482" s="4" t="s">
        <v>26</v>
      </c>
      <c r="F482" s="4" t="s">
        <v>56</v>
      </c>
      <c r="G482" s="4" t="s">
        <v>28</v>
      </c>
      <c r="H482" s="4" t="s">
        <v>88</v>
      </c>
      <c r="I482" s="5">
        <v>45318</v>
      </c>
      <c r="J482" s="4" t="s">
        <v>40</v>
      </c>
      <c r="K482" s="5">
        <v>45634</v>
      </c>
      <c r="L482" s="4" t="s">
        <v>59</v>
      </c>
      <c r="M482" s="6">
        <v>51906</v>
      </c>
      <c r="N482" s="6">
        <v>6176</v>
      </c>
      <c r="O482" s="4">
        <v>4</v>
      </c>
      <c r="P482" s="5">
        <v>45638</v>
      </c>
      <c r="Q482" s="4" t="s">
        <v>33</v>
      </c>
      <c r="R482" s="4" t="s">
        <v>33</v>
      </c>
      <c r="S482" s="4" t="s">
        <v>41</v>
      </c>
      <c r="T482" s="7">
        <v>8.4045000000000005</v>
      </c>
      <c r="U482" s="8">
        <v>316</v>
      </c>
      <c r="V482" s="8">
        <v>2024</v>
      </c>
      <c r="W482" s="4" t="s">
        <v>89</v>
      </c>
    </row>
    <row r="483" spans="1:23" s="9" customFormat="1" ht="15.75" hidden="1" customHeight="1" x14ac:dyDescent="0.25">
      <c r="A483" s="10" t="s">
        <v>1507</v>
      </c>
      <c r="B483" s="10" t="s">
        <v>1508</v>
      </c>
      <c r="C483" s="10" t="s">
        <v>1509</v>
      </c>
      <c r="D483" s="22" t="s">
        <v>6090</v>
      </c>
      <c r="E483" s="10" t="s">
        <v>51</v>
      </c>
      <c r="F483" s="10" t="s">
        <v>46</v>
      </c>
      <c r="G483" s="10" t="s">
        <v>5</v>
      </c>
      <c r="H483" s="10" t="s">
        <v>72</v>
      </c>
      <c r="I483" s="11">
        <v>45235</v>
      </c>
      <c r="J483" s="10" t="s">
        <v>40</v>
      </c>
      <c r="K483" s="11">
        <v>45481</v>
      </c>
      <c r="L483" s="10" t="s">
        <v>59</v>
      </c>
      <c r="M483" s="12">
        <v>51170</v>
      </c>
      <c r="N483" s="12">
        <v>1529</v>
      </c>
      <c r="O483" s="10">
        <v>14</v>
      </c>
      <c r="P483" s="11">
        <v>45495</v>
      </c>
      <c r="Q483" s="10" t="s">
        <v>33</v>
      </c>
      <c r="R483" s="10" t="s">
        <v>33</v>
      </c>
      <c r="S483" s="10" t="s">
        <v>60</v>
      </c>
      <c r="T483" s="13">
        <v>33.466299999999997</v>
      </c>
      <c r="U483" s="14">
        <v>246</v>
      </c>
      <c r="V483" s="14">
        <v>2024</v>
      </c>
      <c r="W483" s="10" t="s">
        <v>42</v>
      </c>
    </row>
    <row r="484" spans="1:23" s="9" customFormat="1" ht="15.75" hidden="1" customHeight="1" x14ac:dyDescent="0.25">
      <c r="A484" s="4" t="s">
        <v>1510</v>
      </c>
      <c r="B484" s="4" t="s">
        <v>1511</v>
      </c>
      <c r="C484" s="4" t="s">
        <v>1512</v>
      </c>
      <c r="D484" s="22" t="s">
        <v>6087</v>
      </c>
      <c r="E484" s="4" t="s">
        <v>51</v>
      </c>
      <c r="F484" s="4" t="s">
        <v>46</v>
      </c>
      <c r="G484" s="4" t="s">
        <v>5</v>
      </c>
      <c r="H484" s="4" t="s">
        <v>39</v>
      </c>
      <c r="I484" s="5">
        <v>45116</v>
      </c>
      <c r="J484" s="4" t="s">
        <v>40</v>
      </c>
      <c r="K484" s="5">
        <v>45403</v>
      </c>
      <c r="L484" s="4" t="s">
        <v>31</v>
      </c>
      <c r="M484" s="6">
        <v>21076</v>
      </c>
      <c r="N484" s="6">
        <v>8329</v>
      </c>
      <c r="O484" s="4" t="s">
        <v>32</v>
      </c>
      <c r="P484" s="4" t="s">
        <v>32</v>
      </c>
      <c r="Q484" s="4" t="s">
        <v>94</v>
      </c>
      <c r="R484" s="4" t="s">
        <v>94</v>
      </c>
      <c r="S484" s="4" t="s">
        <v>60</v>
      </c>
      <c r="T484" s="7">
        <v>2.5304000000000002</v>
      </c>
      <c r="U484" s="8">
        <v>287</v>
      </c>
      <c r="V484" s="8">
        <v>2024</v>
      </c>
      <c r="W484" s="4" t="s">
        <v>47</v>
      </c>
    </row>
    <row r="485" spans="1:23" s="9" customFormat="1" ht="15.75" hidden="1" customHeight="1" x14ac:dyDescent="0.25">
      <c r="A485" s="10" t="s">
        <v>1513</v>
      </c>
      <c r="B485" s="10" t="s">
        <v>1514</v>
      </c>
      <c r="C485" s="10" t="s">
        <v>1515</v>
      </c>
      <c r="D485" s="21" t="s">
        <v>6086</v>
      </c>
      <c r="E485" s="10" t="s">
        <v>87</v>
      </c>
      <c r="F485" s="21" t="s">
        <v>6092</v>
      </c>
      <c r="G485" s="10" t="s">
        <v>57</v>
      </c>
      <c r="H485" s="10" t="s">
        <v>39</v>
      </c>
      <c r="I485" s="11">
        <v>45399</v>
      </c>
      <c r="J485" s="10" t="s">
        <v>30</v>
      </c>
      <c r="K485" s="11">
        <v>45566</v>
      </c>
      <c r="L485" s="10" t="s">
        <v>66</v>
      </c>
      <c r="M485" s="12">
        <v>37263</v>
      </c>
      <c r="N485" s="12">
        <v>2291</v>
      </c>
      <c r="O485" s="10" t="s">
        <v>32</v>
      </c>
      <c r="P485" s="10" t="s">
        <v>32</v>
      </c>
      <c r="Q485" s="10" t="s">
        <v>33</v>
      </c>
      <c r="R485" s="10" t="s">
        <v>33</v>
      </c>
      <c r="S485" s="10" t="s">
        <v>34</v>
      </c>
      <c r="T485" s="13">
        <v>16.264900000000001</v>
      </c>
      <c r="U485" s="14">
        <v>167</v>
      </c>
      <c r="V485" s="14">
        <v>2024</v>
      </c>
      <c r="W485" s="10" t="s">
        <v>95</v>
      </c>
    </row>
    <row r="486" spans="1:23" s="9" customFormat="1" ht="15.75" hidden="1" customHeight="1" x14ac:dyDescent="0.25">
      <c r="A486" s="4" t="s">
        <v>1516</v>
      </c>
      <c r="B486" s="4" t="s">
        <v>1517</v>
      </c>
      <c r="C486" s="4" t="s">
        <v>1518</v>
      </c>
      <c r="D486" s="22" t="s">
        <v>6090</v>
      </c>
      <c r="E486" s="4" t="s">
        <v>87</v>
      </c>
      <c r="F486" s="4" t="s">
        <v>27</v>
      </c>
      <c r="G486" s="4" t="s">
        <v>5</v>
      </c>
      <c r="H486" s="4" t="s">
        <v>72</v>
      </c>
      <c r="I486" s="5">
        <v>45036</v>
      </c>
      <c r="J486" s="4" t="s">
        <v>30</v>
      </c>
      <c r="K486" s="5">
        <v>45371</v>
      </c>
      <c r="L486" s="4" t="s">
        <v>31</v>
      </c>
      <c r="M486" s="6">
        <v>4104</v>
      </c>
      <c r="N486" s="6">
        <v>2096</v>
      </c>
      <c r="O486" s="4" t="s">
        <v>32</v>
      </c>
      <c r="P486" s="4" t="s">
        <v>32</v>
      </c>
      <c r="Q486" s="4" t="s">
        <v>33</v>
      </c>
      <c r="R486" s="4" t="s">
        <v>33</v>
      </c>
      <c r="S486" s="4" t="s">
        <v>41</v>
      </c>
      <c r="T486" s="7">
        <v>1.958</v>
      </c>
      <c r="U486" s="8">
        <v>335</v>
      </c>
      <c r="V486" s="8">
        <v>2024</v>
      </c>
      <c r="W486" s="4" t="s">
        <v>77</v>
      </c>
    </row>
    <row r="487" spans="1:23" s="9" customFormat="1" ht="15.75" hidden="1" customHeight="1" x14ac:dyDescent="0.25">
      <c r="A487" s="10" t="s">
        <v>1519</v>
      </c>
      <c r="B487" s="10" t="s">
        <v>1520</v>
      </c>
      <c r="C487" s="10" t="s">
        <v>1521</v>
      </c>
      <c r="D487" s="21" t="s">
        <v>6089</v>
      </c>
      <c r="E487" s="10" t="s">
        <v>51</v>
      </c>
      <c r="F487" s="10" t="s">
        <v>46</v>
      </c>
      <c r="G487" s="10" t="s">
        <v>5</v>
      </c>
      <c r="H487" s="10" t="s">
        <v>88</v>
      </c>
      <c r="I487" s="11">
        <v>45402</v>
      </c>
      <c r="J487" s="10" t="s">
        <v>30</v>
      </c>
      <c r="K487" s="11">
        <v>45456</v>
      </c>
      <c r="L487" s="10" t="s">
        <v>59</v>
      </c>
      <c r="M487" s="12">
        <v>38184</v>
      </c>
      <c r="N487" s="12">
        <v>5156</v>
      </c>
      <c r="O487" s="10">
        <v>43</v>
      </c>
      <c r="P487" s="11">
        <v>45499</v>
      </c>
      <c r="Q487" s="10" t="s">
        <v>33</v>
      </c>
      <c r="R487" s="10" t="s">
        <v>33</v>
      </c>
      <c r="S487" s="10" t="s">
        <v>60</v>
      </c>
      <c r="T487" s="13">
        <v>7.4057000000000004</v>
      </c>
      <c r="U487" s="14">
        <v>54</v>
      </c>
      <c r="V487" s="14">
        <v>2024</v>
      </c>
      <c r="W487" s="10" t="s">
        <v>67</v>
      </c>
    </row>
    <row r="488" spans="1:23" s="9" customFormat="1" ht="15.75" hidden="1" customHeight="1" x14ac:dyDescent="0.25">
      <c r="A488" s="4" t="s">
        <v>1522</v>
      </c>
      <c r="B488" s="4" t="s">
        <v>1523</v>
      </c>
      <c r="C488" s="4" t="s">
        <v>1524</v>
      </c>
      <c r="D488" s="22" t="s">
        <v>6090</v>
      </c>
      <c r="E488" s="4" t="s">
        <v>87</v>
      </c>
      <c r="F488" s="4" t="s">
        <v>46</v>
      </c>
      <c r="G488" s="4" t="s">
        <v>57</v>
      </c>
      <c r="H488" s="4" t="s">
        <v>72</v>
      </c>
      <c r="I488" s="5">
        <v>45371</v>
      </c>
      <c r="J488" s="4" t="s">
        <v>30</v>
      </c>
      <c r="K488" s="5">
        <v>45460</v>
      </c>
      <c r="L488" s="4" t="s">
        <v>31</v>
      </c>
      <c r="M488" s="6">
        <v>27826</v>
      </c>
      <c r="N488" s="6">
        <v>6534</v>
      </c>
      <c r="O488" s="4" t="s">
        <v>32</v>
      </c>
      <c r="P488" s="4" t="s">
        <v>32</v>
      </c>
      <c r="Q488" s="4" t="s">
        <v>33</v>
      </c>
      <c r="R488" s="4" t="s">
        <v>33</v>
      </c>
      <c r="S488" s="4" t="s">
        <v>60</v>
      </c>
      <c r="T488" s="7">
        <v>4.2586000000000004</v>
      </c>
      <c r="U488" s="8">
        <v>89</v>
      </c>
      <c r="V488" s="8">
        <v>2024</v>
      </c>
      <c r="W488" s="4" t="s">
        <v>67</v>
      </c>
    </row>
    <row r="489" spans="1:23" s="9" customFormat="1" ht="15.75" hidden="1" customHeight="1" x14ac:dyDescent="0.25">
      <c r="A489" s="10" t="s">
        <v>1525</v>
      </c>
      <c r="B489" s="10" t="s">
        <v>1526</v>
      </c>
      <c r="C489" s="10" t="s">
        <v>1527</v>
      </c>
      <c r="D489" s="21" t="s">
        <v>6088</v>
      </c>
      <c r="E489" s="10" t="s">
        <v>87</v>
      </c>
      <c r="F489" s="10" t="s">
        <v>56</v>
      </c>
      <c r="G489" s="10" t="s">
        <v>57</v>
      </c>
      <c r="H489" s="10" t="s">
        <v>58</v>
      </c>
      <c r="I489" s="11">
        <v>45536</v>
      </c>
      <c r="J489" s="10" t="s">
        <v>30</v>
      </c>
      <c r="K489" s="11">
        <v>45566</v>
      </c>
      <c r="L489" s="10" t="s">
        <v>59</v>
      </c>
      <c r="M489" s="12">
        <v>15306</v>
      </c>
      <c r="N489" s="12">
        <v>4780</v>
      </c>
      <c r="O489" s="10">
        <v>36</v>
      </c>
      <c r="P489" s="11">
        <v>45602</v>
      </c>
      <c r="Q489" s="10" t="s">
        <v>33</v>
      </c>
      <c r="R489" s="10" t="s">
        <v>33</v>
      </c>
      <c r="S489" s="10" t="s">
        <v>41</v>
      </c>
      <c r="T489" s="13">
        <v>3.2021000000000002</v>
      </c>
      <c r="U489" s="14">
        <v>30</v>
      </c>
      <c r="V489" s="14">
        <v>2024</v>
      </c>
      <c r="W489" s="10" t="s">
        <v>95</v>
      </c>
    </row>
    <row r="490" spans="1:23" s="9" customFormat="1" ht="15.75" hidden="1" customHeight="1" x14ac:dyDescent="0.25">
      <c r="A490" s="4" t="s">
        <v>1528</v>
      </c>
      <c r="B490" s="4" t="s">
        <v>1529</v>
      </c>
      <c r="C490" s="4" t="s">
        <v>1530</v>
      </c>
      <c r="D490" s="22" t="s">
        <v>6090</v>
      </c>
      <c r="E490" s="4" t="s">
        <v>87</v>
      </c>
      <c r="F490" s="4" t="s">
        <v>71</v>
      </c>
      <c r="G490" s="4" t="s">
        <v>5</v>
      </c>
      <c r="H490" s="4" t="s">
        <v>88</v>
      </c>
      <c r="I490" s="5">
        <v>45168</v>
      </c>
      <c r="J490" s="4" t="s">
        <v>40</v>
      </c>
      <c r="K490" s="5">
        <v>45483</v>
      </c>
      <c r="L490" s="4" t="s">
        <v>59</v>
      </c>
      <c r="M490" s="6">
        <v>9005</v>
      </c>
      <c r="N490" s="6">
        <v>578</v>
      </c>
      <c r="O490" s="4">
        <v>34</v>
      </c>
      <c r="P490" s="5">
        <v>45517</v>
      </c>
      <c r="Q490" s="4" t="s">
        <v>33</v>
      </c>
      <c r="R490" s="4" t="s">
        <v>33</v>
      </c>
      <c r="S490" s="4" t="s">
        <v>34</v>
      </c>
      <c r="T490" s="7">
        <v>15.579599999999999</v>
      </c>
      <c r="U490" s="8">
        <v>315</v>
      </c>
      <c r="V490" s="8">
        <v>2024</v>
      </c>
      <c r="W490" s="4" t="s">
        <v>42</v>
      </c>
    </row>
    <row r="491" spans="1:23" s="9" customFormat="1" ht="15.75" hidden="1" customHeight="1" x14ac:dyDescent="0.25">
      <c r="A491" s="10" t="s">
        <v>1531</v>
      </c>
      <c r="B491" s="10" t="s">
        <v>1532</v>
      </c>
      <c r="C491" s="10" t="s">
        <v>1533</v>
      </c>
      <c r="D491" s="21" t="s">
        <v>6091</v>
      </c>
      <c r="E491" s="10" t="s">
        <v>26</v>
      </c>
      <c r="F491" s="10" t="s">
        <v>27</v>
      </c>
      <c r="G491" s="10" t="s">
        <v>28</v>
      </c>
      <c r="H491" s="10" t="s">
        <v>72</v>
      </c>
      <c r="I491" s="11">
        <v>45053</v>
      </c>
      <c r="J491" s="10" t="s">
        <v>30</v>
      </c>
      <c r="K491" s="11">
        <v>45385</v>
      </c>
      <c r="L491" s="10" t="s">
        <v>59</v>
      </c>
      <c r="M491" s="12">
        <v>15719</v>
      </c>
      <c r="N491" s="12">
        <v>1874</v>
      </c>
      <c r="O491" s="10">
        <v>20</v>
      </c>
      <c r="P491" s="11">
        <v>45405</v>
      </c>
      <c r="Q491" s="10" t="s">
        <v>33</v>
      </c>
      <c r="R491" s="10" t="s">
        <v>33</v>
      </c>
      <c r="S491" s="10" t="s">
        <v>60</v>
      </c>
      <c r="T491" s="13">
        <v>8.3879000000000001</v>
      </c>
      <c r="U491" s="14">
        <v>332</v>
      </c>
      <c r="V491" s="14">
        <v>2024</v>
      </c>
      <c r="W491" s="10" t="s">
        <v>47</v>
      </c>
    </row>
    <row r="492" spans="1:23" s="9" customFormat="1" ht="15.75" hidden="1" customHeight="1" x14ac:dyDescent="0.25">
      <c r="A492" s="4" t="s">
        <v>1534</v>
      </c>
      <c r="B492" s="4" t="s">
        <v>1535</v>
      </c>
      <c r="C492" s="4" t="s">
        <v>1536</v>
      </c>
      <c r="D492" s="21" t="s">
        <v>6086</v>
      </c>
      <c r="E492" s="4" t="s">
        <v>51</v>
      </c>
      <c r="F492" s="4" t="s">
        <v>56</v>
      </c>
      <c r="G492" s="4" t="s">
        <v>5</v>
      </c>
      <c r="H492" s="4" t="s">
        <v>58</v>
      </c>
      <c r="I492" s="5">
        <v>45123</v>
      </c>
      <c r="J492" s="4" t="s">
        <v>30</v>
      </c>
      <c r="K492" s="5">
        <v>45326</v>
      </c>
      <c r="L492" s="4" t="s">
        <v>66</v>
      </c>
      <c r="M492" s="6">
        <v>36158</v>
      </c>
      <c r="N492" s="6">
        <v>7982</v>
      </c>
      <c r="O492" s="4" t="s">
        <v>32</v>
      </c>
      <c r="P492" s="4" t="s">
        <v>32</v>
      </c>
      <c r="Q492" s="4" t="s">
        <v>33</v>
      </c>
      <c r="R492" s="4" t="s">
        <v>33</v>
      </c>
      <c r="S492" s="4" t="s">
        <v>34</v>
      </c>
      <c r="T492" s="7">
        <v>4.5298999999999996</v>
      </c>
      <c r="U492" s="8">
        <v>203</v>
      </c>
      <c r="V492" s="8">
        <v>2024</v>
      </c>
      <c r="W492" s="4" t="s">
        <v>35</v>
      </c>
    </row>
    <row r="493" spans="1:23" s="9" customFormat="1" ht="15.75" hidden="1" customHeight="1" x14ac:dyDescent="0.25">
      <c r="A493" s="10" t="s">
        <v>1537</v>
      </c>
      <c r="B493" s="10" t="s">
        <v>1538</v>
      </c>
      <c r="C493" s="10" t="s">
        <v>1539</v>
      </c>
      <c r="D493" s="21" t="s">
        <v>6086</v>
      </c>
      <c r="E493" s="10" t="s">
        <v>26</v>
      </c>
      <c r="F493" s="10" t="s">
        <v>71</v>
      </c>
      <c r="G493" s="10" t="s">
        <v>5</v>
      </c>
      <c r="H493" s="10" t="s">
        <v>118</v>
      </c>
      <c r="I493" s="11">
        <v>45214</v>
      </c>
      <c r="J493" s="10" t="s">
        <v>40</v>
      </c>
      <c r="K493" s="11">
        <v>45489</v>
      </c>
      <c r="L493" s="10" t="s">
        <v>31</v>
      </c>
      <c r="M493" s="12">
        <v>50162</v>
      </c>
      <c r="N493" s="12">
        <v>3616</v>
      </c>
      <c r="O493" s="10" t="s">
        <v>32</v>
      </c>
      <c r="P493" s="10" t="s">
        <v>32</v>
      </c>
      <c r="Q493" s="10" t="s">
        <v>94</v>
      </c>
      <c r="R493" s="10" t="s">
        <v>94</v>
      </c>
      <c r="S493" s="10" t="s">
        <v>34</v>
      </c>
      <c r="T493" s="13">
        <v>13.872199999999999</v>
      </c>
      <c r="U493" s="14">
        <v>275</v>
      </c>
      <c r="V493" s="14">
        <v>2024</v>
      </c>
      <c r="W493" s="10" t="s">
        <v>42</v>
      </c>
    </row>
    <row r="494" spans="1:23" s="9" customFormat="1" ht="15.75" hidden="1" customHeight="1" x14ac:dyDescent="0.25">
      <c r="A494" s="4" t="s">
        <v>1540</v>
      </c>
      <c r="B494" s="4" t="s">
        <v>1541</v>
      </c>
      <c r="C494" s="4" t="s">
        <v>1542</v>
      </c>
      <c r="D494" s="21" t="s">
        <v>6091</v>
      </c>
      <c r="E494" s="4" t="s">
        <v>51</v>
      </c>
      <c r="F494" s="21" t="s">
        <v>6092</v>
      </c>
      <c r="G494" s="4" t="s">
        <v>28</v>
      </c>
      <c r="H494" s="4" t="s">
        <v>93</v>
      </c>
      <c r="I494" s="5">
        <v>45142</v>
      </c>
      <c r="J494" s="4" t="s">
        <v>40</v>
      </c>
      <c r="K494" s="5">
        <v>45419</v>
      </c>
      <c r="L494" s="4" t="s">
        <v>59</v>
      </c>
      <c r="M494" s="6">
        <v>18051</v>
      </c>
      <c r="N494" s="6">
        <v>6232</v>
      </c>
      <c r="O494" s="4">
        <v>19</v>
      </c>
      <c r="P494" s="5">
        <v>45438</v>
      </c>
      <c r="Q494" s="4" t="s">
        <v>33</v>
      </c>
      <c r="R494" s="4" t="s">
        <v>33</v>
      </c>
      <c r="S494" s="4" t="s">
        <v>34</v>
      </c>
      <c r="T494" s="7">
        <v>2.8965000000000001</v>
      </c>
      <c r="U494" s="8">
        <v>277</v>
      </c>
      <c r="V494" s="8">
        <v>2024</v>
      </c>
      <c r="W494" s="4" t="s">
        <v>52</v>
      </c>
    </row>
    <row r="495" spans="1:23" s="9" customFormat="1" ht="15.75" hidden="1" customHeight="1" x14ac:dyDescent="0.25">
      <c r="A495" s="10" t="s">
        <v>1543</v>
      </c>
      <c r="B495" s="10" t="s">
        <v>1544</v>
      </c>
      <c r="C495" s="10" t="s">
        <v>1545</v>
      </c>
      <c r="D495" s="22" t="s">
        <v>6090</v>
      </c>
      <c r="E495" s="10" t="s">
        <v>26</v>
      </c>
      <c r="F495" s="10" t="s">
        <v>56</v>
      </c>
      <c r="G495" s="10" t="s">
        <v>5</v>
      </c>
      <c r="H495" s="10" t="s">
        <v>58</v>
      </c>
      <c r="I495" s="11">
        <v>45345</v>
      </c>
      <c r="J495" s="10" t="s">
        <v>40</v>
      </c>
      <c r="K495" s="11">
        <v>45609</v>
      </c>
      <c r="L495" s="10" t="s">
        <v>59</v>
      </c>
      <c r="M495" s="12">
        <v>21556</v>
      </c>
      <c r="N495" s="12">
        <v>5041</v>
      </c>
      <c r="O495" s="10">
        <v>12</v>
      </c>
      <c r="P495" s="11">
        <v>45621</v>
      </c>
      <c r="Q495" s="10" t="s">
        <v>33</v>
      </c>
      <c r="R495" s="10" t="s">
        <v>33</v>
      </c>
      <c r="S495" s="10" t="s">
        <v>60</v>
      </c>
      <c r="T495" s="13">
        <v>4.2760999999999996</v>
      </c>
      <c r="U495" s="14">
        <v>264</v>
      </c>
      <c r="V495" s="14">
        <v>2024</v>
      </c>
      <c r="W495" s="10" t="s">
        <v>61</v>
      </c>
    </row>
    <row r="496" spans="1:23" s="9" customFormat="1" ht="15.75" hidden="1" customHeight="1" x14ac:dyDescent="0.25">
      <c r="A496" s="4" t="s">
        <v>1546</v>
      </c>
      <c r="B496" s="4" t="s">
        <v>1547</v>
      </c>
      <c r="C496" s="4" t="s">
        <v>1548</v>
      </c>
      <c r="D496" s="21" t="s">
        <v>6089</v>
      </c>
      <c r="E496" s="4" t="s">
        <v>87</v>
      </c>
      <c r="F496" s="4" t="s">
        <v>71</v>
      </c>
      <c r="G496" s="4" t="s">
        <v>57</v>
      </c>
      <c r="H496" s="4" t="s">
        <v>88</v>
      </c>
      <c r="I496" s="5">
        <v>45487</v>
      </c>
      <c r="J496" s="4" t="s">
        <v>40</v>
      </c>
      <c r="K496" s="5">
        <v>45556</v>
      </c>
      <c r="L496" s="4" t="s">
        <v>31</v>
      </c>
      <c r="M496" s="6">
        <v>36168</v>
      </c>
      <c r="N496" s="6">
        <v>4692</v>
      </c>
      <c r="O496" s="4" t="s">
        <v>32</v>
      </c>
      <c r="P496" s="4" t="s">
        <v>32</v>
      </c>
      <c r="Q496" s="4" t="s">
        <v>94</v>
      </c>
      <c r="R496" s="4" t="s">
        <v>33</v>
      </c>
      <c r="S496" s="4" t="s">
        <v>34</v>
      </c>
      <c r="T496" s="7">
        <v>7.7084000000000001</v>
      </c>
      <c r="U496" s="8">
        <v>69</v>
      </c>
      <c r="V496" s="8">
        <v>2024</v>
      </c>
      <c r="W496" s="4" t="s">
        <v>168</v>
      </c>
    </row>
    <row r="497" spans="1:23" s="9" customFormat="1" ht="15.75" hidden="1" customHeight="1" x14ac:dyDescent="0.25">
      <c r="A497" s="10" t="s">
        <v>1549</v>
      </c>
      <c r="B497" s="10" t="s">
        <v>1550</v>
      </c>
      <c r="C497" s="10" t="s">
        <v>1551</v>
      </c>
      <c r="D497" s="21" t="s">
        <v>6089</v>
      </c>
      <c r="E497" s="10" t="s">
        <v>87</v>
      </c>
      <c r="F497" s="10" t="s">
        <v>46</v>
      </c>
      <c r="G497" s="10" t="s">
        <v>57</v>
      </c>
      <c r="H497" s="10" t="s">
        <v>39</v>
      </c>
      <c r="I497" s="11">
        <v>45145</v>
      </c>
      <c r="J497" s="10" t="s">
        <v>40</v>
      </c>
      <c r="K497" s="11">
        <v>45301</v>
      </c>
      <c r="L497" s="10" t="s">
        <v>31</v>
      </c>
      <c r="M497" s="12">
        <v>29152</v>
      </c>
      <c r="N497" s="12">
        <v>8675</v>
      </c>
      <c r="O497" s="10" t="s">
        <v>32</v>
      </c>
      <c r="P497" s="10" t="s">
        <v>32</v>
      </c>
      <c r="Q497" s="10" t="s">
        <v>33</v>
      </c>
      <c r="R497" s="10" t="s">
        <v>33</v>
      </c>
      <c r="S497" s="10" t="s">
        <v>34</v>
      </c>
      <c r="T497" s="13">
        <v>3.3605</v>
      </c>
      <c r="U497" s="14">
        <v>156</v>
      </c>
      <c r="V497" s="14">
        <v>2024</v>
      </c>
      <c r="W497" s="10" t="s">
        <v>73</v>
      </c>
    </row>
    <row r="498" spans="1:23" s="9" customFormat="1" ht="15.75" hidden="1" customHeight="1" x14ac:dyDescent="0.25">
      <c r="A498" s="4" t="s">
        <v>1552</v>
      </c>
      <c r="B498" s="4" t="s">
        <v>1553</v>
      </c>
      <c r="C498" s="4" t="s">
        <v>1554</v>
      </c>
      <c r="D498" s="22" t="s">
        <v>6087</v>
      </c>
      <c r="E498" s="4" t="s">
        <v>51</v>
      </c>
      <c r="F498" s="4" t="s">
        <v>65</v>
      </c>
      <c r="G498" s="4" t="s">
        <v>28</v>
      </c>
      <c r="H498" s="4" t="s">
        <v>93</v>
      </c>
      <c r="I498" s="5">
        <v>45216</v>
      </c>
      <c r="J498" s="4" t="s">
        <v>40</v>
      </c>
      <c r="K498" s="5">
        <v>45320</v>
      </c>
      <c r="L498" s="4" t="s">
        <v>59</v>
      </c>
      <c r="M498" s="6">
        <v>16225</v>
      </c>
      <c r="N498" s="6">
        <v>1238</v>
      </c>
      <c r="O498" s="4">
        <v>35</v>
      </c>
      <c r="P498" s="5">
        <v>45355</v>
      </c>
      <c r="Q498" s="4" t="s">
        <v>33</v>
      </c>
      <c r="R498" s="4" t="s">
        <v>33</v>
      </c>
      <c r="S498" s="4" t="s">
        <v>60</v>
      </c>
      <c r="T498" s="7">
        <v>13.1058</v>
      </c>
      <c r="U498" s="8">
        <v>104</v>
      </c>
      <c r="V498" s="8">
        <v>2024</v>
      </c>
      <c r="W498" s="4" t="s">
        <v>73</v>
      </c>
    </row>
    <row r="499" spans="1:23" s="9" customFormat="1" ht="15.75" hidden="1" customHeight="1" x14ac:dyDescent="0.25">
      <c r="A499" s="10" t="s">
        <v>1555</v>
      </c>
      <c r="B499" s="10" t="s">
        <v>1556</v>
      </c>
      <c r="C499" s="10" t="s">
        <v>1557</v>
      </c>
      <c r="D499" s="22" t="s">
        <v>6090</v>
      </c>
      <c r="E499" s="10" t="s">
        <v>87</v>
      </c>
      <c r="F499" s="10" t="s">
        <v>56</v>
      </c>
      <c r="G499" s="10" t="s">
        <v>28</v>
      </c>
      <c r="H499" s="10" t="s">
        <v>29</v>
      </c>
      <c r="I499" s="11">
        <v>45010</v>
      </c>
      <c r="J499" s="10" t="s">
        <v>30</v>
      </c>
      <c r="K499" s="11">
        <v>45351</v>
      </c>
      <c r="L499" s="10" t="s">
        <v>59</v>
      </c>
      <c r="M499" s="12">
        <v>3153</v>
      </c>
      <c r="N499" s="12">
        <v>4739</v>
      </c>
      <c r="O499" s="10">
        <v>19</v>
      </c>
      <c r="P499" s="11">
        <v>45370</v>
      </c>
      <c r="Q499" s="10" t="s">
        <v>33</v>
      </c>
      <c r="R499" s="10" t="s">
        <v>33</v>
      </c>
      <c r="S499" s="10" t="s">
        <v>60</v>
      </c>
      <c r="T499" s="13">
        <v>0.6653</v>
      </c>
      <c r="U499" s="14">
        <v>341</v>
      </c>
      <c r="V499" s="14">
        <v>2024</v>
      </c>
      <c r="W499" s="10" t="s">
        <v>35</v>
      </c>
    </row>
    <row r="500" spans="1:23" s="9" customFormat="1" ht="15.75" hidden="1" customHeight="1" x14ac:dyDescent="0.25">
      <c r="A500" s="4" t="s">
        <v>1558</v>
      </c>
      <c r="B500" s="4" t="s">
        <v>1559</v>
      </c>
      <c r="C500" s="4" t="s">
        <v>1560</v>
      </c>
      <c r="D500" s="22" t="s">
        <v>6090</v>
      </c>
      <c r="E500" s="4" t="s">
        <v>26</v>
      </c>
      <c r="F500" s="4" t="s">
        <v>65</v>
      </c>
      <c r="G500" s="4" t="s">
        <v>28</v>
      </c>
      <c r="H500" s="4" t="s">
        <v>88</v>
      </c>
      <c r="I500" s="5">
        <v>45266</v>
      </c>
      <c r="J500" s="4" t="s">
        <v>40</v>
      </c>
      <c r="K500" s="5">
        <v>45362</v>
      </c>
      <c r="L500" s="4" t="s">
        <v>59</v>
      </c>
      <c r="M500" s="6">
        <v>30709</v>
      </c>
      <c r="N500" s="6">
        <v>8507</v>
      </c>
      <c r="O500" s="4">
        <v>6</v>
      </c>
      <c r="P500" s="5">
        <v>45368</v>
      </c>
      <c r="Q500" s="4" t="s">
        <v>94</v>
      </c>
      <c r="R500" s="4" t="s">
        <v>94</v>
      </c>
      <c r="S500" s="4" t="s">
        <v>41</v>
      </c>
      <c r="T500" s="7">
        <v>3.6099000000000001</v>
      </c>
      <c r="U500" s="8">
        <v>96</v>
      </c>
      <c r="V500" s="8">
        <v>2024</v>
      </c>
      <c r="W500" s="4" t="s">
        <v>77</v>
      </c>
    </row>
    <row r="501" spans="1:23" s="9" customFormat="1" ht="15.75" hidden="1" customHeight="1" x14ac:dyDescent="0.25">
      <c r="A501" s="10" t="s">
        <v>1561</v>
      </c>
      <c r="B501" s="10" t="s">
        <v>1562</v>
      </c>
      <c r="C501" s="10" t="s">
        <v>1563</v>
      </c>
      <c r="D501" s="22" t="s">
        <v>6090</v>
      </c>
      <c r="E501" s="10" t="s">
        <v>26</v>
      </c>
      <c r="F501" s="10" t="s">
        <v>56</v>
      </c>
      <c r="G501" s="10" t="s">
        <v>28</v>
      </c>
      <c r="H501" s="10" t="s">
        <v>29</v>
      </c>
      <c r="I501" s="11">
        <v>45099</v>
      </c>
      <c r="J501" s="10" t="s">
        <v>30</v>
      </c>
      <c r="K501" s="11">
        <v>45380</v>
      </c>
      <c r="L501" s="10" t="s">
        <v>59</v>
      </c>
      <c r="M501" s="12">
        <v>39575</v>
      </c>
      <c r="N501" s="12">
        <v>8698</v>
      </c>
      <c r="O501" s="10">
        <v>17</v>
      </c>
      <c r="P501" s="11">
        <v>45397</v>
      </c>
      <c r="Q501" s="10" t="s">
        <v>94</v>
      </c>
      <c r="R501" s="10" t="s">
        <v>94</v>
      </c>
      <c r="S501" s="10" t="s">
        <v>60</v>
      </c>
      <c r="T501" s="13">
        <v>4.5499000000000001</v>
      </c>
      <c r="U501" s="14">
        <v>281</v>
      </c>
      <c r="V501" s="14">
        <v>2024</v>
      </c>
      <c r="W501" s="10" t="s">
        <v>77</v>
      </c>
    </row>
    <row r="502" spans="1:23" s="9" customFormat="1" ht="15.75" hidden="1" customHeight="1" x14ac:dyDescent="0.25">
      <c r="A502" s="4" t="s">
        <v>1564</v>
      </c>
      <c r="B502" s="4" t="s">
        <v>1565</v>
      </c>
      <c r="C502" s="4" t="s">
        <v>1566</v>
      </c>
      <c r="D502" s="21" t="s">
        <v>6088</v>
      </c>
      <c r="E502" s="4" t="s">
        <v>51</v>
      </c>
      <c r="F502" s="4" t="s">
        <v>71</v>
      </c>
      <c r="G502" s="4" t="s">
        <v>5</v>
      </c>
      <c r="H502" s="4" t="s">
        <v>161</v>
      </c>
      <c r="I502" s="5">
        <v>45037</v>
      </c>
      <c r="J502" s="4" t="s">
        <v>40</v>
      </c>
      <c r="K502" s="5">
        <v>45299</v>
      </c>
      <c r="L502" s="4" t="s">
        <v>59</v>
      </c>
      <c r="M502" s="6">
        <v>72785</v>
      </c>
      <c r="N502" s="6">
        <v>3646</v>
      </c>
      <c r="O502" s="4">
        <v>31</v>
      </c>
      <c r="P502" s="5">
        <v>45330</v>
      </c>
      <c r="Q502" s="4" t="s">
        <v>94</v>
      </c>
      <c r="R502" s="4" t="s">
        <v>33</v>
      </c>
      <c r="S502" s="4" t="s">
        <v>60</v>
      </c>
      <c r="T502" s="7">
        <v>19.963000000000001</v>
      </c>
      <c r="U502" s="8">
        <v>262</v>
      </c>
      <c r="V502" s="8">
        <v>2024</v>
      </c>
      <c r="W502" s="4" t="s">
        <v>73</v>
      </c>
    </row>
    <row r="503" spans="1:23" s="9" customFormat="1" ht="15.75" hidden="1" customHeight="1" x14ac:dyDescent="0.25">
      <c r="A503" s="10" t="s">
        <v>1567</v>
      </c>
      <c r="B503" s="10" t="s">
        <v>1568</v>
      </c>
      <c r="C503" s="10" t="s">
        <v>1569</v>
      </c>
      <c r="D503" s="21" t="s">
        <v>6088</v>
      </c>
      <c r="E503" s="10" t="s">
        <v>51</v>
      </c>
      <c r="F503" s="10" t="s">
        <v>46</v>
      </c>
      <c r="G503" s="10" t="s">
        <v>5</v>
      </c>
      <c r="H503" s="10" t="s">
        <v>88</v>
      </c>
      <c r="I503" s="11">
        <v>45140</v>
      </c>
      <c r="J503" s="10" t="s">
        <v>30</v>
      </c>
      <c r="K503" s="11">
        <v>45426</v>
      </c>
      <c r="L503" s="10" t="s">
        <v>59</v>
      </c>
      <c r="M503" s="12">
        <v>24153</v>
      </c>
      <c r="N503" s="12">
        <v>8115</v>
      </c>
      <c r="O503" s="10">
        <v>41</v>
      </c>
      <c r="P503" s="11">
        <v>45467</v>
      </c>
      <c r="Q503" s="10" t="s">
        <v>33</v>
      </c>
      <c r="R503" s="10" t="s">
        <v>33</v>
      </c>
      <c r="S503" s="10" t="s">
        <v>60</v>
      </c>
      <c r="T503" s="13">
        <v>2.9763000000000002</v>
      </c>
      <c r="U503" s="14">
        <v>286</v>
      </c>
      <c r="V503" s="14">
        <v>2024</v>
      </c>
      <c r="W503" s="10" t="s">
        <v>52</v>
      </c>
    </row>
    <row r="504" spans="1:23" s="9" customFormat="1" ht="15.75" hidden="1" customHeight="1" x14ac:dyDescent="0.25">
      <c r="A504" s="4" t="s">
        <v>1570</v>
      </c>
      <c r="B504" s="4" t="s">
        <v>1571</v>
      </c>
      <c r="C504" s="4" t="s">
        <v>1572</v>
      </c>
      <c r="D504" s="22" t="s">
        <v>6090</v>
      </c>
      <c r="E504" s="4" t="s">
        <v>87</v>
      </c>
      <c r="F504" s="4" t="s">
        <v>27</v>
      </c>
      <c r="G504" s="4" t="s">
        <v>57</v>
      </c>
      <c r="H504" s="4" t="s">
        <v>88</v>
      </c>
      <c r="I504" s="5">
        <v>45292</v>
      </c>
      <c r="J504" s="4" t="s">
        <v>40</v>
      </c>
      <c r="K504" s="5">
        <v>45612</v>
      </c>
      <c r="L504" s="4" t="s">
        <v>66</v>
      </c>
      <c r="M504" s="6">
        <v>55849</v>
      </c>
      <c r="N504" s="6">
        <v>7748</v>
      </c>
      <c r="O504" s="4" t="s">
        <v>32</v>
      </c>
      <c r="P504" s="4" t="s">
        <v>32</v>
      </c>
      <c r="Q504" s="4" t="s">
        <v>94</v>
      </c>
      <c r="R504" s="4" t="s">
        <v>33</v>
      </c>
      <c r="S504" s="4" t="s">
        <v>41</v>
      </c>
      <c r="T504" s="7">
        <v>7.2081999999999997</v>
      </c>
      <c r="U504" s="8">
        <v>320</v>
      </c>
      <c r="V504" s="8">
        <v>2024</v>
      </c>
      <c r="W504" s="4" t="s">
        <v>61</v>
      </c>
    </row>
    <row r="505" spans="1:23" s="9" customFormat="1" ht="15.75" hidden="1" customHeight="1" x14ac:dyDescent="0.25">
      <c r="A505" s="10" t="s">
        <v>1573</v>
      </c>
      <c r="B505" s="10" t="s">
        <v>1574</v>
      </c>
      <c r="C505" s="10" t="s">
        <v>1575</v>
      </c>
      <c r="D505" s="21" t="s">
        <v>6091</v>
      </c>
      <c r="E505" s="10" t="s">
        <v>26</v>
      </c>
      <c r="F505" s="10" t="s">
        <v>56</v>
      </c>
      <c r="G505" s="10" t="s">
        <v>57</v>
      </c>
      <c r="H505" s="10" t="s">
        <v>58</v>
      </c>
      <c r="I505" s="11">
        <v>45455</v>
      </c>
      <c r="J505" s="10" t="s">
        <v>40</v>
      </c>
      <c r="K505" s="11">
        <v>45559</v>
      </c>
      <c r="L505" s="10" t="s">
        <v>66</v>
      </c>
      <c r="M505" s="12">
        <v>12842</v>
      </c>
      <c r="N505" s="12">
        <v>8187</v>
      </c>
      <c r="O505" s="10" t="s">
        <v>32</v>
      </c>
      <c r="P505" s="10" t="s">
        <v>32</v>
      </c>
      <c r="Q505" s="10" t="s">
        <v>33</v>
      </c>
      <c r="R505" s="10" t="s">
        <v>33</v>
      </c>
      <c r="S505" s="10" t="s">
        <v>41</v>
      </c>
      <c r="T505" s="13">
        <v>1.5686</v>
      </c>
      <c r="U505" s="14">
        <v>104</v>
      </c>
      <c r="V505" s="14">
        <v>2024</v>
      </c>
      <c r="W505" s="10" t="s">
        <v>168</v>
      </c>
    </row>
    <row r="506" spans="1:23" s="9" customFormat="1" ht="15.75" hidden="1" customHeight="1" x14ac:dyDescent="0.25">
      <c r="A506" s="4" t="s">
        <v>1576</v>
      </c>
      <c r="B506" s="4" t="s">
        <v>1577</v>
      </c>
      <c r="C506" s="4" t="s">
        <v>1578</v>
      </c>
      <c r="D506" s="22" t="s">
        <v>6090</v>
      </c>
      <c r="E506" s="4" t="s">
        <v>26</v>
      </c>
      <c r="F506" s="21" t="s">
        <v>6092</v>
      </c>
      <c r="G506" s="4" t="s">
        <v>28</v>
      </c>
      <c r="H506" s="4" t="s">
        <v>29</v>
      </c>
      <c r="I506" s="5">
        <v>45259</v>
      </c>
      <c r="J506" s="4" t="s">
        <v>30</v>
      </c>
      <c r="K506" s="5">
        <v>45315</v>
      </c>
      <c r="L506" s="4" t="s">
        <v>59</v>
      </c>
      <c r="M506" s="6">
        <v>29687</v>
      </c>
      <c r="N506" s="6">
        <v>6948</v>
      </c>
      <c r="O506" s="4">
        <v>19</v>
      </c>
      <c r="P506" s="5">
        <v>45334</v>
      </c>
      <c r="Q506" s="4" t="s">
        <v>33</v>
      </c>
      <c r="R506" s="4" t="s">
        <v>33</v>
      </c>
      <c r="S506" s="4" t="s">
        <v>60</v>
      </c>
      <c r="T506" s="7">
        <v>4.2727000000000004</v>
      </c>
      <c r="U506" s="8">
        <v>56</v>
      </c>
      <c r="V506" s="8">
        <v>2024</v>
      </c>
      <c r="W506" s="4" t="s">
        <v>73</v>
      </c>
    </row>
    <row r="507" spans="1:23" s="9" customFormat="1" ht="15.75" hidden="1" customHeight="1" x14ac:dyDescent="0.25">
      <c r="A507" s="10" t="s">
        <v>1579</v>
      </c>
      <c r="B507" s="10" t="s">
        <v>1580</v>
      </c>
      <c r="C507" s="10" t="s">
        <v>1581</v>
      </c>
      <c r="D507" s="22" t="s">
        <v>6087</v>
      </c>
      <c r="E507" s="10" t="s">
        <v>26</v>
      </c>
      <c r="F507" s="10" t="s">
        <v>27</v>
      </c>
      <c r="G507" s="10" t="s">
        <v>57</v>
      </c>
      <c r="H507" s="10" t="s">
        <v>29</v>
      </c>
      <c r="I507" s="11">
        <v>45458</v>
      </c>
      <c r="J507" s="10" t="s">
        <v>40</v>
      </c>
      <c r="K507" s="11">
        <v>45592</v>
      </c>
      <c r="L507" s="10" t="s">
        <v>66</v>
      </c>
      <c r="M507" s="12">
        <v>14722</v>
      </c>
      <c r="N507" s="12">
        <v>5250</v>
      </c>
      <c r="O507" s="10" t="s">
        <v>32</v>
      </c>
      <c r="P507" s="10" t="s">
        <v>32</v>
      </c>
      <c r="Q507" s="10" t="s">
        <v>33</v>
      </c>
      <c r="R507" s="10" t="s">
        <v>33</v>
      </c>
      <c r="S507" s="10" t="s">
        <v>41</v>
      </c>
      <c r="T507" s="13">
        <v>2.8041999999999998</v>
      </c>
      <c r="U507" s="14">
        <v>134</v>
      </c>
      <c r="V507" s="14">
        <v>2024</v>
      </c>
      <c r="W507" s="10" t="s">
        <v>95</v>
      </c>
    </row>
    <row r="508" spans="1:23" s="9" customFormat="1" ht="15.75" hidden="1" customHeight="1" x14ac:dyDescent="0.25">
      <c r="A508" s="4" t="s">
        <v>1582</v>
      </c>
      <c r="B508" s="4" t="s">
        <v>1583</v>
      </c>
      <c r="C508" s="4" t="s">
        <v>1584</v>
      </c>
      <c r="D508" s="22" t="s">
        <v>6087</v>
      </c>
      <c r="E508" s="4" t="s">
        <v>87</v>
      </c>
      <c r="F508" s="4" t="s">
        <v>71</v>
      </c>
      <c r="G508" s="4" t="s">
        <v>57</v>
      </c>
      <c r="H508" s="4" t="s">
        <v>72</v>
      </c>
      <c r="I508" s="5">
        <v>45381</v>
      </c>
      <c r="J508" s="4" t="s">
        <v>30</v>
      </c>
      <c r="K508" s="5">
        <v>45468</v>
      </c>
      <c r="L508" s="4" t="s">
        <v>59</v>
      </c>
      <c r="M508" s="6">
        <v>21689</v>
      </c>
      <c r="N508" s="6">
        <v>4816</v>
      </c>
      <c r="O508" s="4">
        <v>20</v>
      </c>
      <c r="P508" s="5">
        <v>45488</v>
      </c>
      <c r="Q508" s="4" t="s">
        <v>33</v>
      </c>
      <c r="R508" s="4" t="s">
        <v>33</v>
      </c>
      <c r="S508" s="4" t="s">
        <v>34</v>
      </c>
      <c r="T508" s="7">
        <v>4.5034999999999998</v>
      </c>
      <c r="U508" s="8">
        <v>87</v>
      </c>
      <c r="V508" s="8">
        <v>2024</v>
      </c>
      <c r="W508" s="4" t="s">
        <v>67</v>
      </c>
    </row>
    <row r="509" spans="1:23" s="9" customFormat="1" ht="15.75" hidden="1" customHeight="1" x14ac:dyDescent="0.25">
      <c r="A509" s="10" t="s">
        <v>1585</v>
      </c>
      <c r="B509" s="10" t="s">
        <v>1586</v>
      </c>
      <c r="C509" s="10" t="s">
        <v>1587</v>
      </c>
      <c r="D509" s="21" t="s">
        <v>6088</v>
      </c>
      <c r="E509" s="10" t="s">
        <v>87</v>
      </c>
      <c r="F509" s="10" t="s">
        <v>27</v>
      </c>
      <c r="G509" s="10" t="s">
        <v>57</v>
      </c>
      <c r="H509" s="10" t="s">
        <v>118</v>
      </c>
      <c r="I509" s="11">
        <v>45414</v>
      </c>
      <c r="J509" s="10" t="s">
        <v>40</v>
      </c>
      <c r="K509" s="11">
        <v>45563</v>
      </c>
      <c r="L509" s="10" t="s">
        <v>59</v>
      </c>
      <c r="M509" s="12">
        <v>73037</v>
      </c>
      <c r="N509" s="12">
        <v>3576</v>
      </c>
      <c r="O509" s="10">
        <v>23</v>
      </c>
      <c r="P509" s="11">
        <v>45586</v>
      </c>
      <c r="Q509" s="10" t="s">
        <v>33</v>
      </c>
      <c r="R509" s="10" t="s">
        <v>33</v>
      </c>
      <c r="S509" s="10" t="s">
        <v>41</v>
      </c>
      <c r="T509" s="13">
        <v>20.424199999999999</v>
      </c>
      <c r="U509" s="14">
        <v>149</v>
      </c>
      <c r="V509" s="14">
        <v>2024</v>
      </c>
      <c r="W509" s="10" t="s">
        <v>168</v>
      </c>
    </row>
    <row r="510" spans="1:23" s="9" customFormat="1" ht="15.75" hidden="1" customHeight="1" x14ac:dyDescent="0.25">
      <c r="A510" s="4" t="s">
        <v>1588</v>
      </c>
      <c r="B510" s="4" t="s">
        <v>1589</v>
      </c>
      <c r="C510" s="4" t="s">
        <v>1590</v>
      </c>
      <c r="D510" s="22" t="s">
        <v>6087</v>
      </c>
      <c r="E510" s="4" t="s">
        <v>87</v>
      </c>
      <c r="F510" s="21" t="s">
        <v>6092</v>
      </c>
      <c r="G510" s="4" t="s">
        <v>5</v>
      </c>
      <c r="H510" s="4" t="s">
        <v>161</v>
      </c>
      <c r="I510" s="5">
        <v>45094</v>
      </c>
      <c r="J510" s="4" t="s">
        <v>40</v>
      </c>
      <c r="K510" s="5">
        <v>45382</v>
      </c>
      <c r="L510" s="4" t="s">
        <v>31</v>
      </c>
      <c r="M510" s="6">
        <v>33851</v>
      </c>
      <c r="N510" s="6">
        <v>7870</v>
      </c>
      <c r="O510" s="4" t="s">
        <v>32</v>
      </c>
      <c r="P510" s="4" t="s">
        <v>32</v>
      </c>
      <c r="Q510" s="4" t="s">
        <v>33</v>
      </c>
      <c r="R510" s="4" t="s">
        <v>33</v>
      </c>
      <c r="S510" s="4" t="s">
        <v>34</v>
      </c>
      <c r="T510" s="7">
        <v>4.3013000000000003</v>
      </c>
      <c r="U510" s="8">
        <v>288</v>
      </c>
      <c r="V510" s="8">
        <v>2024</v>
      </c>
      <c r="W510" s="4" t="s">
        <v>77</v>
      </c>
    </row>
    <row r="511" spans="1:23" s="9" customFormat="1" ht="15.75" hidden="1" customHeight="1" x14ac:dyDescent="0.25">
      <c r="A511" s="10" t="s">
        <v>1591</v>
      </c>
      <c r="B511" s="10" t="s">
        <v>1592</v>
      </c>
      <c r="C511" s="10" t="s">
        <v>1593</v>
      </c>
      <c r="D511" s="21" t="s">
        <v>6089</v>
      </c>
      <c r="E511" s="10" t="s">
        <v>51</v>
      </c>
      <c r="F511" s="10" t="s">
        <v>27</v>
      </c>
      <c r="G511" s="10" t="s">
        <v>28</v>
      </c>
      <c r="H511" s="10" t="s">
        <v>39</v>
      </c>
      <c r="I511" s="11">
        <v>45174</v>
      </c>
      <c r="J511" s="10" t="s">
        <v>40</v>
      </c>
      <c r="K511" s="11">
        <v>45435</v>
      </c>
      <c r="L511" s="10" t="s">
        <v>31</v>
      </c>
      <c r="M511" s="12">
        <v>37808</v>
      </c>
      <c r="N511" s="12">
        <v>1452</v>
      </c>
      <c r="O511" s="10" t="s">
        <v>32</v>
      </c>
      <c r="P511" s="10" t="s">
        <v>32</v>
      </c>
      <c r="Q511" s="10" t="s">
        <v>33</v>
      </c>
      <c r="R511" s="10" t="s">
        <v>33</v>
      </c>
      <c r="S511" s="10" t="s">
        <v>34</v>
      </c>
      <c r="T511" s="13">
        <v>26.038599999999999</v>
      </c>
      <c r="U511" s="14">
        <v>261</v>
      </c>
      <c r="V511" s="14">
        <v>2024</v>
      </c>
      <c r="W511" s="10" t="s">
        <v>52</v>
      </c>
    </row>
    <row r="512" spans="1:23" s="9" customFormat="1" ht="15.75" hidden="1" customHeight="1" x14ac:dyDescent="0.25">
      <c r="A512" s="4" t="s">
        <v>1594</v>
      </c>
      <c r="B512" s="4" t="s">
        <v>1595</v>
      </c>
      <c r="C512" s="4" t="s">
        <v>1596</v>
      </c>
      <c r="D512" s="22" t="s">
        <v>6090</v>
      </c>
      <c r="E512" s="4" t="s">
        <v>87</v>
      </c>
      <c r="F512" s="4" t="s">
        <v>46</v>
      </c>
      <c r="G512" s="4" t="s">
        <v>57</v>
      </c>
      <c r="H512" s="4" t="s">
        <v>39</v>
      </c>
      <c r="I512" s="5">
        <v>45341</v>
      </c>
      <c r="J512" s="4" t="s">
        <v>40</v>
      </c>
      <c r="K512" s="5">
        <v>45449</v>
      </c>
      <c r="L512" s="4" t="s">
        <v>66</v>
      </c>
      <c r="M512" s="6">
        <v>50983</v>
      </c>
      <c r="N512" s="6">
        <v>2902</v>
      </c>
      <c r="O512" s="4" t="s">
        <v>32</v>
      </c>
      <c r="P512" s="4" t="s">
        <v>32</v>
      </c>
      <c r="Q512" s="4" t="s">
        <v>33</v>
      </c>
      <c r="R512" s="4" t="s">
        <v>33</v>
      </c>
      <c r="S512" s="4" t="s">
        <v>60</v>
      </c>
      <c r="T512" s="7">
        <v>17.568200000000001</v>
      </c>
      <c r="U512" s="8">
        <v>108</v>
      </c>
      <c r="V512" s="8">
        <v>2024</v>
      </c>
      <c r="W512" s="4" t="s">
        <v>67</v>
      </c>
    </row>
    <row r="513" spans="1:23" s="9" customFormat="1" ht="15.75" hidden="1" customHeight="1" x14ac:dyDescent="0.25">
      <c r="A513" s="10" t="s">
        <v>1597</v>
      </c>
      <c r="B513" s="10" t="s">
        <v>1598</v>
      </c>
      <c r="C513" s="10" t="s">
        <v>1599</v>
      </c>
      <c r="D513" s="22" t="s">
        <v>6090</v>
      </c>
      <c r="E513" s="10" t="s">
        <v>26</v>
      </c>
      <c r="F513" s="10" t="s">
        <v>56</v>
      </c>
      <c r="G513" s="10" t="s">
        <v>5</v>
      </c>
      <c r="H513" s="10" t="s">
        <v>93</v>
      </c>
      <c r="I513" s="11">
        <v>45235</v>
      </c>
      <c r="J513" s="10" t="s">
        <v>30</v>
      </c>
      <c r="K513" s="11">
        <v>45334</v>
      </c>
      <c r="L513" s="10" t="s">
        <v>66</v>
      </c>
      <c r="M513" s="12">
        <v>30975</v>
      </c>
      <c r="N513" s="12">
        <v>7187</v>
      </c>
      <c r="O513" s="10" t="s">
        <v>32</v>
      </c>
      <c r="P513" s="10" t="s">
        <v>32</v>
      </c>
      <c r="Q513" s="10" t="s">
        <v>33</v>
      </c>
      <c r="R513" s="10" t="s">
        <v>33</v>
      </c>
      <c r="S513" s="10" t="s">
        <v>34</v>
      </c>
      <c r="T513" s="13">
        <v>4.3098999999999998</v>
      </c>
      <c r="U513" s="14">
        <v>99</v>
      </c>
      <c r="V513" s="14">
        <v>2024</v>
      </c>
      <c r="W513" s="10" t="s">
        <v>35</v>
      </c>
    </row>
    <row r="514" spans="1:23" s="9" customFormat="1" ht="15.75" hidden="1" customHeight="1" x14ac:dyDescent="0.25">
      <c r="A514" s="4" t="s">
        <v>1600</v>
      </c>
      <c r="B514" s="4" t="s">
        <v>1601</v>
      </c>
      <c r="C514" s="4" t="s">
        <v>1602</v>
      </c>
      <c r="D514" s="21" t="s">
        <v>6089</v>
      </c>
      <c r="E514" s="4" t="s">
        <v>26</v>
      </c>
      <c r="F514" s="4" t="s">
        <v>65</v>
      </c>
      <c r="G514" s="4" t="s">
        <v>5</v>
      </c>
      <c r="H514" s="4" t="s">
        <v>58</v>
      </c>
      <c r="I514" s="5">
        <v>45339</v>
      </c>
      <c r="J514" s="4" t="s">
        <v>30</v>
      </c>
      <c r="K514" s="5">
        <v>45405</v>
      </c>
      <c r="L514" s="4" t="s">
        <v>59</v>
      </c>
      <c r="M514" s="6">
        <v>53003</v>
      </c>
      <c r="N514" s="6">
        <v>2730</v>
      </c>
      <c r="O514" s="4">
        <v>13</v>
      </c>
      <c r="P514" s="5">
        <v>45418</v>
      </c>
      <c r="Q514" s="4" t="s">
        <v>33</v>
      </c>
      <c r="R514" s="4" t="s">
        <v>33</v>
      </c>
      <c r="S514" s="4" t="s">
        <v>41</v>
      </c>
      <c r="T514" s="7">
        <v>19.414999999999999</v>
      </c>
      <c r="U514" s="8">
        <v>66</v>
      </c>
      <c r="V514" s="8">
        <v>2024</v>
      </c>
      <c r="W514" s="4" t="s">
        <v>47</v>
      </c>
    </row>
    <row r="515" spans="1:23" s="9" customFormat="1" ht="15.75" hidden="1" customHeight="1" x14ac:dyDescent="0.25">
      <c r="A515" s="10" t="s">
        <v>1603</v>
      </c>
      <c r="B515" s="10" t="s">
        <v>1604</v>
      </c>
      <c r="C515" s="10" t="s">
        <v>1605</v>
      </c>
      <c r="D515" s="21" t="s">
        <v>6088</v>
      </c>
      <c r="E515" s="10" t="s">
        <v>26</v>
      </c>
      <c r="F515" s="10" t="s">
        <v>71</v>
      </c>
      <c r="G515" s="10" t="s">
        <v>28</v>
      </c>
      <c r="H515" s="10" t="s">
        <v>118</v>
      </c>
      <c r="I515" s="11">
        <v>45127</v>
      </c>
      <c r="J515" s="10" t="s">
        <v>40</v>
      </c>
      <c r="K515" s="11">
        <v>45387</v>
      </c>
      <c r="L515" s="10" t="s">
        <v>59</v>
      </c>
      <c r="M515" s="12">
        <v>46810</v>
      </c>
      <c r="N515" s="12">
        <v>7014</v>
      </c>
      <c r="O515" s="10">
        <v>13</v>
      </c>
      <c r="P515" s="11">
        <v>45400</v>
      </c>
      <c r="Q515" s="10" t="s">
        <v>33</v>
      </c>
      <c r="R515" s="10" t="s">
        <v>33</v>
      </c>
      <c r="S515" s="10" t="s">
        <v>41</v>
      </c>
      <c r="T515" s="13">
        <v>6.6738</v>
      </c>
      <c r="U515" s="14">
        <v>260</v>
      </c>
      <c r="V515" s="14">
        <v>2024</v>
      </c>
      <c r="W515" s="10" t="s">
        <v>47</v>
      </c>
    </row>
    <row r="516" spans="1:23" s="9" customFormat="1" ht="15.75" hidden="1" customHeight="1" x14ac:dyDescent="0.25">
      <c r="A516" s="4" t="s">
        <v>1606</v>
      </c>
      <c r="B516" s="4" t="s">
        <v>1607</v>
      </c>
      <c r="C516" s="4" t="s">
        <v>1608</v>
      </c>
      <c r="D516" s="21" t="s">
        <v>6089</v>
      </c>
      <c r="E516" s="4" t="s">
        <v>26</v>
      </c>
      <c r="F516" s="4" t="s">
        <v>56</v>
      </c>
      <c r="G516" s="4" t="s">
        <v>5</v>
      </c>
      <c r="H516" s="4" t="s">
        <v>161</v>
      </c>
      <c r="I516" s="5">
        <v>44975</v>
      </c>
      <c r="J516" s="4" t="s">
        <v>30</v>
      </c>
      <c r="K516" s="5">
        <v>45322</v>
      </c>
      <c r="L516" s="4" t="s">
        <v>31</v>
      </c>
      <c r="M516" s="6">
        <v>28250</v>
      </c>
      <c r="N516" s="6">
        <v>8994</v>
      </c>
      <c r="O516" s="4" t="s">
        <v>32</v>
      </c>
      <c r="P516" s="4" t="s">
        <v>32</v>
      </c>
      <c r="Q516" s="4" t="s">
        <v>33</v>
      </c>
      <c r="R516" s="4" t="s">
        <v>33</v>
      </c>
      <c r="S516" s="4" t="s">
        <v>34</v>
      </c>
      <c r="T516" s="7">
        <v>3.141</v>
      </c>
      <c r="U516" s="8">
        <v>347</v>
      </c>
      <c r="V516" s="8">
        <v>2024</v>
      </c>
      <c r="W516" s="4" t="s">
        <v>73</v>
      </c>
    </row>
    <row r="517" spans="1:23" s="9" customFormat="1" ht="15.75" hidden="1" customHeight="1" x14ac:dyDescent="0.25">
      <c r="A517" s="10" t="s">
        <v>1609</v>
      </c>
      <c r="B517" s="10" t="s">
        <v>1610</v>
      </c>
      <c r="C517" s="10" t="s">
        <v>1611</v>
      </c>
      <c r="D517" s="22" t="s">
        <v>6087</v>
      </c>
      <c r="E517" s="10" t="s">
        <v>87</v>
      </c>
      <c r="F517" s="10" t="s">
        <v>71</v>
      </c>
      <c r="G517" s="10" t="s">
        <v>5</v>
      </c>
      <c r="H517" s="10" t="s">
        <v>93</v>
      </c>
      <c r="I517" s="11">
        <v>45485</v>
      </c>
      <c r="J517" s="10" t="s">
        <v>40</v>
      </c>
      <c r="K517" s="11">
        <v>45595</v>
      </c>
      <c r="L517" s="10" t="s">
        <v>66</v>
      </c>
      <c r="M517" s="12">
        <v>4900</v>
      </c>
      <c r="N517" s="12">
        <v>3889</v>
      </c>
      <c r="O517" s="10" t="s">
        <v>32</v>
      </c>
      <c r="P517" s="10" t="s">
        <v>32</v>
      </c>
      <c r="Q517" s="10" t="s">
        <v>33</v>
      </c>
      <c r="R517" s="10" t="s">
        <v>33</v>
      </c>
      <c r="S517" s="10" t="s">
        <v>34</v>
      </c>
      <c r="T517" s="13">
        <v>1.26</v>
      </c>
      <c r="U517" s="14">
        <v>110</v>
      </c>
      <c r="V517" s="14">
        <v>2024</v>
      </c>
      <c r="W517" s="10" t="s">
        <v>95</v>
      </c>
    </row>
    <row r="518" spans="1:23" s="9" customFormat="1" ht="15.75" hidden="1" customHeight="1" x14ac:dyDescent="0.25">
      <c r="A518" s="4" t="s">
        <v>1612</v>
      </c>
      <c r="B518" s="4" t="s">
        <v>1613</v>
      </c>
      <c r="C518" s="4" t="s">
        <v>1614</v>
      </c>
      <c r="D518" s="21" t="s">
        <v>6089</v>
      </c>
      <c r="E518" s="4" t="s">
        <v>51</v>
      </c>
      <c r="F518" s="4" t="s">
        <v>65</v>
      </c>
      <c r="G518" s="4" t="s">
        <v>28</v>
      </c>
      <c r="H518" s="4" t="s">
        <v>88</v>
      </c>
      <c r="I518" s="5">
        <v>45396</v>
      </c>
      <c r="J518" s="4" t="s">
        <v>40</v>
      </c>
      <c r="K518" s="5">
        <v>45638</v>
      </c>
      <c r="L518" s="4" t="s">
        <v>59</v>
      </c>
      <c r="M518" s="6">
        <v>24194</v>
      </c>
      <c r="N518" s="6">
        <v>8274</v>
      </c>
      <c r="O518" s="4">
        <v>11</v>
      </c>
      <c r="P518" s="5">
        <v>45649</v>
      </c>
      <c r="Q518" s="4" t="s">
        <v>33</v>
      </c>
      <c r="R518" s="4" t="s">
        <v>33</v>
      </c>
      <c r="S518" s="4" t="s">
        <v>60</v>
      </c>
      <c r="T518" s="7">
        <v>2.9241000000000001</v>
      </c>
      <c r="U518" s="8">
        <v>242</v>
      </c>
      <c r="V518" s="8">
        <v>2024</v>
      </c>
      <c r="W518" s="4" t="s">
        <v>89</v>
      </c>
    </row>
    <row r="519" spans="1:23" s="9" customFormat="1" ht="15.75" hidden="1" customHeight="1" x14ac:dyDescent="0.25">
      <c r="A519" s="10" t="s">
        <v>1615</v>
      </c>
      <c r="B519" s="10" t="s">
        <v>1616</v>
      </c>
      <c r="C519" s="10" t="s">
        <v>1617</v>
      </c>
      <c r="D519" s="21" t="s">
        <v>6089</v>
      </c>
      <c r="E519" s="10" t="s">
        <v>26</v>
      </c>
      <c r="F519" s="10" t="s">
        <v>71</v>
      </c>
      <c r="G519" s="10" t="s">
        <v>57</v>
      </c>
      <c r="H519" s="10" t="s">
        <v>72</v>
      </c>
      <c r="I519" s="11">
        <v>45351</v>
      </c>
      <c r="J519" s="10" t="s">
        <v>40</v>
      </c>
      <c r="K519" s="11">
        <v>45651</v>
      </c>
      <c r="L519" s="10" t="s">
        <v>59</v>
      </c>
      <c r="M519" s="12">
        <v>43105</v>
      </c>
      <c r="N519" s="12">
        <v>1414</v>
      </c>
      <c r="O519" s="10">
        <v>28</v>
      </c>
      <c r="P519" s="11">
        <v>45679</v>
      </c>
      <c r="Q519" s="10" t="s">
        <v>33</v>
      </c>
      <c r="R519" s="10" t="s">
        <v>33</v>
      </c>
      <c r="S519" s="10" t="s">
        <v>41</v>
      </c>
      <c r="T519" s="13">
        <v>30.484400000000001</v>
      </c>
      <c r="U519" s="14">
        <v>300</v>
      </c>
      <c r="V519" s="14">
        <v>2024</v>
      </c>
      <c r="W519" s="10" t="s">
        <v>89</v>
      </c>
    </row>
    <row r="520" spans="1:23" s="9" customFormat="1" ht="15.75" hidden="1" customHeight="1" x14ac:dyDescent="0.25">
      <c r="A520" s="4" t="s">
        <v>1618</v>
      </c>
      <c r="B520" s="4" t="s">
        <v>1619</v>
      </c>
      <c r="C520" s="4" t="s">
        <v>1620</v>
      </c>
      <c r="D520" s="21" t="s">
        <v>6086</v>
      </c>
      <c r="E520" s="4" t="s">
        <v>51</v>
      </c>
      <c r="F520" s="4" t="s">
        <v>65</v>
      </c>
      <c r="G520" s="4" t="s">
        <v>5</v>
      </c>
      <c r="H520" s="4" t="s">
        <v>72</v>
      </c>
      <c r="I520" s="5">
        <v>45169</v>
      </c>
      <c r="J520" s="4" t="s">
        <v>40</v>
      </c>
      <c r="K520" s="5">
        <v>45527</v>
      </c>
      <c r="L520" s="4" t="s">
        <v>59</v>
      </c>
      <c r="M520" s="6">
        <v>94608</v>
      </c>
      <c r="N520" s="6">
        <v>2863</v>
      </c>
      <c r="O520" s="4">
        <v>28</v>
      </c>
      <c r="P520" s="5">
        <v>45555</v>
      </c>
      <c r="Q520" s="4" t="s">
        <v>33</v>
      </c>
      <c r="R520" s="4" t="s">
        <v>33</v>
      </c>
      <c r="S520" s="4" t="s">
        <v>41</v>
      </c>
      <c r="T520" s="7">
        <v>33.045099999999998</v>
      </c>
      <c r="U520" s="8">
        <v>358</v>
      </c>
      <c r="V520" s="8">
        <v>2024</v>
      </c>
      <c r="W520" s="4" t="s">
        <v>114</v>
      </c>
    </row>
    <row r="521" spans="1:23" s="9" customFormat="1" ht="15.75" hidden="1" customHeight="1" x14ac:dyDescent="0.25">
      <c r="A521" s="10" t="s">
        <v>1621</v>
      </c>
      <c r="B521" s="10" t="s">
        <v>1622</v>
      </c>
      <c r="C521" s="10" t="s">
        <v>1623</v>
      </c>
      <c r="D521" s="21" t="s">
        <v>6091</v>
      </c>
      <c r="E521" s="10" t="s">
        <v>51</v>
      </c>
      <c r="F521" s="21" t="s">
        <v>6092</v>
      </c>
      <c r="G521" s="10" t="s">
        <v>28</v>
      </c>
      <c r="H521" s="10" t="s">
        <v>29</v>
      </c>
      <c r="I521" s="11">
        <v>45185</v>
      </c>
      <c r="J521" s="10" t="s">
        <v>40</v>
      </c>
      <c r="K521" s="11">
        <v>45528</v>
      </c>
      <c r="L521" s="10" t="s">
        <v>59</v>
      </c>
      <c r="M521" s="12">
        <v>17793</v>
      </c>
      <c r="N521" s="12">
        <v>1443</v>
      </c>
      <c r="O521" s="10">
        <v>7</v>
      </c>
      <c r="P521" s="11">
        <v>45535</v>
      </c>
      <c r="Q521" s="10" t="s">
        <v>33</v>
      </c>
      <c r="R521" s="10" t="s">
        <v>33</v>
      </c>
      <c r="S521" s="10" t="s">
        <v>60</v>
      </c>
      <c r="T521" s="13">
        <v>12.3306</v>
      </c>
      <c r="U521" s="14">
        <v>343</v>
      </c>
      <c r="V521" s="14">
        <v>2024</v>
      </c>
      <c r="W521" s="10" t="s">
        <v>114</v>
      </c>
    </row>
    <row r="522" spans="1:23" s="9" customFormat="1" ht="15.75" hidden="1" customHeight="1" x14ac:dyDescent="0.25">
      <c r="A522" s="4" t="s">
        <v>1624</v>
      </c>
      <c r="B522" s="4" t="s">
        <v>1625</v>
      </c>
      <c r="C522" s="4" t="s">
        <v>1626</v>
      </c>
      <c r="D522" s="22" t="s">
        <v>6090</v>
      </c>
      <c r="E522" s="4" t="s">
        <v>87</v>
      </c>
      <c r="F522" s="4" t="s">
        <v>46</v>
      </c>
      <c r="G522" s="4" t="s">
        <v>5</v>
      </c>
      <c r="H522" s="4" t="s">
        <v>72</v>
      </c>
      <c r="I522" s="5">
        <v>45289</v>
      </c>
      <c r="J522" s="4" t="s">
        <v>30</v>
      </c>
      <c r="K522" s="5">
        <v>45436</v>
      </c>
      <c r="L522" s="4" t="s">
        <v>31</v>
      </c>
      <c r="M522" s="6">
        <v>25632</v>
      </c>
      <c r="N522" s="6">
        <v>7372</v>
      </c>
      <c r="O522" s="4" t="s">
        <v>32</v>
      </c>
      <c r="P522" s="4" t="s">
        <v>32</v>
      </c>
      <c r="Q522" s="4" t="s">
        <v>33</v>
      </c>
      <c r="R522" s="4" t="s">
        <v>33</v>
      </c>
      <c r="S522" s="4" t="s">
        <v>41</v>
      </c>
      <c r="T522" s="7">
        <v>3.4769000000000001</v>
      </c>
      <c r="U522" s="8">
        <v>147</v>
      </c>
      <c r="V522" s="8">
        <v>2024</v>
      </c>
      <c r="W522" s="4" t="s">
        <v>52</v>
      </c>
    </row>
    <row r="523" spans="1:23" s="9" customFormat="1" ht="15.75" hidden="1" customHeight="1" x14ac:dyDescent="0.25">
      <c r="A523" s="10" t="s">
        <v>1627</v>
      </c>
      <c r="B523" s="10" t="s">
        <v>1628</v>
      </c>
      <c r="C523" s="10" t="s">
        <v>1629</v>
      </c>
      <c r="D523" s="21" t="s">
        <v>6086</v>
      </c>
      <c r="E523" s="10" t="s">
        <v>51</v>
      </c>
      <c r="F523" s="10" t="s">
        <v>71</v>
      </c>
      <c r="G523" s="10" t="s">
        <v>28</v>
      </c>
      <c r="H523" s="10" t="s">
        <v>93</v>
      </c>
      <c r="I523" s="11">
        <v>45184</v>
      </c>
      <c r="J523" s="10" t="s">
        <v>30</v>
      </c>
      <c r="K523" s="11">
        <v>45494</v>
      </c>
      <c r="L523" s="10" t="s">
        <v>59</v>
      </c>
      <c r="M523" s="12">
        <v>84025</v>
      </c>
      <c r="N523" s="12">
        <v>8118</v>
      </c>
      <c r="O523" s="10">
        <v>15</v>
      </c>
      <c r="P523" s="11">
        <v>45509</v>
      </c>
      <c r="Q523" s="10" t="s">
        <v>33</v>
      </c>
      <c r="R523" s="10" t="s">
        <v>33</v>
      </c>
      <c r="S523" s="10" t="s">
        <v>60</v>
      </c>
      <c r="T523" s="13">
        <v>10.3505</v>
      </c>
      <c r="U523" s="14">
        <v>310</v>
      </c>
      <c r="V523" s="14">
        <v>2024</v>
      </c>
      <c r="W523" s="10" t="s">
        <v>42</v>
      </c>
    </row>
    <row r="524" spans="1:23" s="9" customFormat="1" ht="15.75" hidden="1" customHeight="1" x14ac:dyDescent="0.25">
      <c r="A524" s="4" t="s">
        <v>1630</v>
      </c>
      <c r="B524" s="4" t="s">
        <v>1631</v>
      </c>
      <c r="C524" s="4" t="s">
        <v>1632</v>
      </c>
      <c r="D524" s="22" t="s">
        <v>6090</v>
      </c>
      <c r="E524" s="4" t="s">
        <v>51</v>
      </c>
      <c r="F524" s="4" t="s">
        <v>65</v>
      </c>
      <c r="G524" s="4" t="s">
        <v>28</v>
      </c>
      <c r="H524" s="4" t="s">
        <v>93</v>
      </c>
      <c r="I524" s="5">
        <v>45399</v>
      </c>
      <c r="J524" s="4" t="s">
        <v>30</v>
      </c>
      <c r="K524" s="5">
        <v>45623</v>
      </c>
      <c r="L524" s="4" t="s">
        <v>59</v>
      </c>
      <c r="M524" s="6">
        <v>20000</v>
      </c>
      <c r="N524" s="6">
        <v>5872</v>
      </c>
      <c r="O524" s="4">
        <v>18</v>
      </c>
      <c r="P524" s="5">
        <v>45641</v>
      </c>
      <c r="Q524" s="4" t="s">
        <v>33</v>
      </c>
      <c r="R524" s="4" t="s">
        <v>33</v>
      </c>
      <c r="S524" s="4" t="s">
        <v>60</v>
      </c>
      <c r="T524" s="7">
        <v>3.4060000000000001</v>
      </c>
      <c r="U524" s="8">
        <v>224</v>
      </c>
      <c r="V524" s="8">
        <v>2024</v>
      </c>
      <c r="W524" s="4" t="s">
        <v>61</v>
      </c>
    </row>
    <row r="525" spans="1:23" s="9" customFormat="1" ht="15.75" hidden="1" customHeight="1" x14ac:dyDescent="0.25">
      <c r="A525" s="10" t="s">
        <v>1633</v>
      </c>
      <c r="B525" s="10" t="s">
        <v>1634</v>
      </c>
      <c r="C525" s="10" t="s">
        <v>1635</v>
      </c>
      <c r="D525" s="21" t="s">
        <v>6086</v>
      </c>
      <c r="E525" s="10" t="s">
        <v>87</v>
      </c>
      <c r="F525" s="10" t="s">
        <v>65</v>
      </c>
      <c r="G525" s="10" t="s">
        <v>28</v>
      </c>
      <c r="H525" s="10" t="s">
        <v>93</v>
      </c>
      <c r="I525" s="11">
        <v>45218</v>
      </c>
      <c r="J525" s="10" t="s">
        <v>30</v>
      </c>
      <c r="K525" s="11">
        <v>45454</v>
      </c>
      <c r="L525" s="10" t="s">
        <v>59</v>
      </c>
      <c r="M525" s="12">
        <v>35860</v>
      </c>
      <c r="N525" s="12">
        <v>1469</v>
      </c>
      <c r="O525" s="10">
        <v>33</v>
      </c>
      <c r="P525" s="11">
        <v>45487</v>
      </c>
      <c r="Q525" s="10" t="s">
        <v>33</v>
      </c>
      <c r="R525" s="10" t="s">
        <v>33</v>
      </c>
      <c r="S525" s="10" t="s">
        <v>34</v>
      </c>
      <c r="T525" s="13">
        <v>24.411200000000001</v>
      </c>
      <c r="U525" s="14">
        <v>236</v>
      </c>
      <c r="V525" s="14">
        <v>2024</v>
      </c>
      <c r="W525" s="10" t="s">
        <v>67</v>
      </c>
    </row>
    <row r="526" spans="1:23" s="9" customFormat="1" ht="15.75" hidden="1" customHeight="1" x14ac:dyDescent="0.25">
      <c r="A526" s="4" t="s">
        <v>1636</v>
      </c>
      <c r="B526" s="4" t="s">
        <v>1637</v>
      </c>
      <c r="C526" s="4" t="s">
        <v>1638</v>
      </c>
      <c r="D526" s="21" t="s">
        <v>6086</v>
      </c>
      <c r="E526" s="4" t="s">
        <v>87</v>
      </c>
      <c r="F526" s="4" t="s">
        <v>46</v>
      </c>
      <c r="G526" s="4" t="s">
        <v>57</v>
      </c>
      <c r="H526" s="4" t="s">
        <v>118</v>
      </c>
      <c r="I526" s="5">
        <v>45254</v>
      </c>
      <c r="J526" s="4" t="s">
        <v>30</v>
      </c>
      <c r="K526" s="5">
        <v>45490</v>
      </c>
      <c r="L526" s="4" t="s">
        <v>31</v>
      </c>
      <c r="M526" s="6">
        <v>98785</v>
      </c>
      <c r="N526" s="6">
        <v>3597</v>
      </c>
      <c r="O526" s="4" t="s">
        <v>32</v>
      </c>
      <c r="P526" s="4" t="s">
        <v>32</v>
      </c>
      <c r="Q526" s="4" t="s">
        <v>33</v>
      </c>
      <c r="R526" s="4" t="s">
        <v>33</v>
      </c>
      <c r="S526" s="4" t="s">
        <v>34</v>
      </c>
      <c r="T526" s="7">
        <v>27.463200000000001</v>
      </c>
      <c r="U526" s="8">
        <v>236</v>
      </c>
      <c r="V526" s="8">
        <v>2024</v>
      </c>
      <c r="W526" s="4" t="s">
        <v>42</v>
      </c>
    </row>
    <row r="527" spans="1:23" s="9" customFormat="1" ht="15.75" hidden="1" customHeight="1" x14ac:dyDescent="0.25">
      <c r="A527" s="10" t="s">
        <v>1639</v>
      </c>
      <c r="B527" s="10" t="s">
        <v>1640</v>
      </c>
      <c r="C527" s="10" t="s">
        <v>1641</v>
      </c>
      <c r="D527" s="22" t="s">
        <v>6087</v>
      </c>
      <c r="E527" s="10" t="s">
        <v>26</v>
      </c>
      <c r="F527" s="21" t="s">
        <v>6092</v>
      </c>
      <c r="G527" s="10" t="s">
        <v>57</v>
      </c>
      <c r="H527" s="10" t="s">
        <v>88</v>
      </c>
      <c r="I527" s="11">
        <v>45135</v>
      </c>
      <c r="J527" s="10" t="s">
        <v>30</v>
      </c>
      <c r="K527" s="11">
        <v>45477</v>
      </c>
      <c r="L527" s="10" t="s">
        <v>59</v>
      </c>
      <c r="M527" s="12">
        <v>23738</v>
      </c>
      <c r="N527" s="12">
        <v>8226</v>
      </c>
      <c r="O527" s="10">
        <v>43</v>
      </c>
      <c r="P527" s="11">
        <v>45520</v>
      </c>
      <c r="Q527" s="10" t="s">
        <v>33</v>
      </c>
      <c r="R527" s="10" t="s">
        <v>33</v>
      </c>
      <c r="S527" s="10" t="s">
        <v>41</v>
      </c>
      <c r="T527" s="13">
        <v>2.8856999999999999</v>
      </c>
      <c r="U527" s="14">
        <v>342</v>
      </c>
      <c r="V527" s="14">
        <v>2024</v>
      </c>
      <c r="W527" s="10" t="s">
        <v>42</v>
      </c>
    </row>
    <row r="528" spans="1:23" s="9" customFormat="1" ht="15.75" hidden="1" customHeight="1" x14ac:dyDescent="0.25">
      <c r="A528" s="4" t="s">
        <v>1642</v>
      </c>
      <c r="B528" s="4" t="s">
        <v>1643</v>
      </c>
      <c r="C528" s="4" t="s">
        <v>1644</v>
      </c>
      <c r="D528" s="22" t="s">
        <v>6087</v>
      </c>
      <c r="E528" s="4" t="s">
        <v>87</v>
      </c>
      <c r="F528" s="4" t="s">
        <v>56</v>
      </c>
      <c r="G528" s="4" t="s">
        <v>57</v>
      </c>
      <c r="H528" s="4" t="s">
        <v>88</v>
      </c>
      <c r="I528" s="5">
        <v>45054</v>
      </c>
      <c r="J528" s="4" t="s">
        <v>30</v>
      </c>
      <c r="K528" s="5">
        <v>45411</v>
      </c>
      <c r="L528" s="4" t="s">
        <v>66</v>
      </c>
      <c r="M528" s="6">
        <v>22186</v>
      </c>
      <c r="N528" s="6">
        <v>8457</v>
      </c>
      <c r="O528" s="4" t="s">
        <v>32</v>
      </c>
      <c r="P528" s="4" t="s">
        <v>32</v>
      </c>
      <c r="Q528" s="4" t="s">
        <v>33</v>
      </c>
      <c r="R528" s="4" t="s">
        <v>33</v>
      </c>
      <c r="S528" s="4" t="s">
        <v>34</v>
      </c>
      <c r="T528" s="7">
        <v>2.6234000000000002</v>
      </c>
      <c r="U528" s="8">
        <v>357</v>
      </c>
      <c r="V528" s="8">
        <v>2024</v>
      </c>
      <c r="W528" s="4" t="s">
        <v>47</v>
      </c>
    </row>
    <row r="529" spans="1:23" s="9" customFormat="1" ht="15.75" hidden="1" customHeight="1" x14ac:dyDescent="0.25">
      <c r="A529" s="10" t="s">
        <v>1645</v>
      </c>
      <c r="B529" s="10" t="s">
        <v>1646</v>
      </c>
      <c r="C529" s="10" t="s">
        <v>1647</v>
      </c>
      <c r="D529" s="22" t="s">
        <v>6090</v>
      </c>
      <c r="E529" s="10" t="s">
        <v>51</v>
      </c>
      <c r="F529" s="10" t="s">
        <v>27</v>
      </c>
      <c r="G529" s="10" t="s">
        <v>5</v>
      </c>
      <c r="H529" s="10" t="s">
        <v>118</v>
      </c>
      <c r="I529" s="11">
        <v>45408</v>
      </c>
      <c r="J529" s="10" t="s">
        <v>30</v>
      </c>
      <c r="K529" s="11">
        <v>45446</v>
      </c>
      <c r="L529" s="10" t="s">
        <v>31</v>
      </c>
      <c r="M529" s="12">
        <v>25938</v>
      </c>
      <c r="N529" s="12">
        <v>4574</v>
      </c>
      <c r="O529" s="10" t="s">
        <v>32</v>
      </c>
      <c r="P529" s="10" t="s">
        <v>32</v>
      </c>
      <c r="Q529" s="10" t="s">
        <v>33</v>
      </c>
      <c r="R529" s="10" t="s">
        <v>33</v>
      </c>
      <c r="S529" s="10" t="s">
        <v>34</v>
      </c>
      <c r="T529" s="13">
        <v>5.6707000000000001</v>
      </c>
      <c r="U529" s="14">
        <v>38</v>
      </c>
      <c r="V529" s="14">
        <v>2024</v>
      </c>
      <c r="W529" s="10" t="s">
        <v>67</v>
      </c>
    </row>
    <row r="530" spans="1:23" s="9" customFormat="1" ht="15.75" hidden="1" customHeight="1" x14ac:dyDescent="0.25">
      <c r="A530" s="4" t="s">
        <v>1648</v>
      </c>
      <c r="B530" s="4" t="s">
        <v>1649</v>
      </c>
      <c r="C530" s="4" t="s">
        <v>1650</v>
      </c>
      <c r="D530" s="22" t="s">
        <v>6087</v>
      </c>
      <c r="E530" s="4" t="s">
        <v>87</v>
      </c>
      <c r="F530" s="4" t="s">
        <v>46</v>
      </c>
      <c r="G530" s="4" t="s">
        <v>5</v>
      </c>
      <c r="H530" s="4" t="s">
        <v>88</v>
      </c>
      <c r="I530" s="5">
        <v>45347</v>
      </c>
      <c r="J530" s="4" t="s">
        <v>30</v>
      </c>
      <c r="K530" s="5">
        <v>45378</v>
      </c>
      <c r="L530" s="4" t="s">
        <v>59</v>
      </c>
      <c r="M530" s="6">
        <v>25114</v>
      </c>
      <c r="N530" s="6">
        <v>4628</v>
      </c>
      <c r="O530" s="4">
        <v>33</v>
      </c>
      <c r="P530" s="5">
        <v>45411</v>
      </c>
      <c r="Q530" s="4" t="s">
        <v>94</v>
      </c>
      <c r="R530" s="4" t="s">
        <v>94</v>
      </c>
      <c r="S530" s="4" t="s">
        <v>60</v>
      </c>
      <c r="T530" s="7">
        <v>5.4264999999999999</v>
      </c>
      <c r="U530" s="8">
        <v>31</v>
      </c>
      <c r="V530" s="8">
        <v>2024</v>
      </c>
      <c r="W530" s="4" t="s">
        <v>77</v>
      </c>
    </row>
    <row r="531" spans="1:23" s="9" customFormat="1" ht="15.75" hidden="1" customHeight="1" x14ac:dyDescent="0.25">
      <c r="A531" s="10" t="s">
        <v>1651</v>
      </c>
      <c r="B531" s="10" t="s">
        <v>1652</v>
      </c>
      <c r="C531" s="10" t="s">
        <v>1653</v>
      </c>
      <c r="D531" s="22" t="s">
        <v>6090</v>
      </c>
      <c r="E531" s="10" t="s">
        <v>26</v>
      </c>
      <c r="F531" s="10" t="s">
        <v>27</v>
      </c>
      <c r="G531" s="10" t="s">
        <v>57</v>
      </c>
      <c r="H531" s="10" t="s">
        <v>58</v>
      </c>
      <c r="I531" s="11">
        <v>45386</v>
      </c>
      <c r="J531" s="10" t="s">
        <v>40</v>
      </c>
      <c r="K531" s="11">
        <v>45522</v>
      </c>
      <c r="L531" s="10" t="s">
        <v>66</v>
      </c>
      <c r="M531" s="12">
        <v>34956</v>
      </c>
      <c r="N531" s="12">
        <v>6601</v>
      </c>
      <c r="O531" s="10" t="s">
        <v>32</v>
      </c>
      <c r="P531" s="10" t="s">
        <v>32</v>
      </c>
      <c r="Q531" s="10" t="s">
        <v>33</v>
      </c>
      <c r="R531" s="10" t="s">
        <v>33</v>
      </c>
      <c r="S531" s="10" t="s">
        <v>34</v>
      </c>
      <c r="T531" s="13">
        <v>5.2956000000000003</v>
      </c>
      <c r="U531" s="14">
        <v>136</v>
      </c>
      <c r="V531" s="14">
        <v>2024</v>
      </c>
      <c r="W531" s="10" t="s">
        <v>114</v>
      </c>
    </row>
    <row r="532" spans="1:23" s="9" customFormat="1" ht="15.75" hidden="1" customHeight="1" x14ac:dyDescent="0.25">
      <c r="A532" s="4" t="s">
        <v>1654</v>
      </c>
      <c r="B532" s="4" t="s">
        <v>1655</v>
      </c>
      <c r="C532" s="4" t="s">
        <v>1656</v>
      </c>
      <c r="D532" s="22" t="s">
        <v>6090</v>
      </c>
      <c r="E532" s="4" t="s">
        <v>87</v>
      </c>
      <c r="F532" s="4" t="s">
        <v>71</v>
      </c>
      <c r="G532" s="4" t="s">
        <v>57</v>
      </c>
      <c r="H532" s="4" t="s">
        <v>161</v>
      </c>
      <c r="I532" s="5">
        <v>45267</v>
      </c>
      <c r="J532" s="4" t="s">
        <v>30</v>
      </c>
      <c r="K532" s="5">
        <v>45526</v>
      </c>
      <c r="L532" s="4" t="s">
        <v>31</v>
      </c>
      <c r="M532" s="6">
        <v>12966</v>
      </c>
      <c r="N532" s="6">
        <v>3837</v>
      </c>
      <c r="O532" s="4" t="s">
        <v>32</v>
      </c>
      <c r="P532" s="4" t="s">
        <v>32</v>
      </c>
      <c r="Q532" s="4" t="s">
        <v>33</v>
      </c>
      <c r="R532" s="4" t="s">
        <v>33</v>
      </c>
      <c r="S532" s="4" t="s">
        <v>41</v>
      </c>
      <c r="T532" s="7">
        <v>3.3792</v>
      </c>
      <c r="U532" s="8">
        <v>259</v>
      </c>
      <c r="V532" s="8">
        <v>2024</v>
      </c>
      <c r="W532" s="4" t="s">
        <v>114</v>
      </c>
    </row>
    <row r="533" spans="1:23" s="9" customFormat="1" ht="15.75" hidden="1" customHeight="1" x14ac:dyDescent="0.25">
      <c r="A533" s="10" t="s">
        <v>1657</v>
      </c>
      <c r="B533" s="10" t="s">
        <v>1658</v>
      </c>
      <c r="C533" s="10" t="s">
        <v>1659</v>
      </c>
      <c r="D533" s="21" t="s">
        <v>6089</v>
      </c>
      <c r="E533" s="10" t="s">
        <v>26</v>
      </c>
      <c r="F533" s="10" t="s">
        <v>71</v>
      </c>
      <c r="G533" s="10" t="s">
        <v>57</v>
      </c>
      <c r="H533" s="10" t="s">
        <v>58</v>
      </c>
      <c r="I533" s="11">
        <v>45329</v>
      </c>
      <c r="J533" s="10" t="s">
        <v>30</v>
      </c>
      <c r="K533" s="11">
        <v>45473</v>
      </c>
      <c r="L533" s="10" t="s">
        <v>59</v>
      </c>
      <c r="M533" s="12">
        <v>46076</v>
      </c>
      <c r="N533" s="12">
        <v>1315</v>
      </c>
      <c r="O533" s="10">
        <v>14</v>
      </c>
      <c r="P533" s="11">
        <v>45487</v>
      </c>
      <c r="Q533" s="10" t="s">
        <v>33</v>
      </c>
      <c r="R533" s="10" t="s">
        <v>33</v>
      </c>
      <c r="S533" s="10" t="s">
        <v>34</v>
      </c>
      <c r="T533" s="13">
        <v>35.038800000000002</v>
      </c>
      <c r="U533" s="14">
        <v>144</v>
      </c>
      <c r="V533" s="14">
        <v>2024</v>
      </c>
      <c r="W533" s="10" t="s">
        <v>67</v>
      </c>
    </row>
    <row r="534" spans="1:23" s="9" customFormat="1" ht="15.75" hidden="1" customHeight="1" x14ac:dyDescent="0.25">
      <c r="A534" s="4" t="s">
        <v>1660</v>
      </c>
      <c r="B534" s="4" t="s">
        <v>1661</v>
      </c>
      <c r="C534" s="4" t="s">
        <v>1662</v>
      </c>
      <c r="D534" s="22" t="s">
        <v>6090</v>
      </c>
      <c r="E534" s="4" t="s">
        <v>87</v>
      </c>
      <c r="F534" s="4" t="s">
        <v>46</v>
      </c>
      <c r="G534" s="4" t="s">
        <v>28</v>
      </c>
      <c r="H534" s="4" t="s">
        <v>88</v>
      </c>
      <c r="I534" s="5">
        <v>45292</v>
      </c>
      <c r="J534" s="4" t="s">
        <v>40</v>
      </c>
      <c r="K534" s="5">
        <v>45348</v>
      </c>
      <c r="L534" s="4" t="s">
        <v>59</v>
      </c>
      <c r="M534" s="6">
        <v>32234</v>
      </c>
      <c r="N534" s="6">
        <v>1455</v>
      </c>
      <c r="O534" s="4">
        <v>35</v>
      </c>
      <c r="P534" s="5">
        <v>45383</v>
      </c>
      <c r="Q534" s="4" t="s">
        <v>33</v>
      </c>
      <c r="R534" s="4" t="s">
        <v>33</v>
      </c>
      <c r="S534" s="4" t="s">
        <v>34</v>
      </c>
      <c r="T534" s="7">
        <v>22.154</v>
      </c>
      <c r="U534" s="8">
        <v>56</v>
      </c>
      <c r="V534" s="8">
        <v>2024</v>
      </c>
      <c r="W534" s="4" t="s">
        <v>35</v>
      </c>
    </row>
    <row r="535" spans="1:23" s="9" customFormat="1" ht="15.75" hidden="1" customHeight="1" x14ac:dyDescent="0.25">
      <c r="A535" s="10" t="s">
        <v>1663</v>
      </c>
      <c r="B535" s="10" t="s">
        <v>1664</v>
      </c>
      <c r="C535" s="10" t="s">
        <v>1665</v>
      </c>
      <c r="D535" s="22" t="s">
        <v>6090</v>
      </c>
      <c r="E535" s="10" t="s">
        <v>26</v>
      </c>
      <c r="F535" s="10" t="s">
        <v>27</v>
      </c>
      <c r="G535" s="10" t="s">
        <v>5</v>
      </c>
      <c r="H535" s="10" t="s">
        <v>93</v>
      </c>
      <c r="I535" s="11">
        <v>45493</v>
      </c>
      <c r="J535" s="10" t="s">
        <v>40</v>
      </c>
      <c r="K535" s="11">
        <v>45544</v>
      </c>
      <c r="L535" s="10" t="s">
        <v>59</v>
      </c>
      <c r="M535" s="12">
        <v>11274</v>
      </c>
      <c r="N535" s="12">
        <v>3475</v>
      </c>
      <c r="O535" s="10">
        <v>27</v>
      </c>
      <c r="P535" s="11">
        <v>45571</v>
      </c>
      <c r="Q535" s="10" t="s">
        <v>33</v>
      </c>
      <c r="R535" s="10" t="s">
        <v>33</v>
      </c>
      <c r="S535" s="10" t="s">
        <v>60</v>
      </c>
      <c r="T535" s="13">
        <v>3.2443</v>
      </c>
      <c r="U535" s="14">
        <v>51</v>
      </c>
      <c r="V535" s="14">
        <v>2024</v>
      </c>
      <c r="W535" s="10" t="s">
        <v>168</v>
      </c>
    </row>
    <row r="536" spans="1:23" s="9" customFormat="1" ht="15.75" hidden="1" customHeight="1" x14ac:dyDescent="0.25">
      <c r="A536" s="4" t="s">
        <v>1666</v>
      </c>
      <c r="B536" s="4" t="s">
        <v>1667</v>
      </c>
      <c r="C536" s="4" t="s">
        <v>1668</v>
      </c>
      <c r="D536" s="21" t="s">
        <v>6089</v>
      </c>
      <c r="E536" s="4" t="s">
        <v>26</v>
      </c>
      <c r="F536" s="4" t="s">
        <v>56</v>
      </c>
      <c r="G536" s="4" t="s">
        <v>57</v>
      </c>
      <c r="H536" s="4" t="s">
        <v>29</v>
      </c>
      <c r="I536" s="5">
        <v>45425</v>
      </c>
      <c r="J536" s="4" t="s">
        <v>30</v>
      </c>
      <c r="K536" s="5">
        <v>45541</v>
      </c>
      <c r="L536" s="4" t="s">
        <v>59</v>
      </c>
      <c r="M536" s="6">
        <v>50680</v>
      </c>
      <c r="N536" s="6">
        <v>7677</v>
      </c>
      <c r="O536" s="4">
        <v>36</v>
      </c>
      <c r="P536" s="5">
        <v>45577</v>
      </c>
      <c r="Q536" s="4" t="s">
        <v>33</v>
      </c>
      <c r="R536" s="4" t="s">
        <v>33</v>
      </c>
      <c r="S536" s="4" t="s">
        <v>34</v>
      </c>
      <c r="T536" s="7">
        <v>6.6014999999999997</v>
      </c>
      <c r="U536" s="8">
        <v>116</v>
      </c>
      <c r="V536" s="8">
        <v>2024</v>
      </c>
      <c r="W536" s="4" t="s">
        <v>168</v>
      </c>
    </row>
    <row r="537" spans="1:23" s="9" customFormat="1" ht="15.75" hidden="1" customHeight="1" x14ac:dyDescent="0.25">
      <c r="A537" s="10" t="s">
        <v>1669</v>
      </c>
      <c r="B537" s="10" t="s">
        <v>1670</v>
      </c>
      <c r="C537" s="10" t="s">
        <v>1671</v>
      </c>
      <c r="D537" s="22" t="s">
        <v>6090</v>
      </c>
      <c r="E537" s="10" t="s">
        <v>51</v>
      </c>
      <c r="F537" s="10" t="s">
        <v>56</v>
      </c>
      <c r="G537" s="10" t="s">
        <v>5</v>
      </c>
      <c r="H537" s="10" t="s">
        <v>93</v>
      </c>
      <c r="I537" s="11">
        <v>45148</v>
      </c>
      <c r="J537" s="10" t="s">
        <v>40</v>
      </c>
      <c r="K537" s="11">
        <v>45292</v>
      </c>
      <c r="L537" s="10" t="s">
        <v>31</v>
      </c>
      <c r="M537" s="12">
        <v>16126</v>
      </c>
      <c r="N537" s="12">
        <v>7103</v>
      </c>
      <c r="O537" s="10" t="s">
        <v>32</v>
      </c>
      <c r="P537" s="10" t="s">
        <v>32</v>
      </c>
      <c r="Q537" s="10" t="s">
        <v>33</v>
      </c>
      <c r="R537" s="10" t="s">
        <v>33</v>
      </c>
      <c r="S537" s="10" t="s">
        <v>41</v>
      </c>
      <c r="T537" s="13">
        <v>2.2703000000000002</v>
      </c>
      <c r="U537" s="14">
        <v>144</v>
      </c>
      <c r="V537" s="14">
        <v>2024</v>
      </c>
      <c r="W537" s="10" t="s">
        <v>73</v>
      </c>
    </row>
    <row r="538" spans="1:23" s="9" customFormat="1" ht="15.75" hidden="1" customHeight="1" x14ac:dyDescent="0.25">
      <c r="A538" s="4" t="s">
        <v>1672</v>
      </c>
      <c r="B538" s="4" t="s">
        <v>1673</v>
      </c>
      <c r="C538" s="4" t="s">
        <v>1674</v>
      </c>
      <c r="D538" s="22" t="s">
        <v>6087</v>
      </c>
      <c r="E538" s="4" t="s">
        <v>26</v>
      </c>
      <c r="F538" s="21" t="s">
        <v>6092</v>
      </c>
      <c r="G538" s="4" t="s">
        <v>5</v>
      </c>
      <c r="H538" s="4" t="s">
        <v>58</v>
      </c>
      <c r="I538" s="5">
        <v>45592</v>
      </c>
      <c r="J538" s="4" t="s">
        <v>30</v>
      </c>
      <c r="K538" s="5">
        <v>45631</v>
      </c>
      <c r="L538" s="4" t="s">
        <v>59</v>
      </c>
      <c r="M538" s="6">
        <v>37407</v>
      </c>
      <c r="N538" s="6">
        <v>7591</v>
      </c>
      <c r="O538" s="4">
        <v>34</v>
      </c>
      <c r="P538" s="5">
        <v>45665</v>
      </c>
      <c r="Q538" s="4" t="s">
        <v>33</v>
      </c>
      <c r="R538" s="4" t="s">
        <v>33</v>
      </c>
      <c r="S538" s="4" t="s">
        <v>34</v>
      </c>
      <c r="T538" s="7">
        <v>4.9278000000000004</v>
      </c>
      <c r="U538" s="8">
        <v>39</v>
      </c>
      <c r="V538" s="8">
        <v>2024</v>
      </c>
      <c r="W538" s="4" t="s">
        <v>89</v>
      </c>
    </row>
    <row r="539" spans="1:23" s="9" customFormat="1" ht="15.75" hidden="1" customHeight="1" x14ac:dyDescent="0.25">
      <c r="A539" s="10" t="s">
        <v>1675</v>
      </c>
      <c r="B539" s="10" t="s">
        <v>1676</v>
      </c>
      <c r="C539" s="10" t="s">
        <v>1677</v>
      </c>
      <c r="D539" s="21" t="s">
        <v>6091</v>
      </c>
      <c r="E539" s="10" t="s">
        <v>87</v>
      </c>
      <c r="F539" s="10" t="s">
        <v>46</v>
      </c>
      <c r="G539" s="10" t="s">
        <v>28</v>
      </c>
      <c r="H539" s="10" t="s">
        <v>118</v>
      </c>
      <c r="I539" s="11">
        <v>45272</v>
      </c>
      <c r="J539" s="10" t="s">
        <v>40</v>
      </c>
      <c r="K539" s="11">
        <v>45487</v>
      </c>
      <c r="L539" s="10" t="s">
        <v>31</v>
      </c>
      <c r="M539" s="12">
        <v>18767</v>
      </c>
      <c r="N539" s="12">
        <v>1012</v>
      </c>
      <c r="O539" s="10" t="s">
        <v>32</v>
      </c>
      <c r="P539" s="10" t="s">
        <v>32</v>
      </c>
      <c r="Q539" s="10" t="s">
        <v>33</v>
      </c>
      <c r="R539" s="10" t="s">
        <v>33</v>
      </c>
      <c r="S539" s="10" t="s">
        <v>60</v>
      </c>
      <c r="T539" s="13">
        <v>18.544499999999999</v>
      </c>
      <c r="U539" s="14">
        <v>215</v>
      </c>
      <c r="V539" s="14">
        <v>2024</v>
      </c>
      <c r="W539" s="10" t="s">
        <v>42</v>
      </c>
    </row>
    <row r="540" spans="1:23" s="9" customFormat="1" ht="15.75" hidden="1" customHeight="1" x14ac:dyDescent="0.25">
      <c r="A540" s="4" t="s">
        <v>1678</v>
      </c>
      <c r="B540" s="4" t="s">
        <v>1679</v>
      </c>
      <c r="C540" s="4" t="s">
        <v>1680</v>
      </c>
      <c r="D540" s="22" t="s">
        <v>6090</v>
      </c>
      <c r="E540" s="4" t="s">
        <v>51</v>
      </c>
      <c r="F540" s="21" t="s">
        <v>6092</v>
      </c>
      <c r="G540" s="4" t="s">
        <v>28</v>
      </c>
      <c r="H540" s="4" t="s">
        <v>93</v>
      </c>
      <c r="I540" s="5">
        <v>45190</v>
      </c>
      <c r="J540" s="4" t="s">
        <v>30</v>
      </c>
      <c r="K540" s="5">
        <v>45524</v>
      </c>
      <c r="L540" s="4" t="s">
        <v>59</v>
      </c>
      <c r="M540" s="6">
        <v>46196</v>
      </c>
      <c r="N540" s="6">
        <v>5928</v>
      </c>
      <c r="O540" s="4">
        <v>12</v>
      </c>
      <c r="P540" s="5">
        <v>45536</v>
      </c>
      <c r="Q540" s="4" t="s">
        <v>33</v>
      </c>
      <c r="R540" s="4" t="s">
        <v>33</v>
      </c>
      <c r="S540" s="4" t="s">
        <v>34</v>
      </c>
      <c r="T540" s="7">
        <v>7.7927999999999997</v>
      </c>
      <c r="U540" s="8">
        <v>334</v>
      </c>
      <c r="V540" s="8">
        <v>2024</v>
      </c>
      <c r="W540" s="4" t="s">
        <v>114</v>
      </c>
    </row>
    <row r="541" spans="1:23" s="9" customFormat="1" ht="15.75" hidden="1" customHeight="1" x14ac:dyDescent="0.25">
      <c r="A541" s="10" t="s">
        <v>1681</v>
      </c>
      <c r="B541" s="10" t="s">
        <v>1682</v>
      </c>
      <c r="C541" s="10" t="s">
        <v>1683</v>
      </c>
      <c r="D541" s="21" t="s">
        <v>6088</v>
      </c>
      <c r="E541" s="10" t="s">
        <v>51</v>
      </c>
      <c r="F541" s="10" t="s">
        <v>65</v>
      </c>
      <c r="G541" s="10" t="s">
        <v>28</v>
      </c>
      <c r="H541" s="10" t="s">
        <v>58</v>
      </c>
      <c r="I541" s="11">
        <v>45132</v>
      </c>
      <c r="J541" s="10" t="s">
        <v>30</v>
      </c>
      <c r="K541" s="11">
        <v>45387</v>
      </c>
      <c r="L541" s="10" t="s">
        <v>59</v>
      </c>
      <c r="M541" s="12">
        <v>33105</v>
      </c>
      <c r="N541" s="12">
        <v>1821</v>
      </c>
      <c r="O541" s="10">
        <v>36</v>
      </c>
      <c r="P541" s="11">
        <v>45423</v>
      </c>
      <c r="Q541" s="10" t="s">
        <v>33</v>
      </c>
      <c r="R541" s="10" t="s">
        <v>33</v>
      </c>
      <c r="S541" s="10" t="s">
        <v>60</v>
      </c>
      <c r="T541" s="13">
        <v>18.179600000000001</v>
      </c>
      <c r="U541" s="14">
        <v>255</v>
      </c>
      <c r="V541" s="14">
        <v>2024</v>
      </c>
      <c r="W541" s="10" t="s">
        <v>47</v>
      </c>
    </row>
    <row r="542" spans="1:23" s="9" customFormat="1" ht="15.75" hidden="1" customHeight="1" x14ac:dyDescent="0.25">
      <c r="A542" s="4" t="s">
        <v>1684</v>
      </c>
      <c r="B542" s="4" t="s">
        <v>1685</v>
      </c>
      <c r="C542" s="4" t="s">
        <v>1686</v>
      </c>
      <c r="D542" s="22" t="s">
        <v>6090</v>
      </c>
      <c r="E542" s="4" t="s">
        <v>26</v>
      </c>
      <c r="F542" s="4" t="s">
        <v>65</v>
      </c>
      <c r="G542" s="4" t="s">
        <v>28</v>
      </c>
      <c r="H542" s="4" t="s">
        <v>88</v>
      </c>
      <c r="I542" s="5">
        <v>45153</v>
      </c>
      <c r="J542" s="4" t="s">
        <v>30</v>
      </c>
      <c r="K542" s="5">
        <v>45420</v>
      </c>
      <c r="L542" s="4" t="s">
        <v>59</v>
      </c>
      <c r="M542" s="6">
        <v>53042</v>
      </c>
      <c r="N542" s="6">
        <v>3022</v>
      </c>
      <c r="O542" s="4">
        <v>38</v>
      </c>
      <c r="P542" s="5">
        <v>45458</v>
      </c>
      <c r="Q542" s="4" t="s">
        <v>33</v>
      </c>
      <c r="R542" s="4" t="s">
        <v>33</v>
      </c>
      <c r="S542" s="4" t="s">
        <v>60</v>
      </c>
      <c r="T542" s="7">
        <v>17.552</v>
      </c>
      <c r="U542" s="8">
        <v>267</v>
      </c>
      <c r="V542" s="8">
        <v>2024</v>
      </c>
      <c r="W542" s="4" t="s">
        <v>52</v>
      </c>
    </row>
    <row r="543" spans="1:23" s="9" customFormat="1" ht="15.75" hidden="1" customHeight="1" x14ac:dyDescent="0.25">
      <c r="A543" s="10" t="s">
        <v>1687</v>
      </c>
      <c r="B543" s="10" t="s">
        <v>1688</v>
      </c>
      <c r="C543" s="10" t="s">
        <v>1689</v>
      </c>
      <c r="D543" s="22" t="s">
        <v>6087</v>
      </c>
      <c r="E543" s="10" t="s">
        <v>26</v>
      </c>
      <c r="F543" s="10" t="s">
        <v>46</v>
      </c>
      <c r="G543" s="10" t="s">
        <v>57</v>
      </c>
      <c r="H543" s="10" t="s">
        <v>88</v>
      </c>
      <c r="I543" s="11">
        <v>45241</v>
      </c>
      <c r="J543" s="10" t="s">
        <v>40</v>
      </c>
      <c r="K543" s="11">
        <v>45603</v>
      </c>
      <c r="L543" s="10" t="s">
        <v>59</v>
      </c>
      <c r="M543" s="12">
        <v>33882</v>
      </c>
      <c r="N543" s="12">
        <v>7468</v>
      </c>
      <c r="O543" s="10">
        <v>45</v>
      </c>
      <c r="P543" s="11">
        <v>45648</v>
      </c>
      <c r="Q543" s="10" t="s">
        <v>33</v>
      </c>
      <c r="R543" s="10" t="s">
        <v>33</v>
      </c>
      <c r="S543" s="10" t="s">
        <v>41</v>
      </c>
      <c r="T543" s="13">
        <v>4.5369999999999999</v>
      </c>
      <c r="U543" s="14">
        <v>362</v>
      </c>
      <c r="V543" s="14">
        <v>2024</v>
      </c>
      <c r="W543" s="10" t="s">
        <v>61</v>
      </c>
    </row>
    <row r="544" spans="1:23" s="9" customFormat="1" ht="15.75" hidden="1" customHeight="1" x14ac:dyDescent="0.25">
      <c r="A544" s="4" t="s">
        <v>1690</v>
      </c>
      <c r="B544" s="4" t="s">
        <v>1691</v>
      </c>
      <c r="C544" s="4" t="s">
        <v>1692</v>
      </c>
      <c r="D544" s="22" t="s">
        <v>6090</v>
      </c>
      <c r="E544" s="4" t="s">
        <v>26</v>
      </c>
      <c r="F544" s="4" t="s">
        <v>65</v>
      </c>
      <c r="G544" s="4" t="s">
        <v>57</v>
      </c>
      <c r="H544" s="4" t="s">
        <v>88</v>
      </c>
      <c r="I544" s="5">
        <v>45269</v>
      </c>
      <c r="J544" s="4" t="s">
        <v>30</v>
      </c>
      <c r="K544" s="5">
        <v>45410</v>
      </c>
      <c r="L544" s="4" t="s">
        <v>59</v>
      </c>
      <c r="M544" s="6">
        <v>48596</v>
      </c>
      <c r="N544" s="6">
        <v>657</v>
      </c>
      <c r="O544" s="4">
        <v>9</v>
      </c>
      <c r="P544" s="5">
        <v>45419</v>
      </c>
      <c r="Q544" s="4" t="s">
        <v>33</v>
      </c>
      <c r="R544" s="4" t="s">
        <v>33</v>
      </c>
      <c r="S544" s="4" t="s">
        <v>41</v>
      </c>
      <c r="T544" s="7">
        <v>73.966499999999996</v>
      </c>
      <c r="U544" s="8">
        <v>141</v>
      </c>
      <c r="V544" s="8">
        <v>2024</v>
      </c>
      <c r="W544" s="4" t="s">
        <v>47</v>
      </c>
    </row>
    <row r="545" spans="1:23" s="9" customFormat="1" ht="15.75" hidden="1" customHeight="1" x14ac:dyDescent="0.25">
      <c r="A545" s="10" t="s">
        <v>1693</v>
      </c>
      <c r="B545" s="10" t="s">
        <v>1694</v>
      </c>
      <c r="C545" s="10" t="s">
        <v>1695</v>
      </c>
      <c r="D545" s="22" t="s">
        <v>6087</v>
      </c>
      <c r="E545" s="10" t="s">
        <v>26</v>
      </c>
      <c r="F545" s="10" t="s">
        <v>27</v>
      </c>
      <c r="G545" s="10" t="s">
        <v>57</v>
      </c>
      <c r="H545" s="10" t="s">
        <v>58</v>
      </c>
      <c r="I545" s="11">
        <v>45394</v>
      </c>
      <c r="J545" s="10" t="s">
        <v>40</v>
      </c>
      <c r="K545" s="11">
        <v>45491</v>
      </c>
      <c r="L545" s="10" t="s">
        <v>31</v>
      </c>
      <c r="M545" s="12">
        <v>18668</v>
      </c>
      <c r="N545" s="12">
        <v>8800</v>
      </c>
      <c r="O545" s="10" t="s">
        <v>32</v>
      </c>
      <c r="P545" s="10" t="s">
        <v>32</v>
      </c>
      <c r="Q545" s="10" t="s">
        <v>33</v>
      </c>
      <c r="R545" s="10" t="s">
        <v>33</v>
      </c>
      <c r="S545" s="10" t="s">
        <v>60</v>
      </c>
      <c r="T545" s="13">
        <v>2.1214</v>
      </c>
      <c r="U545" s="14">
        <v>97</v>
      </c>
      <c r="V545" s="14">
        <v>2024</v>
      </c>
      <c r="W545" s="10" t="s">
        <v>42</v>
      </c>
    </row>
    <row r="546" spans="1:23" s="9" customFormat="1" ht="15.75" hidden="1" customHeight="1" x14ac:dyDescent="0.25">
      <c r="A546" s="4" t="s">
        <v>1696</v>
      </c>
      <c r="B546" s="4" t="s">
        <v>1697</v>
      </c>
      <c r="C546" s="4" t="s">
        <v>1698</v>
      </c>
      <c r="D546" s="22" t="s">
        <v>6090</v>
      </c>
      <c r="E546" s="4" t="s">
        <v>51</v>
      </c>
      <c r="F546" s="4" t="s">
        <v>65</v>
      </c>
      <c r="G546" s="4" t="s">
        <v>5</v>
      </c>
      <c r="H546" s="4" t="s">
        <v>93</v>
      </c>
      <c r="I546" s="5">
        <v>45356</v>
      </c>
      <c r="J546" s="4" t="s">
        <v>40</v>
      </c>
      <c r="K546" s="5">
        <v>45411</v>
      </c>
      <c r="L546" s="4" t="s">
        <v>59</v>
      </c>
      <c r="M546" s="6">
        <v>46241</v>
      </c>
      <c r="N546" s="6">
        <v>6238</v>
      </c>
      <c r="O546" s="4">
        <v>17</v>
      </c>
      <c r="P546" s="5">
        <v>45428</v>
      </c>
      <c r="Q546" s="4" t="s">
        <v>33</v>
      </c>
      <c r="R546" s="4" t="s">
        <v>33</v>
      </c>
      <c r="S546" s="4" t="s">
        <v>41</v>
      </c>
      <c r="T546" s="7">
        <v>7.4127999999999998</v>
      </c>
      <c r="U546" s="8">
        <v>55</v>
      </c>
      <c r="V546" s="8">
        <v>2024</v>
      </c>
      <c r="W546" s="4" t="s">
        <v>47</v>
      </c>
    </row>
    <row r="547" spans="1:23" s="9" customFormat="1" ht="15.75" hidden="1" customHeight="1" x14ac:dyDescent="0.25">
      <c r="A547" s="10" t="s">
        <v>1699</v>
      </c>
      <c r="B547" s="10" t="s">
        <v>1700</v>
      </c>
      <c r="C547" s="10" t="s">
        <v>1701</v>
      </c>
      <c r="D547" s="22" t="s">
        <v>6087</v>
      </c>
      <c r="E547" s="10" t="s">
        <v>26</v>
      </c>
      <c r="F547" s="10" t="s">
        <v>71</v>
      </c>
      <c r="G547" s="10" t="s">
        <v>28</v>
      </c>
      <c r="H547" s="10" t="s">
        <v>88</v>
      </c>
      <c r="I547" s="11">
        <v>45175</v>
      </c>
      <c r="J547" s="10" t="s">
        <v>40</v>
      </c>
      <c r="K547" s="11">
        <v>45467</v>
      </c>
      <c r="L547" s="10" t="s">
        <v>59</v>
      </c>
      <c r="M547" s="12">
        <v>3909</v>
      </c>
      <c r="N547" s="12">
        <v>7836</v>
      </c>
      <c r="O547" s="10">
        <v>11</v>
      </c>
      <c r="P547" s="11">
        <v>45478</v>
      </c>
      <c r="Q547" s="10" t="s">
        <v>33</v>
      </c>
      <c r="R547" s="10" t="s">
        <v>33</v>
      </c>
      <c r="S547" s="10" t="s">
        <v>60</v>
      </c>
      <c r="T547" s="13">
        <v>0.49890000000000001</v>
      </c>
      <c r="U547" s="14">
        <v>292</v>
      </c>
      <c r="V547" s="14">
        <v>2024</v>
      </c>
      <c r="W547" s="10" t="s">
        <v>67</v>
      </c>
    </row>
    <row r="548" spans="1:23" s="9" customFormat="1" ht="15.75" hidden="1" customHeight="1" x14ac:dyDescent="0.25">
      <c r="A548" s="4" t="s">
        <v>1702</v>
      </c>
      <c r="B548" s="4" t="s">
        <v>1703</v>
      </c>
      <c r="C548" s="4" t="s">
        <v>1704</v>
      </c>
      <c r="D548" s="21" t="s">
        <v>6091</v>
      </c>
      <c r="E548" s="4" t="s">
        <v>87</v>
      </c>
      <c r="F548" s="21" t="s">
        <v>6092</v>
      </c>
      <c r="G548" s="4" t="s">
        <v>5</v>
      </c>
      <c r="H548" s="4" t="s">
        <v>161</v>
      </c>
      <c r="I548" s="5">
        <v>45181</v>
      </c>
      <c r="J548" s="4" t="s">
        <v>40</v>
      </c>
      <c r="K548" s="5">
        <v>45496</v>
      </c>
      <c r="L548" s="4" t="s">
        <v>59</v>
      </c>
      <c r="M548" s="6">
        <v>12981</v>
      </c>
      <c r="N548" s="6">
        <v>7743</v>
      </c>
      <c r="O548" s="4">
        <v>39</v>
      </c>
      <c r="P548" s="5">
        <v>45535</v>
      </c>
      <c r="Q548" s="4" t="s">
        <v>33</v>
      </c>
      <c r="R548" s="4" t="s">
        <v>33</v>
      </c>
      <c r="S548" s="4" t="s">
        <v>41</v>
      </c>
      <c r="T548" s="7">
        <v>1.6765000000000001</v>
      </c>
      <c r="U548" s="8">
        <v>315</v>
      </c>
      <c r="V548" s="8">
        <v>2024</v>
      </c>
      <c r="W548" s="4" t="s">
        <v>42</v>
      </c>
    </row>
    <row r="549" spans="1:23" s="9" customFormat="1" ht="15.75" hidden="1" customHeight="1" x14ac:dyDescent="0.25">
      <c r="A549" s="10" t="s">
        <v>1705</v>
      </c>
      <c r="B549" s="10" t="s">
        <v>1706</v>
      </c>
      <c r="C549" s="10" t="s">
        <v>1707</v>
      </c>
      <c r="D549" s="21" t="s">
        <v>6086</v>
      </c>
      <c r="E549" s="10" t="s">
        <v>87</v>
      </c>
      <c r="F549" s="10" t="s">
        <v>46</v>
      </c>
      <c r="G549" s="10" t="s">
        <v>5</v>
      </c>
      <c r="H549" s="10" t="s">
        <v>118</v>
      </c>
      <c r="I549" s="11">
        <v>45040</v>
      </c>
      <c r="J549" s="10" t="s">
        <v>30</v>
      </c>
      <c r="K549" s="11">
        <v>45384</v>
      </c>
      <c r="L549" s="10" t="s">
        <v>59</v>
      </c>
      <c r="M549" s="12">
        <v>76864</v>
      </c>
      <c r="N549" s="12">
        <v>3434</v>
      </c>
      <c r="O549" s="10">
        <v>42</v>
      </c>
      <c r="P549" s="11">
        <v>45426</v>
      </c>
      <c r="Q549" s="10" t="s">
        <v>33</v>
      </c>
      <c r="R549" s="10" t="s">
        <v>33</v>
      </c>
      <c r="S549" s="10" t="s">
        <v>34</v>
      </c>
      <c r="T549" s="13">
        <v>22.383199999999999</v>
      </c>
      <c r="U549" s="14">
        <v>344</v>
      </c>
      <c r="V549" s="14">
        <v>2024</v>
      </c>
      <c r="W549" s="10" t="s">
        <v>47</v>
      </c>
    </row>
    <row r="550" spans="1:23" s="9" customFormat="1" ht="15.75" hidden="1" customHeight="1" x14ac:dyDescent="0.25">
      <c r="A550" s="4" t="s">
        <v>1708</v>
      </c>
      <c r="B550" s="4" t="s">
        <v>1709</v>
      </c>
      <c r="C550" s="4" t="s">
        <v>1710</v>
      </c>
      <c r="D550" s="22" t="s">
        <v>6090</v>
      </c>
      <c r="E550" s="4" t="s">
        <v>51</v>
      </c>
      <c r="F550" s="21" t="s">
        <v>6092</v>
      </c>
      <c r="G550" s="4" t="s">
        <v>57</v>
      </c>
      <c r="H550" s="4" t="s">
        <v>58</v>
      </c>
      <c r="I550" s="5">
        <v>45218</v>
      </c>
      <c r="J550" s="4" t="s">
        <v>40</v>
      </c>
      <c r="K550" s="5">
        <v>45346</v>
      </c>
      <c r="L550" s="4" t="s">
        <v>59</v>
      </c>
      <c r="M550" s="6">
        <v>3172</v>
      </c>
      <c r="N550" s="6">
        <v>8993</v>
      </c>
      <c r="O550" s="4">
        <v>5</v>
      </c>
      <c r="P550" s="5">
        <v>45351</v>
      </c>
      <c r="Q550" s="4" t="s">
        <v>33</v>
      </c>
      <c r="R550" s="4" t="s">
        <v>33</v>
      </c>
      <c r="S550" s="4" t="s">
        <v>41</v>
      </c>
      <c r="T550" s="7">
        <v>0.35270000000000001</v>
      </c>
      <c r="U550" s="8">
        <v>128</v>
      </c>
      <c r="V550" s="8">
        <v>2024</v>
      </c>
      <c r="W550" s="4" t="s">
        <v>35</v>
      </c>
    </row>
    <row r="551" spans="1:23" s="9" customFormat="1" ht="15.75" hidden="1" customHeight="1" x14ac:dyDescent="0.25">
      <c r="A551" s="10" t="s">
        <v>1711</v>
      </c>
      <c r="B551" s="10" t="s">
        <v>1712</v>
      </c>
      <c r="C551" s="10" t="s">
        <v>1713</v>
      </c>
      <c r="D551" s="21" t="s">
        <v>6086</v>
      </c>
      <c r="E551" s="10" t="s">
        <v>51</v>
      </c>
      <c r="F551" s="10" t="s">
        <v>56</v>
      </c>
      <c r="G551" s="10" t="s">
        <v>57</v>
      </c>
      <c r="H551" s="10" t="s">
        <v>39</v>
      </c>
      <c r="I551" s="11">
        <v>45399</v>
      </c>
      <c r="J551" s="10" t="s">
        <v>30</v>
      </c>
      <c r="K551" s="11">
        <v>45657</v>
      </c>
      <c r="L551" s="10" t="s">
        <v>59</v>
      </c>
      <c r="M551" s="12">
        <v>40815</v>
      </c>
      <c r="N551" s="12">
        <v>758</v>
      </c>
      <c r="O551" s="10">
        <v>12</v>
      </c>
      <c r="P551" s="11">
        <v>45669</v>
      </c>
      <c r="Q551" s="10" t="s">
        <v>94</v>
      </c>
      <c r="R551" s="10" t="s">
        <v>94</v>
      </c>
      <c r="S551" s="10" t="s">
        <v>34</v>
      </c>
      <c r="T551" s="13">
        <v>53.845599999999997</v>
      </c>
      <c r="U551" s="14">
        <v>258</v>
      </c>
      <c r="V551" s="14">
        <v>2024</v>
      </c>
      <c r="W551" s="10" t="s">
        <v>89</v>
      </c>
    </row>
    <row r="552" spans="1:23" s="9" customFormat="1" ht="15.75" hidden="1" customHeight="1" x14ac:dyDescent="0.25">
      <c r="A552" s="4" t="s">
        <v>1714</v>
      </c>
      <c r="B552" s="4" t="s">
        <v>1715</v>
      </c>
      <c r="C552" s="4" t="s">
        <v>1716</v>
      </c>
      <c r="D552" s="21" t="s">
        <v>6091</v>
      </c>
      <c r="E552" s="4" t="s">
        <v>51</v>
      </c>
      <c r="F552" s="4" t="s">
        <v>46</v>
      </c>
      <c r="G552" s="4" t="s">
        <v>28</v>
      </c>
      <c r="H552" s="4" t="s">
        <v>118</v>
      </c>
      <c r="I552" s="5">
        <v>45088</v>
      </c>
      <c r="J552" s="4" t="s">
        <v>30</v>
      </c>
      <c r="K552" s="5">
        <v>45358</v>
      </c>
      <c r="L552" s="4" t="s">
        <v>31</v>
      </c>
      <c r="M552" s="6">
        <v>3166</v>
      </c>
      <c r="N552" s="6">
        <v>7667</v>
      </c>
      <c r="O552" s="4" t="s">
        <v>32</v>
      </c>
      <c r="P552" s="4" t="s">
        <v>32</v>
      </c>
      <c r="Q552" s="4" t="s">
        <v>33</v>
      </c>
      <c r="R552" s="4" t="s">
        <v>33</v>
      </c>
      <c r="S552" s="4" t="s">
        <v>41</v>
      </c>
      <c r="T552" s="7">
        <v>0.41289999999999999</v>
      </c>
      <c r="U552" s="8">
        <v>270</v>
      </c>
      <c r="V552" s="8">
        <v>2024</v>
      </c>
      <c r="W552" s="4" t="s">
        <v>77</v>
      </c>
    </row>
    <row r="553" spans="1:23" s="9" customFormat="1" ht="15.75" hidden="1" customHeight="1" x14ac:dyDescent="0.25">
      <c r="A553" s="10" t="s">
        <v>1717</v>
      </c>
      <c r="B553" s="10" t="s">
        <v>1718</v>
      </c>
      <c r="C553" s="10" t="s">
        <v>1719</v>
      </c>
      <c r="D553" s="21" t="s">
        <v>6086</v>
      </c>
      <c r="E553" s="10" t="s">
        <v>87</v>
      </c>
      <c r="F553" s="10" t="s">
        <v>56</v>
      </c>
      <c r="G553" s="10" t="s">
        <v>28</v>
      </c>
      <c r="H553" s="10" t="s">
        <v>29</v>
      </c>
      <c r="I553" s="11">
        <v>45415</v>
      </c>
      <c r="J553" s="10" t="s">
        <v>30</v>
      </c>
      <c r="K553" s="11">
        <v>45452</v>
      </c>
      <c r="L553" s="10" t="s">
        <v>59</v>
      </c>
      <c r="M553" s="12">
        <v>61059</v>
      </c>
      <c r="N553" s="12">
        <v>4726</v>
      </c>
      <c r="O553" s="10">
        <v>18</v>
      </c>
      <c r="P553" s="11">
        <v>45470</v>
      </c>
      <c r="Q553" s="10" t="s">
        <v>33</v>
      </c>
      <c r="R553" s="10" t="s">
        <v>33</v>
      </c>
      <c r="S553" s="10" t="s">
        <v>34</v>
      </c>
      <c r="T553" s="13">
        <v>12.9198</v>
      </c>
      <c r="U553" s="14">
        <v>37</v>
      </c>
      <c r="V553" s="14">
        <v>2024</v>
      </c>
      <c r="W553" s="10" t="s">
        <v>67</v>
      </c>
    </row>
    <row r="554" spans="1:23" s="9" customFormat="1" ht="15.75" hidden="1" customHeight="1" x14ac:dyDescent="0.25">
      <c r="A554" s="4" t="s">
        <v>1720</v>
      </c>
      <c r="B554" s="4" t="s">
        <v>1721</v>
      </c>
      <c r="C554" s="4" t="s">
        <v>1722</v>
      </c>
      <c r="D554" s="22" t="s">
        <v>6087</v>
      </c>
      <c r="E554" s="4" t="s">
        <v>26</v>
      </c>
      <c r="F554" s="4" t="s">
        <v>71</v>
      </c>
      <c r="G554" s="4" t="s">
        <v>28</v>
      </c>
      <c r="H554" s="4" t="s">
        <v>58</v>
      </c>
      <c r="I554" s="5">
        <v>45479</v>
      </c>
      <c r="J554" s="4" t="s">
        <v>30</v>
      </c>
      <c r="K554" s="5">
        <v>45569</v>
      </c>
      <c r="L554" s="4" t="s">
        <v>59</v>
      </c>
      <c r="M554" s="6">
        <v>4080</v>
      </c>
      <c r="N554" s="6">
        <v>7763</v>
      </c>
      <c r="O554" s="4">
        <v>22</v>
      </c>
      <c r="P554" s="5">
        <v>45591</v>
      </c>
      <c r="Q554" s="4" t="s">
        <v>94</v>
      </c>
      <c r="R554" s="4" t="s">
        <v>33</v>
      </c>
      <c r="S554" s="4" t="s">
        <v>60</v>
      </c>
      <c r="T554" s="7">
        <v>0.52559999999999996</v>
      </c>
      <c r="U554" s="8">
        <v>90</v>
      </c>
      <c r="V554" s="8">
        <v>2024</v>
      </c>
      <c r="W554" s="4" t="s">
        <v>95</v>
      </c>
    </row>
    <row r="555" spans="1:23" s="9" customFormat="1" ht="15.75" hidden="1" customHeight="1" x14ac:dyDescent="0.25">
      <c r="A555" s="10" t="s">
        <v>1723</v>
      </c>
      <c r="B555" s="10" t="s">
        <v>1724</v>
      </c>
      <c r="C555" s="10" t="s">
        <v>1725</v>
      </c>
      <c r="D555" s="22" t="s">
        <v>6090</v>
      </c>
      <c r="E555" s="10" t="s">
        <v>26</v>
      </c>
      <c r="F555" s="10" t="s">
        <v>27</v>
      </c>
      <c r="G555" s="10" t="s">
        <v>28</v>
      </c>
      <c r="H555" s="10" t="s">
        <v>88</v>
      </c>
      <c r="I555" s="11">
        <v>45293</v>
      </c>
      <c r="J555" s="10" t="s">
        <v>40</v>
      </c>
      <c r="K555" s="11">
        <v>45543</v>
      </c>
      <c r="L555" s="10" t="s">
        <v>31</v>
      </c>
      <c r="M555" s="12">
        <v>41710</v>
      </c>
      <c r="N555" s="12">
        <v>5269</v>
      </c>
      <c r="O555" s="10" t="s">
        <v>32</v>
      </c>
      <c r="P555" s="10" t="s">
        <v>32</v>
      </c>
      <c r="Q555" s="10" t="s">
        <v>33</v>
      </c>
      <c r="R555" s="10" t="s">
        <v>33</v>
      </c>
      <c r="S555" s="10" t="s">
        <v>60</v>
      </c>
      <c r="T555" s="13">
        <v>7.9161000000000001</v>
      </c>
      <c r="U555" s="14">
        <v>250</v>
      </c>
      <c r="V555" s="14">
        <v>2024</v>
      </c>
      <c r="W555" s="10" t="s">
        <v>168</v>
      </c>
    </row>
    <row r="556" spans="1:23" s="9" customFormat="1" ht="15.75" hidden="1" customHeight="1" x14ac:dyDescent="0.25">
      <c r="A556" s="4" t="s">
        <v>1726</v>
      </c>
      <c r="B556" s="4" t="s">
        <v>1727</v>
      </c>
      <c r="C556" s="4" t="s">
        <v>1728</v>
      </c>
      <c r="D556" s="22" t="s">
        <v>6087</v>
      </c>
      <c r="E556" s="4" t="s">
        <v>26</v>
      </c>
      <c r="F556" s="4" t="s">
        <v>46</v>
      </c>
      <c r="G556" s="4" t="s">
        <v>57</v>
      </c>
      <c r="H556" s="4" t="s">
        <v>39</v>
      </c>
      <c r="I556" s="5">
        <v>45273</v>
      </c>
      <c r="J556" s="4" t="s">
        <v>40</v>
      </c>
      <c r="K556" s="5">
        <v>45348</v>
      </c>
      <c r="L556" s="4" t="s">
        <v>59</v>
      </c>
      <c r="M556" s="6">
        <v>26375</v>
      </c>
      <c r="N556" s="6">
        <v>8068</v>
      </c>
      <c r="O556" s="4">
        <v>24</v>
      </c>
      <c r="P556" s="5">
        <v>45372</v>
      </c>
      <c r="Q556" s="4" t="s">
        <v>33</v>
      </c>
      <c r="R556" s="4" t="s">
        <v>33</v>
      </c>
      <c r="S556" s="4" t="s">
        <v>41</v>
      </c>
      <c r="T556" s="7">
        <v>3.2690999999999999</v>
      </c>
      <c r="U556" s="8">
        <v>75</v>
      </c>
      <c r="V556" s="8">
        <v>2024</v>
      </c>
      <c r="W556" s="4" t="s">
        <v>35</v>
      </c>
    </row>
    <row r="557" spans="1:23" s="9" customFormat="1" ht="15.75" hidden="1" customHeight="1" x14ac:dyDescent="0.25">
      <c r="A557" s="10" t="s">
        <v>1729</v>
      </c>
      <c r="B557" s="10" t="s">
        <v>1730</v>
      </c>
      <c r="C557" s="10" t="s">
        <v>1731</v>
      </c>
      <c r="D557" s="22" t="s">
        <v>6087</v>
      </c>
      <c r="E557" s="10" t="s">
        <v>26</v>
      </c>
      <c r="F557" s="10" t="s">
        <v>46</v>
      </c>
      <c r="G557" s="10" t="s">
        <v>57</v>
      </c>
      <c r="H557" s="10" t="s">
        <v>39</v>
      </c>
      <c r="I557" s="11">
        <v>45094</v>
      </c>
      <c r="J557" s="10" t="s">
        <v>40</v>
      </c>
      <c r="K557" s="11">
        <v>45425</v>
      </c>
      <c r="L557" s="10" t="s">
        <v>59</v>
      </c>
      <c r="M557" s="12">
        <v>34993</v>
      </c>
      <c r="N557" s="12">
        <v>2046</v>
      </c>
      <c r="O557" s="10">
        <v>35</v>
      </c>
      <c r="P557" s="11">
        <v>45460</v>
      </c>
      <c r="Q557" s="10" t="s">
        <v>94</v>
      </c>
      <c r="R557" s="10" t="s">
        <v>94</v>
      </c>
      <c r="S557" s="10" t="s">
        <v>41</v>
      </c>
      <c r="T557" s="13">
        <v>17.103100000000001</v>
      </c>
      <c r="U557" s="14">
        <v>331</v>
      </c>
      <c r="V557" s="14">
        <v>2024</v>
      </c>
      <c r="W557" s="10" t="s">
        <v>52</v>
      </c>
    </row>
    <row r="558" spans="1:23" s="9" customFormat="1" ht="15.75" hidden="1" customHeight="1" x14ac:dyDescent="0.25">
      <c r="A558" s="4" t="s">
        <v>1732</v>
      </c>
      <c r="B558" s="4" t="s">
        <v>1733</v>
      </c>
      <c r="C558" s="4" t="s">
        <v>1734</v>
      </c>
      <c r="D558" s="22" t="s">
        <v>6090</v>
      </c>
      <c r="E558" s="4" t="s">
        <v>51</v>
      </c>
      <c r="F558" s="4" t="s">
        <v>65</v>
      </c>
      <c r="G558" s="4" t="s">
        <v>28</v>
      </c>
      <c r="H558" s="4" t="s">
        <v>72</v>
      </c>
      <c r="I558" s="5">
        <v>45122</v>
      </c>
      <c r="J558" s="4" t="s">
        <v>40</v>
      </c>
      <c r="K558" s="5">
        <v>45411</v>
      </c>
      <c r="L558" s="4" t="s">
        <v>59</v>
      </c>
      <c r="M558" s="6">
        <v>39642</v>
      </c>
      <c r="N558" s="6">
        <v>3528</v>
      </c>
      <c r="O558" s="4">
        <v>30</v>
      </c>
      <c r="P558" s="5">
        <v>45441</v>
      </c>
      <c r="Q558" s="4" t="s">
        <v>33</v>
      </c>
      <c r="R558" s="4" t="s">
        <v>33</v>
      </c>
      <c r="S558" s="4" t="s">
        <v>41</v>
      </c>
      <c r="T558" s="7">
        <v>11.2364</v>
      </c>
      <c r="U558" s="8">
        <v>289</v>
      </c>
      <c r="V558" s="8">
        <v>2024</v>
      </c>
      <c r="W558" s="4" t="s">
        <v>47</v>
      </c>
    </row>
    <row r="559" spans="1:23" s="9" customFormat="1" ht="15.75" hidden="1" customHeight="1" x14ac:dyDescent="0.25">
      <c r="A559" s="10" t="s">
        <v>1735</v>
      </c>
      <c r="B559" s="10" t="s">
        <v>1736</v>
      </c>
      <c r="C559" s="10" t="s">
        <v>1737</v>
      </c>
      <c r="D559" s="21" t="s">
        <v>6088</v>
      </c>
      <c r="E559" s="10" t="s">
        <v>26</v>
      </c>
      <c r="F559" s="10" t="s">
        <v>65</v>
      </c>
      <c r="G559" s="10" t="s">
        <v>5</v>
      </c>
      <c r="H559" s="10" t="s">
        <v>88</v>
      </c>
      <c r="I559" s="11">
        <v>45203</v>
      </c>
      <c r="J559" s="10" t="s">
        <v>40</v>
      </c>
      <c r="K559" s="11">
        <v>45333</v>
      </c>
      <c r="L559" s="10" t="s">
        <v>66</v>
      </c>
      <c r="M559" s="12">
        <v>18569</v>
      </c>
      <c r="N559" s="12">
        <v>1071</v>
      </c>
      <c r="O559" s="10" t="s">
        <v>32</v>
      </c>
      <c r="P559" s="10" t="s">
        <v>32</v>
      </c>
      <c r="Q559" s="10" t="s">
        <v>94</v>
      </c>
      <c r="R559" s="10" t="s">
        <v>33</v>
      </c>
      <c r="S559" s="10" t="s">
        <v>60</v>
      </c>
      <c r="T559" s="13">
        <v>17.338000000000001</v>
      </c>
      <c r="U559" s="14">
        <v>130</v>
      </c>
      <c r="V559" s="14">
        <v>2024</v>
      </c>
      <c r="W559" s="10" t="s">
        <v>35</v>
      </c>
    </row>
    <row r="560" spans="1:23" s="9" customFormat="1" ht="15.75" hidden="1" customHeight="1" x14ac:dyDescent="0.25">
      <c r="A560" s="4" t="s">
        <v>1738</v>
      </c>
      <c r="B560" s="4" t="s">
        <v>1739</v>
      </c>
      <c r="C560" s="4" t="s">
        <v>1740</v>
      </c>
      <c r="D560" s="22" t="s">
        <v>6087</v>
      </c>
      <c r="E560" s="4" t="s">
        <v>87</v>
      </c>
      <c r="F560" s="4" t="s">
        <v>65</v>
      </c>
      <c r="G560" s="4" t="s">
        <v>28</v>
      </c>
      <c r="H560" s="4" t="s">
        <v>118</v>
      </c>
      <c r="I560" s="5">
        <v>45286</v>
      </c>
      <c r="J560" s="4" t="s">
        <v>40</v>
      </c>
      <c r="K560" s="5">
        <v>45371</v>
      </c>
      <c r="L560" s="4" t="s">
        <v>59</v>
      </c>
      <c r="M560" s="6">
        <v>38597</v>
      </c>
      <c r="N560" s="6">
        <v>6715</v>
      </c>
      <c r="O560" s="4">
        <v>9</v>
      </c>
      <c r="P560" s="5">
        <v>45380</v>
      </c>
      <c r="Q560" s="4" t="s">
        <v>33</v>
      </c>
      <c r="R560" s="4" t="s">
        <v>33</v>
      </c>
      <c r="S560" s="4" t="s">
        <v>34</v>
      </c>
      <c r="T560" s="7">
        <v>5.7478999999999996</v>
      </c>
      <c r="U560" s="8">
        <v>85</v>
      </c>
      <c r="V560" s="8">
        <v>2024</v>
      </c>
      <c r="W560" s="4" t="s">
        <v>77</v>
      </c>
    </row>
    <row r="561" spans="1:23" s="9" customFormat="1" ht="15.75" hidden="1" customHeight="1" x14ac:dyDescent="0.25">
      <c r="A561" s="10" t="s">
        <v>1741</v>
      </c>
      <c r="B561" s="10" t="s">
        <v>1742</v>
      </c>
      <c r="C561" s="10" t="s">
        <v>1743</v>
      </c>
      <c r="D561" s="22" t="s">
        <v>6090</v>
      </c>
      <c r="E561" s="10" t="s">
        <v>51</v>
      </c>
      <c r="F561" s="10" t="s">
        <v>71</v>
      </c>
      <c r="G561" s="10" t="s">
        <v>57</v>
      </c>
      <c r="H561" s="10" t="s">
        <v>72</v>
      </c>
      <c r="I561" s="11">
        <v>45297</v>
      </c>
      <c r="J561" s="10" t="s">
        <v>40</v>
      </c>
      <c r="K561" s="11">
        <v>45592</v>
      </c>
      <c r="L561" s="10" t="s">
        <v>59</v>
      </c>
      <c r="M561" s="12">
        <v>7037</v>
      </c>
      <c r="N561" s="12">
        <v>4362</v>
      </c>
      <c r="O561" s="10">
        <v>3</v>
      </c>
      <c r="P561" s="11">
        <v>45595</v>
      </c>
      <c r="Q561" s="10" t="s">
        <v>33</v>
      </c>
      <c r="R561" s="10" t="s">
        <v>33</v>
      </c>
      <c r="S561" s="10" t="s">
        <v>41</v>
      </c>
      <c r="T561" s="13">
        <v>1.6133</v>
      </c>
      <c r="U561" s="14">
        <v>295</v>
      </c>
      <c r="V561" s="14">
        <v>2024</v>
      </c>
      <c r="W561" s="10" t="s">
        <v>95</v>
      </c>
    </row>
    <row r="562" spans="1:23" s="9" customFormat="1" ht="15.75" hidden="1" customHeight="1" x14ac:dyDescent="0.25">
      <c r="A562" s="4" t="s">
        <v>1744</v>
      </c>
      <c r="B562" s="4" t="s">
        <v>1745</v>
      </c>
      <c r="C562" s="4" t="s">
        <v>1746</v>
      </c>
      <c r="D562" s="22" t="s">
        <v>6090</v>
      </c>
      <c r="E562" s="4" t="s">
        <v>26</v>
      </c>
      <c r="F562" s="4" t="s">
        <v>65</v>
      </c>
      <c r="G562" s="4" t="s">
        <v>28</v>
      </c>
      <c r="H562" s="4" t="s">
        <v>58</v>
      </c>
      <c r="I562" s="5">
        <v>45558</v>
      </c>
      <c r="J562" s="4" t="s">
        <v>40</v>
      </c>
      <c r="K562" s="5">
        <v>45636</v>
      </c>
      <c r="L562" s="4" t="s">
        <v>31</v>
      </c>
      <c r="M562" s="6">
        <v>45387</v>
      </c>
      <c r="N562" s="6">
        <v>8105</v>
      </c>
      <c r="O562" s="4" t="s">
        <v>32</v>
      </c>
      <c r="P562" s="4" t="s">
        <v>32</v>
      </c>
      <c r="Q562" s="4" t="s">
        <v>33</v>
      </c>
      <c r="R562" s="4" t="s">
        <v>33</v>
      </c>
      <c r="S562" s="4" t="s">
        <v>60</v>
      </c>
      <c r="T562" s="7">
        <v>5.5998999999999999</v>
      </c>
      <c r="U562" s="8">
        <v>78</v>
      </c>
      <c r="V562" s="8">
        <v>2024</v>
      </c>
      <c r="W562" s="4" t="s">
        <v>89</v>
      </c>
    </row>
    <row r="563" spans="1:23" s="9" customFormat="1" ht="15.75" hidden="1" customHeight="1" x14ac:dyDescent="0.25">
      <c r="A563" s="10" t="s">
        <v>1747</v>
      </c>
      <c r="B563" s="10" t="s">
        <v>1748</v>
      </c>
      <c r="C563" s="10" t="s">
        <v>1749</v>
      </c>
      <c r="D563" s="22" t="s">
        <v>6087</v>
      </c>
      <c r="E563" s="10" t="s">
        <v>87</v>
      </c>
      <c r="F563" s="10" t="s">
        <v>56</v>
      </c>
      <c r="G563" s="10" t="s">
        <v>57</v>
      </c>
      <c r="H563" s="10" t="s">
        <v>58</v>
      </c>
      <c r="I563" s="11">
        <v>45534</v>
      </c>
      <c r="J563" s="10" t="s">
        <v>40</v>
      </c>
      <c r="K563" s="11">
        <v>45612</v>
      </c>
      <c r="L563" s="10" t="s">
        <v>59</v>
      </c>
      <c r="M563" s="12">
        <v>13582</v>
      </c>
      <c r="N563" s="12">
        <v>6763</v>
      </c>
      <c r="O563" s="10">
        <v>19</v>
      </c>
      <c r="P563" s="11">
        <v>45631</v>
      </c>
      <c r="Q563" s="10" t="s">
        <v>33</v>
      </c>
      <c r="R563" s="10" t="s">
        <v>33</v>
      </c>
      <c r="S563" s="10" t="s">
        <v>60</v>
      </c>
      <c r="T563" s="13">
        <v>2.0083000000000002</v>
      </c>
      <c r="U563" s="14">
        <v>78</v>
      </c>
      <c r="V563" s="14">
        <v>2024</v>
      </c>
      <c r="W563" s="10" t="s">
        <v>61</v>
      </c>
    </row>
    <row r="564" spans="1:23" s="9" customFormat="1" ht="15.75" hidden="1" customHeight="1" x14ac:dyDescent="0.25">
      <c r="A564" s="4" t="s">
        <v>1750</v>
      </c>
      <c r="B564" s="4" t="s">
        <v>1751</v>
      </c>
      <c r="C564" s="4" t="s">
        <v>1752</v>
      </c>
      <c r="D564" s="21" t="s">
        <v>6091</v>
      </c>
      <c r="E564" s="4" t="s">
        <v>26</v>
      </c>
      <c r="F564" s="21" t="s">
        <v>6092</v>
      </c>
      <c r="G564" s="4" t="s">
        <v>57</v>
      </c>
      <c r="H564" s="4" t="s">
        <v>161</v>
      </c>
      <c r="I564" s="5">
        <v>45336</v>
      </c>
      <c r="J564" s="4" t="s">
        <v>40</v>
      </c>
      <c r="K564" s="5">
        <v>45525</v>
      </c>
      <c r="L564" s="4" t="s">
        <v>59</v>
      </c>
      <c r="M564" s="6">
        <v>12231</v>
      </c>
      <c r="N564" s="6">
        <v>8763</v>
      </c>
      <c r="O564" s="4">
        <v>41</v>
      </c>
      <c r="P564" s="5">
        <v>45566</v>
      </c>
      <c r="Q564" s="4" t="s">
        <v>33</v>
      </c>
      <c r="R564" s="4" t="s">
        <v>33</v>
      </c>
      <c r="S564" s="4" t="s">
        <v>60</v>
      </c>
      <c r="T564" s="7">
        <v>1.3957999999999999</v>
      </c>
      <c r="U564" s="8">
        <v>189</v>
      </c>
      <c r="V564" s="8">
        <v>2024</v>
      </c>
      <c r="W564" s="4" t="s">
        <v>114</v>
      </c>
    </row>
    <row r="565" spans="1:23" s="9" customFormat="1" ht="15.75" hidden="1" customHeight="1" x14ac:dyDescent="0.25">
      <c r="A565" s="10" t="s">
        <v>1753</v>
      </c>
      <c r="B565" s="10" t="s">
        <v>1754</v>
      </c>
      <c r="C565" s="10" t="s">
        <v>1755</v>
      </c>
      <c r="D565" s="21" t="s">
        <v>6088</v>
      </c>
      <c r="E565" s="10" t="s">
        <v>26</v>
      </c>
      <c r="F565" s="10" t="s">
        <v>56</v>
      </c>
      <c r="G565" s="10" t="s">
        <v>57</v>
      </c>
      <c r="H565" s="10" t="s">
        <v>39</v>
      </c>
      <c r="I565" s="11">
        <v>45360</v>
      </c>
      <c r="J565" s="10" t="s">
        <v>30</v>
      </c>
      <c r="K565" s="11">
        <v>45440</v>
      </c>
      <c r="L565" s="10" t="s">
        <v>59</v>
      </c>
      <c r="M565" s="12">
        <v>54846</v>
      </c>
      <c r="N565" s="12">
        <v>2331</v>
      </c>
      <c r="O565" s="10">
        <v>21</v>
      </c>
      <c r="P565" s="11">
        <v>45461</v>
      </c>
      <c r="Q565" s="10" t="s">
        <v>33</v>
      </c>
      <c r="R565" s="10" t="s">
        <v>33</v>
      </c>
      <c r="S565" s="10" t="s">
        <v>60</v>
      </c>
      <c r="T565" s="13">
        <v>23.529</v>
      </c>
      <c r="U565" s="14">
        <v>80</v>
      </c>
      <c r="V565" s="14">
        <v>2024</v>
      </c>
      <c r="W565" s="10" t="s">
        <v>52</v>
      </c>
    </row>
    <row r="566" spans="1:23" s="9" customFormat="1" ht="15.75" hidden="1" customHeight="1" x14ac:dyDescent="0.25">
      <c r="A566" s="4" t="s">
        <v>1756</v>
      </c>
      <c r="B566" s="4" t="s">
        <v>1757</v>
      </c>
      <c r="C566" s="4" t="s">
        <v>1758</v>
      </c>
      <c r="D566" s="21" t="s">
        <v>6086</v>
      </c>
      <c r="E566" s="4" t="s">
        <v>26</v>
      </c>
      <c r="F566" s="21" t="s">
        <v>6092</v>
      </c>
      <c r="G566" s="4" t="s">
        <v>5</v>
      </c>
      <c r="H566" s="4" t="s">
        <v>93</v>
      </c>
      <c r="I566" s="5">
        <v>45081</v>
      </c>
      <c r="J566" s="4" t="s">
        <v>40</v>
      </c>
      <c r="K566" s="5">
        <v>45311</v>
      </c>
      <c r="L566" s="4" t="s">
        <v>66</v>
      </c>
      <c r="M566" s="6">
        <v>91790</v>
      </c>
      <c r="N566" s="6">
        <v>3900</v>
      </c>
      <c r="O566" s="4" t="s">
        <v>32</v>
      </c>
      <c r="P566" s="4" t="s">
        <v>32</v>
      </c>
      <c r="Q566" s="4" t="s">
        <v>33</v>
      </c>
      <c r="R566" s="4" t="s">
        <v>33</v>
      </c>
      <c r="S566" s="4" t="s">
        <v>41</v>
      </c>
      <c r="T566" s="7">
        <v>23.535900000000002</v>
      </c>
      <c r="U566" s="8">
        <v>230</v>
      </c>
      <c r="V566" s="8">
        <v>2024</v>
      </c>
      <c r="W566" s="4" t="s">
        <v>73</v>
      </c>
    </row>
    <row r="567" spans="1:23" s="9" customFormat="1" ht="15.75" hidden="1" customHeight="1" x14ac:dyDescent="0.25">
      <c r="A567" s="10" t="s">
        <v>1759</v>
      </c>
      <c r="B567" s="10" t="s">
        <v>1760</v>
      </c>
      <c r="C567" s="10" t="s">
        <v>1761</v>
      </c>
      <c r="D567" s="22" t="s">
        <v>6090</v>
      </c>
      <c r="E567" s="10" t="s">
        <v>87</v>
      </c>
      <c r="F567" s="10" t="s">
        <v>56</v>
      </c>
      <c r="G567" s="10" t="s">
        <v>5</v>
      </c>
      <c r="H567" s="10" t="s">
        <v>58</v>
      </c>
      <c r="I567" s="11">
        <v>45056</v>
      </c>
      <c r="J567" s="10" t="s">
        <v>30</v>
      </c>
      <c r="K567" s="11">
        <v>45308</v>
      </c>
      <c r="L567" s="10" t="s">
        <v>59</v>
      </c>
      <c r="M567" s="12">
        <v>27406</v>
      </c>
      <c r="N567" s="12">
        <v>8392</v>
      </c>
      <c r="O567" s="10">
        <v>7</v>
      </c>
      <c r="P567" s="11">
        <v>45315</v>
      </c>
      <c r="Q567" s="10" t="s">
        <v>94</v>
      </c>
      <c r="R567" s="10" t="s">
        <v>94</v>
      </c>
      <c r="S567" s="10" t="s">
        <v>41</v>
      </c>
      <c r="T567" s="13">
        <v>3.2656999999999998</v>
      </c>
      <c r="U567" s="14">
        <v>252</v>
      </c>
      <c r="V567" s="14">
        <v>2024</v>
      </c>
      <c r="W567" s="10" t="s">
        <v>73</v>
      </c>
    </row>
    <row r="568" spans="1:23" s="9" customFormat="1" ht="15.75" hidden="1" customHeight="1" x14ac:dyDescent="0.25">
      <c r="A568" s="4" t="s">
        <v>1762</v>
      </c>
      <c r="B568" s="4" t="s">
        <v>1763</v>
      </c>
      <c r="C568" s="4" t="s">
        <v>1764</v>
      </c>
      <c r="D568" s="22" t="s">
        <v>6090</v>
      </c>
      <c r="E568" s="4" t="s">
        <v>51</v>
      </c>
      <c r="F568" s="4" t="s">
        <v>65</v>
      </c>
      <c r="G568" s="4" t="s">
        <v>57</v>
      </c>
      <c r="H568" s="4" t="s">
        <v>58</v>
      </c>
      <c r="I568" s="5">
        <v>45324</v>
      </c>
      <c r="J568" s="4" t="s">
        <v>30</v>
      </c>
      <c r="K568" s="5">
        <v>45374</v>
      </c>
      <c r="L568" s="4" t="s">
        <v>66</v>
      </c>
      <c r="M568" s="6">
        <v>25889</v>
      </c>
      <c r="N568" s="6">
        <v>2930</v>
      </c>
      <c r="O568" s="4" t="s">
        <v>32</v>
      </c>
      <c r="P568" s="4" t="s">
        <v>32</v>
      </c>
      <c r="Q568" s="4" t="s">
        <v>33</v>
      </c>
      <c r="R568" s="4" t="s">
        <v>33</v>
      </c>
      <c r="S568" s="4" t="s">
        <v>60</v>
      </c>
      <c r="T568" s="7">
        <v>8.8358000000000008</v>
      </c>
      <c r="U568" s="8">
        <v>50</v>
      </c>
      <c r="V568" s="8">
        <v>2024</v>
      </c>
      <c r="W568" s="4" t="s">
        <v>77</v>
      </c>
    </row>
    <row r="569" spans="1:23" s="9" customFormat="1" ht="15.75" hidden="1" customHeight="1" x14ac:dyDescent="0.25">
      <c r="A569" s="10" t="s">
        <v>1765</v>
      </c>
      <c r="B569" s="10" t="s">
        <v>1766</v>
      </c>
      <c r="C569" s="10" t="s">
        <v>1767</v>
      </c>
      <c r="D569" s="22" t="s">
        <v>6087</v>
      </c>
      <c r="E569" s="10" t="s">
        <v>87</v>
      </c>
      <c r="F569" s="10" t="s">
        <v>27</v>
      </c>
      <c r="G569" s="10" t="s">
        <v>5</v>
      </c>
      <c r="H569" s="10" t="s">
        <v>29</v>
      </c>
      <c r="I569" s="11">
        <v>45366</v>
      </c>
      <c r="J569" s="10" t="s">
        <v>30</v>
      </c>
      <c r="K569" s="11">
        <v>45456</v>
      </c>
      <c r="L569" s="10" t="s">
        <v>59</v>
      </c>
      <c r="M569" s="12">
        <v>9811</v>
      </c>
      <c r="N569" s="12">
        <v>3232</v>
      </c>
      <c r="O569" s="10">
        <v>45</v>
      </c>
      <c r="P569" s="11">
        <v>45501</v>
      </c>
      <c r="Q569" s="10" t="s">
        <v>33</v>
      </c>
      <c r="R569" s="10" t="s">
        <v>33</v>
      </c>
      <c r="S569" s="10" t="s">
        <v>34</v>
      </c>
      <c r="T569" s="13">
        <v>3.0356000000000001</v>
      </c>
      <c r="U569" s="14">
        <v>90</v>
      </c>
      <c r="V569" s="14">
        <v>2024</v>
      </c>
      <c r="W569" s="10" t="s">
        <v>67</v>
      </c>
    </row>
    <row r="570" spans="1:23" s="9" customFormat="1" ht="15.75" hidden="1" customHeight="1" x14ac:dyDescent="0.25">
      <c r="A570" s="4" t="s">
        <v>1768</v>
      </c>
      <c r="B570" s="4" t="s">
        <v>1769</v>
      </c>
      <c r="C570" s="4" t="s">
        <v>1770</v>
      </c>
      <c r="D570" s="21" t="s">
        <v>6086</v>
      </c>
      <c r="E570" s="4" t="s">
        <v>87</v>
      </c>
      <c r="F570" s="4" t="s">
        <v>71</v>
      </c>
      <c r="G570" s="4" t="s">
        <v>28</v>
      </c>
      <c r="H570" s="4" t="s">
        <v>72</v>
      </c>
      <c r="I570" s="5">
        <v>45430</v>
      </c>
      <c r="J570" s="4" t="s">
        <v>40</v>
      </c>
      <c r="K570" s="5">
        <v>45630</v>
      </c>
      <c r="L570" s="4" t="s">
        <v>59</v>
      </c>
      <c r="M570" s="6">
        <v>27877</v>
      </c>
      <c r="N570" s="6">
        <v>6015</v>
      </c>
      <c r="O570" s="4">
        <v>26</v>
      </c>
      <c r="P570" s="5">
        <v>45656</v>
      </c>
      <c r="Q570" s="4" t="s">
        <v>33</v>
      </c>
      <c r="R570" s="4" t="s">
        <v>33</v>
      </c>
      <c r="S570" s="4" t="s">
        <v>41</v>
      </c>
      <c r="T570" s="7">
        <v>4.6345999999999998</v>
      </c>
      <c r="U570" s="8">
        <v>200</v>
      </c>
      <c r="V570" s="8">
        <v>2024</v>
      </c>
      <c r="W570" s="4" t="s">
        <v>89</v>
      </c>
    </row>
    <row r="571" spans="1:23" s="9" customFormat="1" ht="15.75" hidden="1" customHeight="1" x14ac:dyDescent="0.25">
      <c r="A571" s="10" t="s">
        <v>1771</v>
      </c>
      <c r="B571" s="10" t="s">
        <v>1772</v>
      </c>
      <c r="C571" s="10" t="s">
        <v>1773</v>
      </c>
      <c r="D571" s="22" t="s">
        <v>6090</v>
      </c>
      <c r="E571" s="10" t="s">
        <v>51</v>
      </c>
      <c r="F571" s="10" t="s">
        <v>71</v>
      </c>
      <c r="G571" s="10" t="s">
        <v>5</v>
      </c>
      <c r="H571" s="10" t="s">
        <v>29</v>
      </c>
      <c r="I571" s="11">
        <v>44984</v>
      </c>
      <c r="J571" s="10" t="s">
        <v>30</v>
      </c>
      <c r="K571" s="11">
        <v>45292</v>
      </c>
      <c r="L571" s="10" t="s">
        <v>31</v>
      </c>
      <c r="M571" s="12">
        <v>6810</v>
      </c>
      <c r="N571" s="12">
        <v>8197</v>
      </c>
      <c r="O571" s="10" t="s">
        <v>32</v>
      </c>
      <c r="P571" s="10" t="s">
        <v>32</v>
      </c>
      <c r="Q571" s="10" t="s">
        <v>94</v>
      </c>
      <c r="R571" s="10" t="s">
        <v>33</v>
      </c>
      <c r="S571" s="10" t="s">
        <v>41</v>
      </c>
      <c r="T571" s="13">
        <v>0.83079999999999998</v>
      </c>
      <c r="U571" s="14">
        <v>308</v>
      </c>
      <c r="V571" s="14">
        <v>2024</v>
      </c>
      <c r="W571" s="10" t="s">
        <v>73</v>
      </c>
    </row>
    <row r="572" spans="1:23" s="9" customFormat="1" ht="27.75" customHeight="1" x14ac:dyDescent="0.25">
      <c r="A572" s="4" t="s">
        <v>1774</v>
      </c>
      <c r="B572" s="4" t="s">
        <v>1775</v>
      </c>
      <c r="C572" s="4" t="s">
        <v>1776</v>
      </c>
      <c r="D572" s="22" t="s">
        <v>6087</v>
      </c>
      <c r="E572" s="4" t="s">
        <v>87</v>
      </c>
      <c r="F572" s="10" t="s">
        <v>6092</v>
      </c>
      <c r="G572" s="4" t="s">
        <v>28</v>
      </c>
      <c r="H572" s="4" t="s">
        <v>39</v>
      </c>
      <c r="I572" s="5">
        <v>45307</v>
      </c>
      <c r="J572" s="4" t="s">
        <v>30</v>
      </c>
      <c r="K572" s="5">
        <v>45489</v>
      </c>
      <c r="L572" s="4" t="s">
        <v>66</v>
      </c>
      <c r="M572" s="6">
        <v>30379</v>
      </c>
      <c r="N572" s="6">
        <v>4347</v>
      </c>
      <c r="O572" s="4" t="s">
        <v>32</v>
      </c>
      <c r="P572" s="4" t="s">
        <v>32</v>
      </c>
      <c r="Q572" s="4" t="s">
        <v>94</v>
      </c>
      <c r="R572" s="4" t="s">
        <v>94</v>
      </c>
      <c r="S572" s="4" t="s">
        <v>34</v>
      </c>
      <c r="T572" s="7">
        <v>6.9885000000000002</v>
      </c>
      <c r="U572" s="8">
        <v>182</v>
      </c>
      <c r="V572" s="8">
        <v>2024</v>
      </c>
      <c r="W572" s="4" t="s">
        <v>42</v>
      </c>
    </row>
    <row r="573" spans="1:23" s="9" customFormat="1" ht="15.75" hidden="1" customHeight="1" x14ac:dyDescent="0.25">
      <c r="A573" s="10" t="s">
        <v>1777</v>
      </c>
      <c r="B573" s="10" t="s">
        <v>1778</v>
      </c>
      <c r="C573" s="10" t="s">
        <v>1779</v>
      </c>
      <c r="D573" s="21" t="s">
        <v>6089</v>
      </c>
      <c r="E573" s="10" t="s">
        <v>87</v>
      </c>
      <c r="F573" s="10" t="s">
        <v>27</v>
      </c>
      <c r="G573" s="10" t="s">
        <v>28</v>
      </c>
      <c r="H573" s="10" t="s">
        <v>161</v>
      </c>
      <c r="I573" s="11">
        <v>45352</v>
      </c>
      <c r="J573" s="10" t="s">
        <v>40</v>
      </c>
      <c r="K573" s="11">
        <v>45382</v>
      </c>
      <c r="L573" s="10" t="s">
        <v>66</v>
      </c>
      <c r="M573" s="12">
        <v>46521</v>
      </c>
      <c r="N573" s="12">
        <v>1191</v>
      </c>
      <c r="O573" s="10" t="s">
        <v>32</v>
      </c>
      <c r="P573" s="10" t="s">
        <v>32</v>
      </c>
      <c r="Q573" s="10" t="s">
        <v>33</v>
      </c>
      <c r="R573" s="10" t="s">
        <v>33</v>
      </c>
      <c r="S573" s="10" t="s">
        <v>41</v>
      </c>
      <c r="T573" s="13">
        <v>39.060499999999998</v>
      </c>
      <c r="U573" s="14">
        <v>30</v>
      </c>
      <c r="V573" s="14">
        <v>2024</v>
      </c>
      <c r="W573" s="10" t="s">
        <v>77</v>
      </c>
    </row>
    <row r="574" spans="1:23" s="9" customFormat="1" ht="15.75" hidden="1" customHeight="1" x14ac:dyDescent="0.25">
      <c r="A574" s="4" t="s">
        <v>1780</v>
      </c>
      <c r="B574" s="4" t="s">
        <v>1781</v>
      </c>
      <c r="C574" s="4" t="s">
        <v>1782</v>
      </c>
      <c r="D574" s="21" t="s">
        <v>6089</v>
      </c>
      <c r="E574" s="4" t="s">
        <v>51</v>
      </c>
      <c r="F574" s="21" t="s">
        <v>6092</v>
      </c>
      <c r="G574" s="4" t="s">
        <v>5</v>
      </c>
      <c r="H574" s="4" t="s">
        <v>72</v>
      </c>
      <c r="I574" s="5">
        <v>45083</v>
      </c>
      <c r="J574" s="4" t="s">
        <v>40</v>
      </c>
      <c r="K574" s="5">
        <v>45356</v>
      </c>
      <c r="L574" s="4" t="s">
        <v>59</v>
      </c>
      <c r="M574" s="6">
        <v>37330</v>
      </c>
      <c r="N574" s="6">
        <v>1995</v>
      </c>
      <c r="O574" s="4">
        <v>25</v>
      </c>
      <c r="P574" s="5">
        <v>45381</v>
      </c>
      <c r="Q574" s="4" t="s">
        <v>33</v>
      </c>
      <c r="R574" s="4" t="s">
        <v>33</v>
      </c>
      <c r="S574" s="4" t="s">
        <v>34</v>
      </c>
      <c r="T574" s="7">
        <v>18.7118</v>
      </c>
      <c r="U574" s="8">
        <v>273</v>
      </c>
      <c r="V574" s="8">
        <v>2024</v>
      </c>
      <c r="W574" s="4" t="s">
        <v>77</v>
      </c>
    </row>
    <row r="575" spans="1:23" s="9" customFormat="1" ht="15.75" hidden="1" customHeight="1" x14ac:dyDescent="0.25">
      <c r="A575" s="10" t="s">
        <v>1783</v>
      </c>
      <c r="B575" s="10" t="s">
        <v>1784</v>
      </c>
      <c r="C575" s="10" t="s">
        <v>1785</v>
      </c>
      <c r="D575" s="22" t="s">
        <v>6090</v>
      </c>
      <c r="E575" s="10" t="s">
        <v>51</v>
      </c>
      <c r="F575" s="10" t="s">
        <v>27</v>
      </c>
      <c r="G575" s="10" t="s">
        <v>5</v>
      </c>
      <c r="H575" s="10" t="s">
        <v>29</v>
      </c>
      <c r="I575" s="11">
        <v>45282</v>
      </c>
      <c r="J575" s="10" t="s">
        <v>40</v>
      </c>
      <c r="K575" s="11">
        <v>45620</v>
      </c>
      <c r="L575" s="10" t="s">
        <v>59</v>
      </c>
      <c r="M575" s="12">
        <v>41514</v>
      </c>
      <c r="N575" s="12">
        <v>4976</v>
      </c>
      <c r="O575" s="10">
        <v>42</v>
      </c>
      <c r="P575" s="11">
        <v>45662</v>
      </c>
      <c r="Q575" s="10" t="s">
        <v>94</v>
      </c>
      <c r="R575" s="10" t="s">
        <v>33</v>
      </c>
      <c r="S575" s="10" t="s">
        <v>41</v>
      </c>
      <c r="T575" s="13">
        <v>8.3428000000000004</v>
      </c>
      <c r="U575" s="14">
        <v>338</v>
      </c>
      <c r="V575" s="14">
        <v>2024</v>
      </c>
      <c r="W575" s="10" t="s">
        <v>61</v>
      </c>
    </row>
    <row r="576" spans="1:23" s="9" customFormat="1" ht="15.75" hidden="1" customHeight="1" x14ac:dyDescent="0.25">
      <c r="A576" s="4" t="s">
        <v>1786</v>
      </c>
      <c r="B576" s="4" t="s">
        <v>1787</v>
      </c>
      <c r="C576" s="4" t="s">
        <v>1788</v>
      </c>
      <c r="D576" s="22" t="s">
        <v>6090</v>
      </c>
      <c r="E576" s="4" t="s">
        <v>87</v>
      </c>
      <c r="F576" s="4" t="s">
        <v>71</v>
      </c>
      <c r="G576" s="4" t="s">
        <v>28</v>
      </c>
      <c r="H576" s="4" t="s">
        <v>161</v>
      </c>
      <c r="I576" s="5">
        <v>45271</v>
      </c>
      <c r="J576" s="4" t="s">
        <v>30</v>
      </c>
      <c r="K576" s="5">
        <v>45520</v>
      </c>
      <c r="L576" s="4" t="s">
        <v>59</v>
      </c>
      <c r="M576" s="6">
        <v>3401</v>
      </c>
      <c r="N576" s="6">
        <v>8533</v>
      </c>
      <c r="O576" s="4">
        <v>34</v>
      </c>
      <c r="P576" s="5">
        <v>45554</v>
      </c>
      <c r="Q576" s="4" t="s">
        <v>33</v>
      </c>
      <c r="R576" s="4" t="s">
        <v>33</v>
      </c>
      <c r="S576" s="4" t="s">
        <v>60</v>
      </c>
      <c r="T576" s="7">
        <v>0.39860000000000001</v>
      </c>
      <c r="U576" s="8">
        <v>249</v>
      </c>
      <c r="V576" s="8">
        <v>2024</v>
      </c>
      <c r="W576" s="4" t="s">
        <v>114</v>
      </c>
    </row>
    <row r="577" spans="1:23" s="9" customFormat="1" ht="15.75" hidden="1" customHeight="1" x14ac:dyDescent="0.25">
      <c r="A577" s="10" t="s">
        <v>1789</v>
      </c>
      <c r="B577" s="10" t="s">
        <v>1790</v>
      </c>
      <c r="C577" s="10" t="s">
        <v>1791</v>
      </c>
      <c r="D577" s="21" t="s">
        <v>6091</v>
      </c>
      <c r="E577" s="10" t="s">
        <v>87</v>
      </c>
      <c r="F577" s="10" t="s">
        <v>65</v>
      </c>
      <c r="G577" s="10" t="s">
        <v>5</v>
      </c>
      <c r="H577" s="10" t="s">
        <v>161</v>
      </c>
      <c r="I577" s="11">
        <v>45406</v>
      </c>
      <c r="J577" s="10" t="s">
        <v>40</v>
      </c>
      <c r="K577" s="11">
        <v>45591</v>
      </c>
      <c r="L577" s="10" t="s">
        <v>31</v>
      </c>
      <c r="M577" s="12">
        <v>15280</v>
      </c>
      <c r="N577" s="12">
        <v>3805</v>
      </c>
      <c r="O577" s="10" t="s">
        <v>32</v>
      </c>
      <c r="P577" s="10" t="s">
        <v>32</v>
      </c>
      <c r="Q577" s="10" t="s">
        <v>33</v>
      </c>
      <c r="R577" s="10" t="s">
        <v>33</v>
      </c>
      <c r="S577" s="10" t="s">
        <v>60</v>
      </c>
      <c r="T577" s="13">
        <v>4.0157999999999996</v>
      </c>
      <c r="U577" s="14">
        <v>185</v>
      </c>
      <c r="V577" s="14">
        <v>2024</v>
      </c>
      <c r="W577" s="10" t="s">
        <v>95</v>
      </c>
    </row>
    <row r="578" spans="1:23" s="9" customFormat="1" ht="15.75" hidden="1" customHeight="1" x14ac:dyDescent="0.25">
      <c r="A578" s="4" t="s">
        <v>1792</v>
      </c>
      <c r="B578" s="4" t="s">
        <v>1793</v>
      </c>
      <c r="C578" s="4" t="s">
        <v>1794</v>
      </c>
      <c r="D578" s="22" t="s">
        <v>6090</v>
      </c>
      <c r="E578" s="4" t="s">
        <v>26</v>
      </c>
      <c r="F578" s="21" t="s">
        <v>6092</v>
      </c>
      <c r="G578" s="4" t="s">
        <v>57</v>
      </c>
      <c r="H578" s="4" t="s">
        <v>118</v>
      </c>
      <c r="I578" s="5">
        <v>45301</v>
      </c>
      <c r="J578" s="4" t="s">
        <v>40</v>
      </c>
      <c r="K578" s="5">
        <v>45364</v>
      </c>
      <c r="L578" s="4" t="s">
        <v>59</v>
      </c>
      <c r="M578" s="6">
        <v>21024</v>
      </c>
      <c r="N578" s="6">
        <v>2549</v>
      </c>
      <c r="O578" s="4">
        <v>6</v>
      </c>
      <c r="P578" s="5">
        <v>45370</v>
      </c>
      <c r="Q578" s="4" t="s">
        <v>94</v>
      </c>
      <c r="R578" s="4" t="s">
        <v>33</v>
      </c>
      <c r="S578" s="4" t="s">
        <v>34</v>
      </c>
      <c r="T578" s="7">
        <v>8.2478999999999996</v>
      </c>
      <c r="U578" s="8">
        <v>63</v>
      </c>
      <c r="V578" s="8">
        <v>2024</v>
      </c>
      <c r="W578" s="4" t="s">
        <v>77</v>
      </c>
    </row>
    <row r="579" spans="1:23" s="9" customFormat="1" ht="15.75" hidden="1" customHeight="1" x14ac:dyDescent="0.25">
      <c r="A579" s="10" t="s">
        <v>1795</v>
      </c>
      <c r="B579" s="10" t="s">
        <v>1796</v>
      </c>
      <c r="C579" s="10" t="s">
        <v>1797</v>
      </c>
      <c r="D579" s="22" t="s">
        <v>6087</v>
      </c>
      <c r="E579" s="10" t="s">
        <v>26</v>
      </c>
      <c r="F579" s="10" t="s">
        <v>71</v>
      </c>
      <c r="G579" s="10" t="s">
        <v>5</v>
      </c>
      <c r="H579" s="10" t="s">
        <v>29</v>
      </c>
      <c r="I579" s="11">
        <v>45194</v>
      </c>
      <c r="J579" s="10" t="s">
        <v>40</v>
      </c>
      <c r="K579" s="11">
        <v>45416</v>
      </c>
      <c r="L579" s="10" t="s">
        <v>59</v>
      </c>
      <c r="M579" s="12">
        <v>24726</v>
      </c>
      <c r="N579" s="12">
        <v>8402</v>
      </c>
      <c r="O579" s="10">
        <v>4</v>
      </c>
      <c r="P579" s="11">
        <v>45420</v>
      </c>
      <c r="Q579" s="10" t="s">
        <v>33</v>
      </c>
      <c r="R579" s="10" t="s">
        <v>33</v>
      </c>
      <c r="S579" s="10" t="s">
        <v>34</v>
      </c>
      <c r="T579" s="13">
        <v>2.9428999999999998</v>
      </c>
      <c r="U579" s="14">
        <v>222</v>
      </c>
      <c r="V579" s="14">
        <v>2024</v>
      </c>
      <c r="W579" s="10" t="s">
        <v>52</v>
      </c>
    </row>
    <row r="580" spans="1:23" s="9" customFormat="1" ht="15.75" hidden="1" customHeight="1" x14ac:dyDescent="0.25">
      <c r="A580" s="4" t="s">
        <v>1798</v>
      </c>
      <c r="B580" s="4" t="s">
        <v>1799</v>
      </c>
      <c r="C580" s="4" t="s">
        <v>1800</v>
      </c>
      <c r="D580" s="21" t="s">
        <v>6088</v>
      </c>
      <c r="E580" s="4" t="s">
        <v>26</v>
      </c>
      <c r="F580" s="4" t="s">
        <v>27</v>
      </c>
      <c r="G580" s="4" t="s">
        <v>57</v>
      </c>
      <c r="H580" s="4" t="s">
        <v>72</v>
      </c>
      <c r="I580" s="5">
        <v>45294</v>
      </c>
      <c r="J580" s="4" t="s">
        <v>40</v>
      </c>
      <c r="K580" s="5">
        <v>45636</v>
      </c>
      <c r="L580" s="4" t="s">
        <v>31</v>
      </c>
      <c r="M580" s="6">
        <v>20186</v>
      </c>
      <c r="N580" s="6">
        <v>1082</v>
      </c>
      <c r="O580" s="4" t="s">
        <v>32</v>
      </c>
      <c r="P580" s="4" t="s">
        <v>32</v>
      </c>
      <c r="Q580" s="4" t="s">
        <v>33</v>
      </c>
      <c r="R580" s="4" t="s">
        <v>33</v>
      </c>
      <c r="S580" s="4" t="s">
        <v>60</v>
      </c>
      <c r="T580" s="7">
        <v>18.656199999999998</v>
      </c>
      <c r="U580" s="8">
        <v>342</v>
      </c>
      <c r="V580" s="8">
        <v>2024</v>
      </c>
      <c r="W580" s="4" t="s">
        <v>89</v>
      </c>
    </row>
    <row r="581" spans="1:23" s="9" customFormat="1" ht="15.75" hidden="1" customHeight="1" x14ac:dyDescent="0.25">
      <c r="A581" s="10" t="s">
        <v>1801</v>
      </c>
      <c r="B581" s="10" t="s">
        <v>1802</v>
      </c>
      <c r="C581" s="10" t="s">
        <v>1803</v>
      </c>
      <c r="D581" s="21" t="s">
        <v>6089</v>
      </c>
      <c r="E581" s="10" t="s">
        <v>26</v>
      </c>
      <c r="F581" s="10" t="s">
        <v>46</v>
      </c>
      <c r="G581" s="10" t="s">
        <v>57</v>
      </c>
      <c r="H581" s="10" t="s">
        <v>72</v>
      </c>
      <c r="I581" s="11">
        <v>45187</v>
      </c>
      <c r="J581" s="10" t="s">
        <v>40</v>
      </c>
      <c r="K581" s="11">
        <v>45375</v>
      </c>
      <c r="L581" s="10" t="s">
        <v>59</v>
      </c>
      <c r="M581" s="12">
        <v>54933</v>
      </c>
      <c r="N581" s="12">
        <v>6809</v>
      </c>
      <c r="O581" s="10">
        <v>39</v>
      </c>
      <c r="P581" s="11">
        <v>45414</v>
      </c>
      <c r="Q581" s="10" t="s">
        <v>94</v>
      </c>
      <c r="R581" s="10" t="s">
        <v>94</v>
      </c>
      <c r="S581" s="10" t="s">
        <v>41</v>
      </c>
      <c r="T581" s="13">
        <v>8.0677000000000003</v>
      </c>
      <c r="U581" s="14">
        <v>188</v>
      </c>
      <c r="V581" s="14">
        <v>2024</v>
      </c>
      <c r="W581" s="10" t="s">
        <v>77</v>
      </c>
    </row>
    <row r="582" spans="1:23" s="9" customFormat="1" ht="15.75" hidden="1" customHeight="1" x14ac:dyDescent="0.25">
      <c r="A582" s="4" t="s">
        <v>1804</v>
      </c>
      <c r="B582" s="4" t="s">
        <v>1805</v>
      </c>
      <c r="C582" s="4" t="s">
        <v>1806</v>
      </c>
      <c r="D582" s="21" t="s">
        <v>6086</v>
      </c>
      <c r="E582" s="4" t="s">
        <v>26</v>
      </c>
      <c r="F582" s="4" t="s">
        <v>65</v>
      </c>
      <c r="G582" s="4" t="s">
        <v>57</v>
      </c>
      <c r="H582" s="4" t="s">
        <v>29</v>
      </c>
      <c r="I582" s="5">
        <v>45276</v>
      </c>
      <c r="J582" s="4" t="s">
        <v>30</v>
      </c>
      <c r="K582" s="5">
        <v>45628</v>
      </c>
      <c r="L582" s="4" t="s">
        <v>31</v>
      </c>
      <c r="M582" s="6">
        <v>47111</v>
      </c>
      <c r="N582" s="6">
        <v>2687</v>
      </c>
      <c r="O582" s="4" t="s">
        <v>32</v>
      </c>
      <c r="P582" s="4" t="s">
        <v>32</v>
      </c>
      <c r="Q582" s="4" t="s">
        <v>33</v>
      </c>
      <c r="R582" s="4" t="s">
        <v>33</v>
      </c>
      <c r="S582" s="4" t="s">
        <v>34</v>
      </c>
      <c r="T582" s="7">
        <v>17.532900000000001</v>
      </c>
      <c r="U582" s="8">
        <v>352</v>
      </c>
      <c r="V582" s="8">
        <v>2024</v>
      </c>
      <c r="W582" s="4" t="s">
        <v>89</v>
      </c>
    </row>
    <row r="583" spans="1:23" s="9" customFormat="1" ht="15.75" hidden="1" customHeight="1" x14ac:dyDescent="0.25">
      <c r="A583" s="10" t="s">
        <v>1807</v>
      </c>
      <c r="B583" s="10" t="s">
        <v>1808</v>
      </c>
      <c r="C583" s="10" t="s">
        <v>1809</v>
      </c>
      <c r="D583" s="22" t="s">
        <v>6087</v>
      </c>
      <c r="E583" s="10" t="s">
        <v>87</v>
      </c>
      <c r="F583" s="10" t="s">
        <v>65</v>
      </c>
      <c r="G583" s="10" t="s">
        <v>57</v>
      </c>
      <c r="H583" s="10" t="s">
        <v>29</v>
      </c>
      <c r="I583" s="11">
        <v>45066</v>
      </c>
      <c r="J583" s="10" t="s">
        <v>40</v>
      </c>
      <c r="K583" s="11">
        <v>45357</v>
      </c>
      <c r="L583" s="10" t="s">
        <v>31</v>
      </c>
      <c r="M583" s="12">
        <v>38787</v>
      </c>
      <c r="N583" s="12">
        <v>2867</v>
      </c>
      <c r="O583" s="10" t="s">
        <v>32</v>
      </c>
      <c r="P583" s="10" t="s">
        <v>32</v>
      </c>
      <c r="Q583" s="10" t="s">
        <v>94</v>
      </c>
      <c r="R583" s="10" t="s">
        <v>94</v>
      </c>
      <c r="S583" s="10" t="s">
        <v>34</v>
      </c>
      <c r="T583" s="13">
        <v>13.5288</v>
      </c>
      <c r="U583" s="14">
        <v>291</v>
      </c>
      <c r="V583" s="14">
        <v>2024</v>
      </c>
      <c r="W583" s="10" t="s">
        <v>77</v>
      </c>
    </row>
    <row r="584" spans="1:23" s="9" customFormat="1" ht="15.75" hidden="1" customHeight="1" x14ac:dyDescent="0.25">
      <c r="A584" s="4" t="s">
        <v>1810</v>
      </c>
      <c r="B584" s="4" t="s">
        <v>1811</v>
      </c>
      <c r="C584" s="4" t="s">
        <v>1812</v>
      </c>
      <c r="D584" s="22" t="s">
        <v>6090</v>
      </c>
      <c r="E584" s="4" t="s">
        <v>87</v>
      </c>
      <c r="F584" s="4" t="s">
        <v>27</v>
      </c>
      <c r="G584" s="4" t="s">
        <v>5</v>
      </c>
      <c r="H584" s="4" t="s">
        <v>29</v>
      </c>
      <c r="I584" s="5">
        <v>45360</v>
      </c>
      <c r="J584" s="4" t="s">
        <v>30</v>
      </c>
      <c r="K584" s="5">
        <v>45477</v>
      </c>
      <c r="L584" s="4" t="s">
        <v>59</v>
      </c>
      <c r="M584" s="6">
        <v>6778</v>
      </c>
      <c r="N584" s="6">
        <v>6138</v>
      </c>
      <c r="O584" s="4">
        <v>42</v>
      </c>
      <c r="P584" s="5">
        <v>45519</v>
      </c>
      <c r="Q584" s="4" t="s">
        <v>94</v>
      </c>
      <c r="R584" s="4" t="s">
        <v>33</v>
      </c>
      <c r="S584" s="4" t="s">
        <v>34</v>
      </c>
      <c r="T584" s="7">
        <v>1.1043000000000001</v>
      </c>
      <c r="U584" s="8">
        <v>117</v>
      </c>
      <c r="V584" s="8">
        <v>2024</v>
      </c>
      <c r="W584" s="4" t="s">
        <v>42</v>
      </c>
    </row>
    <row r="585" spans="1:23" s="9" customFormat="1" ht="15.75" hidden="1" customHeight="1" x14ac:dyDescent="0.25">
      <c r="A585" s="10" t="s">
        <v>1813</v>
      </c>
      <c r="B585" s="10" t="s">
        <v>1814</v>
      </c>
      <c r="C585" s="10" t="s">
        <v>1815</v>
      </c>
      <c r="D585" s="22" t="s">
        <v>6087</v>
      </c>
      <c r="E585" s="10" t="s">
        <v>51</v>
      </c>
      <c r="F585" s="10" t="s">
        <v>71</v>
      </c>
      <c r="G585" s="10" t="s">
        <v>5</v>
      </c>
      <c r="H585" s="10" t="s">
        <v>72</v>
      </c>
      <c r="I585" s="11">
        <v>45251</v>
      </c>
      <c r="J585" s="10" t="s">
        <v>40</v>
      </c>
      <c r="K585" s="11">
        <v>45473</v>
      </c>
      <c r="L585" s="10" t="s">
        <v>59</v>
      </c>
      <c r="M585" s="12">
        <v>26031</v>
      </c>
      <c r="N585" s="12">
        <v>7296</v>
      </c>
      <c r="O585" s="10">
        <v>14</v>
      </c>
      <c r="P585" s="11">
        <v>45487</v>
      </c>
      <c r="Q585" s="10" t="s">
        <v>33</v>
      </c>
      <c r="R585" s="10" t="s">
        <v>33</v>
      </c>
      <c r="S585" s="10" t="s">
        <v>60</v>
      </c>
      <c r="T585" s="13">
        <v>3.5678000000000001</v>
      </c>
      <c r="U585" s="14">
        <v>222</v>
      </c>
      <c r="V585" s="14">
        <v>2024</v>
      </c>
      <c r="W585" s="10" t="s">
        <v>67</v>
      </c>
    </row>
    <row r="586" spans="1:23" s="9" customFormat="1" ht="15.75" hidden="1" customHeight="1" x14ac:dyDescent="0.25">
      <c r="A586" s="4" t="s">
        <v>1816</v>
      </c>
      <c r="B586" s="4" t="s">
        <v>1817</v>
      </c>
      <c r="C586" s="4" t="s">
        <v>1818</v>
      </c>
      <c r="D586" s="21" t="s">
        <v>6091</v>
      </c>
      <c r="E586" s="4" t="s">
        <v>51</v>
      </c>
      <c r="F586" s="4" t="s">
        <v>65</v>
      </c>
      <c r="G586" s="4" t="s">
        <v>28</v>
      </c>
      <c r="H586" s="4" t="s">
        <v>93</v>
      </c>
      <c r="I586" s="5">
        <v>45159</v>
      </c>
      <c r="J586" s="4" t="s">
        <v>40</v>
      </c>
      <c r="K586" s="5">
        <v>45343</v>
      </c>
      <c r="L586" s="4" t="s">
        <v>59</v>
      </c>
      <c r="M586" s="6">
        <v>19259</v>
      </c>
      <c r="N586" s="6">
        <v>6497</v>
      </c>
      <c r="O586" s="4">
        <v>26</v>
      </c>
      <c r="P586" s="5">
        <v>45369</v>
      </c>
      <c r="Q586" s="4" t="s">
        <v>94</v>
      </c>
      <c r="R586" s="4" t="s">
        <v>94</v>
      </c>
      <c r="S586" s="4" t="s">
        <v>41</v>
      </c>
      <c r="T586" s="7">
        <v>2.9643000000000002</v>
      </c>
      <c r="U586" s="8">
        <v>184</v>
      </c>
      <c r="V586" s="8">
        <v>2024</v>
      </c>
      <c r="W586" s="4" t="s">
        <v>35</v>
      </c>
    </row>
    <row r="587" spans="1:23" s="9" customFormat="1" ht="15.75" hidden="1" customHeight="1" x14ac:dyDescent="0.25">
      <c r="A587" s="10" t="s">
        <v>1819</v>
      </c>
      <c r="B587" s="10" t="s">
        <v>1820</v>
      </c>
      <c r="C587" s="10" t="s">
        <v>1821</v>
      </c>
      <c r="D587" s="21" t="s">
        <v>6091</v>
      </c>
      <c r="E587" s="10" t="s">
        <v>51</v>
      </c>
      <c r="F587" s="10" t="s">
        <v>27</v>
      </c>
      <c r="G587" s="10" t="s">
        <v>5</v>
      </c>
      <c r="H587" s="10" t="s">
        <v>58</v>
      </c>
      <c r="I587" s="11">
        <v>45458</v>
      </c>
      <c r="J587" s="10" t="s">
        <v>30</v>
      </c>
      <c r="K587" s="11">
        <v>45635</v>
      </c>
      <c r="L587" s="10" t="s">
        <v>59</v>
      </c>
      <c r="M587" s="12">
        <v>10022</v>
      </c>
      <c r="N587" s="12">
        <v>8977</v>
      </c>
      <c r="O587" s="10">
        <v>15</v>
      </c>
      <c r="P587" s="11">
        <v>45650</v>
      </c>
      <c r="Q587" s="10" t="s">
        <v>33</v>
      </c>
      <c r="R587" s="10" t="s">
        <v>33</v>
      </c>
      <c r="S587" s="10" t="s">
        <v>34</v>
      </c>
      <c r="T587" s="13">
        <v>1.1164000000000001</v>
      </c>
      <c r="U587" s="14">
        <v>177</v>
      </c>
      <c r="V587" s="14">
        <v>2024</v>
      </c>
      <c r="W587" s="10" t="s">
        <v>89</v>
      </c>
    </row>
    <row r="588" spans="1:23" s="9" customFormat="1" ht="15.75" hidden="1" customHeight="1" x14ac:dyDescent="0.25">
      <c r="A588" s="4" t="s">
        <v>1822</v>
      </c>
      <c r="B588" s="4" t="s">
        <v>1823</v>
      </c>
      <c r="C588" s="4" t="s">
        <v>1824</v>
      </c>
      <c r="D588" s="21" t="s">
        <v>6086</v>
      </c>
      <c r="E588" s="4" t="s">
        <v>26</v>
      </c>
      <c r="F588" s="21" t="s">
        <v>6092</v>
      </c>
      <c r="G588" s="4" t="s">
        <v>5</v>
      </c>
      <c r="H588" s="4" t="s">
        <v>161</v>
      </c>
      <c r="I588" s="5">
        <v>45389</v>
      </c>
      <c r="J588" s="4" t="s">
        <v>40</v>
      </c>
      <c r="K588" s="5">
        <v>45491</v>
      </c>
      <c r="L588" s="4" t="s">
        <v>66</v>
      </c>
      <c r="M588" s="6">
        <v>83160</v>
      </c>
      <c r="N588" s="6">
        <v>8846</v>
      </c>
      <c r="O588" s="4" t="s">
        <v>32</v>
      </c>
      <c r="P588" s="4" t="s">
        <v>32</v>
      </c>
      <c r="Q588" s="4" t="s">
        <v>33</v>
      </c>
      <c r="R588" s="4" t="s">
        <v>33</v>
      </c>
      <c r="S588" s="4" t="s">
        <v>41</v>
      </c>
      <c r="T588" s="7">
        <v>9.4009</v>
      </c>
      <c r="U588" s="8">
        <v>102</v>
      </c>
      <c r="V588" s="8">
        <v>2024</v>
      </c>
      <c r="W588" s="4" t="s">
        <v>42</v>
      </c>
    </row>
    <row r="589" spans="1:23" s="9" customFormat="1" ht="15.75" hidden="1" customHeight="1" x14ac:dyDescent="0.25">
      <c r="A589" s="10" t="s">
        <v>1825</v>
      </c>
      <c r="B589" s="10" t="s">
        <v>1826</v>
      </c>
      <c r="C589" s="10" t="s">
        <v>1827</v>
      </c>
      <c r="D589" s="22" t="s">
        <v>6090</v>
      </c>
      <c r="E589" s="10" t="s">
        <v>26</v>
      </c>
      <c r="F589" s="10" t="s">
        <v>46</v>
      </c>
      <c r="G589" s="10" t="s">
        <v>28</v>
      </c>
      <c r="H589" s="10" t="s">
        <v>39</v>
      </c>
      <c r="I589" s="11">
        <v>45007</v>
      </c>
      <c r="J589" s="10" t="s">
        <v>30</v>
      </c>
      <c r="K589" s="11">
        <v>45303</v>
      </c>
      <c r="L589" s="10" t="s">
        <v>59</v>
      </c>
      <c r="M589" s="12">
        <v>12717</v>
      </c>
      <c r="N589" s="12">
        <v>5283</v>
      </c>
      <c r="O589" s="10">
        <v>45</v>
      </c>
      <c r="P589" s="11">
        <v>45348</v>
      </c>
      <c r="Q589" s="10" t="s">
        <v>33</v>
      </c>
      <c r="R589" s="10" t="s">
        <v>33</v>
      </c>
      <c r="S589" s="10" t="s">
        <v>34</v>
      </c>
      <c r="T589" s="13">
        <v>2.4072</v>
      </c>
      <c r="U589" s="14">
        <v>296</v>
      </c>
      <c r="V589" s="14">
        <v>2024</v>
      </c>
      <c r="W589" s="10" t="s">
        <v>73</v>
      </c>
    </row>
    <row r="590" spans="1:23" s="9" customFormat="1" ht="15.75" hidden="1" customHeight="1" x14ac:dyDescent="0.25">
      <c r="A590" s="4" t="s">
        <v>1828</v>
      </c>
      <c r="B590" s="4" t="s">
        <v>1829</v>
      </c>
      <c r="C590" s="4" t="s">
        <v>1830</v>
      </c>
      <c r="D590" s="22" t="s">
        <v>6087</v>
      </c>
      <c r="E590" s="4" t="s">
        <v>87</v>
      </c>
      <c r="F590" s="4" t="s">
        <v>46</v>
      </c>
      <c r="G590" s="4" t="s">
        <v>28</v>
      </c>
      <c r="H590" s="4" t="s">
        <v>93</v>
      </c>
      <c r="I590" s="5">
        <v>45416</v>
      </c>
      <c r="J590" s="4" t="s">
        <v>30</v>
      </c>
      <c r="K590" s="5">
        <v>45556</v>
      </c>
      <c r="L590" s="4" t="s">
        <v>59</v>
      </c>
      <c r="M590" s="6">
        <v>14236</v>
      </c>
      <c r="N590" s="6">
        <v>1732</v>
      </c>
      <c r="O590" s="4">
        <v>39</v>
      </c>
      <c r="P590" s="5">
        <v>45595</v>
      </c>
      <c r="Q590" s="4" t="s">
        <v>33</v>
      </c>
      <c r="R590" s="4" t="s">
        <v>33</v>
      </c>
      <c r="S590" s="4" t="s">
        <v>60</v>
      </c>
      <c r="T590" s="7">
        <v>8.2194000000000003</v>
      </c>
      <c r="U590" s="8">
        <v>140</v>
      </c>
      <c r="V590" s="8">
        <v>2024</v>
      </c>
      <c r="W590" s="4" t="s">
        <v>168</v>
      </c>
    </row>
    <row r="591" spans="1:23" s="9" customFormat="1" ht="15.75" hidden="1" customHeight="1" x14ac:dyDescent="0.25">
      <c r="A591" s="10" t="s">
        <v>1831</v>
      </c>
      <c r="B591" s="10" t="s">
        <v>1832</v>
      </c>
      <c r="C591" s="10" t="s">
        <v>1833</v>
      </c>
      <c r="D591" s="21" t="s">
        <v>6091</v>
      </c>
      <c r="E591" s="10" t="s">
        <v>87</v>
      </c>
      <c r="F591" s="10" t="s">
        <v>65</v>
      </c>
      <c r="G591" s="10" t="s">
        <v>57</v>
      </c>
      <c r="H591" s="10" t="s">
        <v>39</v>
      </c>
      <c r="I591" s="11">
        <v>45475</v>
      </c>
      <c r="J591" s="10" t="s">
        <v>30</v>
      </c>
      <c r="K591" s="11">
        <v>45643</v>
      </c>
      <c r="L591" s="10" t="s">
        <v>59</v>
      </c>
      <c r="M591" s="12">
        <v>19034</v>
      </c>
      <c r="N591" s="12">
        <v>1457</v>
      </c>
      <c r="O591" s="10">
        <v>44</v>
      </c>
      <c r="P591" s="11">
        <v>45687</v>
      </c>
      <c r="Q591" s="10" t="s">
        <v>33</v>
      </c>
      <c r="R591" s="10" t="s">
        <v>33</v>
      </c>
      <c r="S591" s="10" t="s">
        <v>41</v>
      </c>
      <c r="T591" s="13">
        <v>13.063800000000001</v>
      </c>
      <c r="U591" s="14">
        <v>168</v>
      </c>
      <c r="V591" s="14">
        <v>2024</v>
      </c>
      <c r="W591" s="10" t="s">
        <v>89</v>
      </c>
    </row>
    <row r="592" spans="1:23" s="9" customFormat="1" ht="15.75" hidden="1" customHeight="1" x14ac:dyDescent="0.25">
      <c r="A592" s="4" t="s">
        <v>1834</v>
      </c>
      <c r="B592" s="4" t="s">
        <v>1835</v>
      </c>
      <c r="C592" s="4" t="s">
        <v>1836</v>
      </c>
      <c r="D592" s="21" t="s">
        <v>6086</v>
      </c>
      <c r="E592" s="4" t="s">
        <v>51</v>
      </c>
      <c r="F592" s="4" t="s">
        <v>27</v>
      </c>
      <c r="G592" s="4" t="s">
        <v>5</v>
      </c>
      <c r="H592" s="4" t="s">
        <v>39</v>
      </c>
      <c r="I592" s="5">
        <v>45362</v>
      </c>
      <c r="J592" s="4" t="s">
        <v>30</v>
      </c>
      <c r="K592" s="5">
        <v>45647</v>
      </c>
      <c r="L592" s="4" t="s">
        <v>59</v>
      </c>
      <c r="M592" s="6">
        <v>17769</v>
      </c>
      <c r="N592" s="6">
        <v>7215</v>
      </c>
      <c r="O592" s="4">
        <v>36</v>
      </c>
      <c r="P592" s="5">
        <v>45683</v>
      </c>
      <c r="Q592" s="4" t="s">
        <v>33</v>
      </c>
      <c r="R592" s="4" t="s">
        <v>33</v>
      </c>
      <c r="S592" s="4" t="s">
        <v>60</v>
      </c>
      <c r="T592" s="7">
        <v>2.4628000000000001</v>
      </c>
      <c r="U592" s="8">
        <v>285</v>
      </c>
      <c r="V592" s="8">
        <v>2024</v>
      </c>
      <c r="W592" s="4" t="s">
        <v>89</v>
      </c>
    </row>
    <row r="593" spans="1:23" s="9" customFormat="1" ht="15.75" hidden="1" customHeight="1" x14ac:dyDescent="0.25">
      <c r="A593" s="10" t="s">
        <v>1837</v>
      </c>
      <c r="B593" s="10" t="s">
        <v>1838</v>
      </c>
      <c r="C593" s="10" t="s">
        <v>1839</v>
      </c>
      <c r="D593" s="22" t="s">
        <v>6087</v>
      </c>
      <c r="E593" s="10" t="s">
        <v>51</v>
      </c>
      <c r="F593" s="10" t="s">
        <v>65</v>
      </c>
      <c r="G593" s="10" t="s">
        <v>57</v>
      </c>
      <c r="H593" s="10" t="s">
        <v>118</v>
      </c>
      <c r="I593" s="11">
        <v>45292</v>
      </c>
      <c r="J593" s="10" t="s">
        <v>40</v>
      </c>
      <c r="K593" s="11">
        <v>45591</v>
      </c>
      <c r="L593" s="10" t="s">
        <v>59</v>
      </c>
      <c r="M593" s="12">
        <v>28052</v>
      </c>
      <c r="N593" s="12">
        <v>4063</v>
      </c>
      <c r="O593" s="10">
        <v>34</v>
      </c>
      <c r="P593" s="11">
        <v>45625</v>
      </c>
      <c r="Q593" s="10" t="s">
        <v>33</v>
      </c>
      <c r="R593" s="10" t="s">
        <v>33</v>
      </c>
      <c r="S593" s="10" t="s">
        <v>34</v>
      </c>
      <c r="T593" s="13">
        <v>6.9043000000000001</v>
      </c>
      <c r="U593" s="14">
        <v>299</v>
      </c>
      <c r="V593" s="14">
        <v>2024</v>
      </c>
      <c r="W593" s="10" t="s">
        <v>95</v>
      </c>
    </row>
    <row r="594" spans="1:23" s="9" customFormat="1" ht="15.75" hidden="1" customHeight="1" x14ac:dyDescent="0.25">
      <c r="A594" s="4" t="s">
        <v>1840</v>
      </c>
      <c r="B594" s="4" t="s">
        <v>1841</v>
      </c>
      <c r="C594" s="4" t="s">
        <v>1842</v>
      </c>
      <c r="D594" s="21" t="s">
        <v>6091</v>
      </c>
      <c r="E594" s="4" t="s">
        <v>26</v>
      </c>
      <c r="F594" s="4" t="s">
        <v>65</v>
      </c>
      <c r="G594" s="4" t="s">
        <v>57</v>
      </c>
      <c r="H594" s="4" t="s">
        <v>161</v>
      </c>
      <c r="I594" s="5">
        <v>45340</v>
      </c>
      <c r="J594" s="4" t="s">
        <v>30</v>
      </c>
      <c r="K594" s="5">
        <v>45565</v>
      </c>
      <c r="L594" s="4" t="s">
        <v>59</v>
      </c>
      <c r="M594" s="6">
        <v>8852</v>
      </c>
      <c r="N594" s="6">
        <v>2728</v>
      </c>
      <c r="O594" s="4">
        <v>13</v>
      </c>
      <c r="P594" s="5">
        <v>45578</v>
      </c>
      <c r="Q594" s="4" t="s">
        <v>94</v>
      </c>
      <c r="R594" s="4" t="s">
        <v>94</v>
      </c>
      <c r="S594" s="4" t="s">
        <v>60</v>
      </c>
      <c r="T594" s="7">
        <v>3.2448999999999999</v>
      </c>
      <c r="U594" s="8">
        <v>225</v>
      </c>
      <c r="V594" s="8">
        <v>2024</v>
      </c>
      <c r="W594" s="4" t="s">
        <v>168</v>
      </c>
    </row>
    <row r="595" spans="1:23" s="9" customFormat="1" ht="15.75" hidden="1" customHeight="1" x14ac:dyDescent="0.25">
      <c r="A595" s="10" t="s">
        <v>1843</v>
      </c>
      <c r="B595" s="10" t="s">
        <v>1844</v>
      </c>
      <c r="C595" s="10" t="s">
        <v>1845</v>
      </c>
      <c r="D595" s="21" t="s">
        <v>6089</v>
      </c>
      <c r="E595" s="10" t="s">
        <v>51</v>
      </c>
      <c r="F595" s="10" t="s">
        <v>46</v>
      </c>
      <c r="G595" s="10" t="s">
        <v>57</v>
      </c>
      <c r="H595" s="10" t="s">
        <v>72</v>
      </c>
      <c r="I595" s="11">
        <v>45389</v>
      </c>
      <c r="J595" s="10" t="s">
        <v>40</v>
      </c>
      <c r="K595" s="11">
        <v>45550</v>
      </c>
      <c r="L595" s="10" t="s">
        <v>59</v>
      </c>
      <c r="M595" s="12">
        <v>64837</v>
      </c>
      <c r="N595" s="12">
        <v>5201</v>
      </c>
      <c r="O595" s="10">
        <v>41</v>
      </c>
      <c r="P595" s="11">
        <v>45591</v>
      </c>
      <c r="Q595" s="10" t="s">
        <v>33</v>
      </c>
      <c r="R595" s="10" t="s">
        <v>33</v>
      </c>
      <c r="S595" s="10" t="s">
        <v>60</v>
      </c>
      <c r="T595" s="13">
        <v>12.4663</v>
      </c>
      <c r="U595" s="14">
        <v>161</v>
      </c>
      <c r="V595" s="14">
        <v>2024</v>
      </c>
      <c r="W595" s="10" t="s">
        <v>168</v>
      </c>
    </row>
    <row r="596" spans="1:23" s="9" customFormat="1" ht="15.75" hidden="1" customHeight="1" x14ac:dyDescent="0.25">
      <c r="A596" s="4" t="s">
        <v>1846</v>
      </c>
      <c r="B596" s="4" t="s">
        <v>1847</v>
      </c>
      <c r="C596" s="4" t="s">
        <v>1848</v>
      </c>
      <c r="D596" s="21" t="s">
        <v>6086</v>
      </c>
      <c r="E596" s="4" t="s">
        <v>26</v>
      </c>
      <c r="F596" s="4" t="s">
        <v>56</v>
      </c>
      <c r="G596" s="4" t="s">
        <v>57</v>
      </c>
      <c r="H596" s="4" t="s">
        <v>39</v>
      </c>
      <c r="I596" s="5">
        <v>45464</v>
      </c>
      <c r="J596" s="4" t="s">
        <v>30</v>
      </c>
      <c r="K596" s="5">
        <v>45514</v>
      </c>
      <c r="L596" s="4" t="s">
        <v>59</v>
      </c>
      <c r="M596" s="6">
        <v>50489</v>
      </c>
      <c r="N596" s="6">
        <v>8230</v>
      </c>
      <c r="O596" s="4">
        <v>24</v>
      </c>
      <c r="P596" s="5">
        <v>45538</v>
      </c>
      <c r="Q596" s="4" t="s">
        <v>33</v>
      </c>
      <c r="R596" s="4" t="s">
        <v>33</v>
      </c>
      <c r="S596" s="4" t="s">
        <v>60</v>
      </c>
      <c r="T596" s="7">
        <v>6.1348000000000003</v>
      </c>
      <c r="U596" s="8">
        <v>50</v>
      </c>
      <c r="V596" s="8">
        <v>2024</v>
      </c>
      <c r="W596" s="4" t="s">
        <v>114</v>
      </c>
    </row>
    <row r="597" spans="1:23" s="9" customFormat="1" ht="15.75" hidden="1" customHeight="1" x14ac:dyDescent="0.25">
      <c r="A597" s="10" t="s">
        <v>1849</v>
      </c>
      <c r="B597" s="10" t="s">
        <v>1850</v>
      </c>
      <c r="C597" s="10" t="s">
        <v>1851</v>
      </c>
      <c r="D597" s="22" t="s">
        <v>6090</v>
      </c>
      <c r="E597" s="10" t="s">
        <v>87</v>
      </c>
      <c r="F597" s="10" t="s">
        <v>65</v>
      </c>
      <c r="G597" s="10" t="s">
        <v>57</v>
      </c>
      <c r="H597" s="10" t="s">
        <v>118</v>
      </c>
      <c r="I597" s="11">
        <v>45178</v>
      </c>
      <c r="J597" s="10" t="s">
        <v>30</v>
      </c>
      <c r="K597" s="11">
        <v>45314</v>
      </c>
      <c r="L597" s="10" t="s">
        <v>31</v>
      </c>
      <c r="M597" s="12">
        <v>41302</v>
      </c>
      <c r="N597" s="12">
        <v>2414</v>
      </c>
      <c r="O597" s="10" t="s">
        <v>32</v>
      </c>
      <c r="P597" s="10" t="s">
        <v>32</v>
      </c>
      <c r="Q597" s="10" t="s">
        <v>94</v>
      </c>
      <c r="R597" s="10" t="s">
        <v>33</v>
      </c>
      <c r="S597" s="10" t="s">
        <v>60</v>
      </c>
      <c r="T597" s="13">
        <v>17.109400000000001</v>
      </c>
      <c r="U597" s="14">
        <v>136</v>
      </c>
      <c r="V597" s="14">
        <v>2024</v>
      </c>
      <c r="W597" s="10" t="s">
        <v>73</v>
      </c>
    </row>
    <row r="598" spans="1:23" s="9" customFormat="1" ht="15.75" hidden="1" customHeight="1" x14ac:dyDescent="0.25">
      <c r="A598" s="4" t="s">
        <v>1852</v>
      </c>
      <c r="B598" s="4" t="s">
        <v>1853</v>
      </c>
      <c r="C598" s="4" t="s">
        <v>1854</v>
      </c>
      <c r="D598" s="21" t="s">
        <v>6088</v>
      </c>
      <c r="E598" s="4" t="s">
        <v>87</v>
      </c>
      <c r="F598" s="4" t="s">
        <v>46</v>
      </c>
      <c r="G598" s="4" t="s">
        <v>57</v>
      </c>
      <c r="H598" s="4" t="s">
        <v>29</v>
      </c>
      <c r="I598" s="5">
        <v>45110</v>
      </c>
      <c r="J598" s="4" t="s">
        <v>40</v>
      </c>
      <c r="K598" s="5">
        <v>45369</v>
      </c>
      <c r="L598" s="4" t="s">
        <v>59</v>
      </c>
      <c r="M598" s="6">
        <v>78149</v>
      </c>
      <c r="N598" s="6">
        <v>6105</v>
      </c>
      <c r="O598" s="4">
        <v>17</v>
      </c>
      <c r="P598" s="5">
        <v>45386</v>
      </c>
      <c r="Q598" s="4" t="s">
        <v>33</v>
      </c>
      <c r="R598" s="4" t="s">
        <v>33</v>
      </c>
      <c r="S598" s="4" t="s">
        <v>60</v>
      </c>
      <c r="T598" s="7">
        <v>12.800800000000001</v>
      </c>
      <c r="U598" s="8">
        <v>259</v>
      </c>
      <c r="V598" s="8">
        <v>2024</v>
      </c>
      <c r="W598" s="4" t="s">
        <v>77</v>
      </c>
    </row>
    <row r="599" spans="1:23" s="9" customFormat="1" ht="15.75" hidden="1" customHeight="1" x14ac:dyDescent="0.25">
      <c r="A599" s="10" t="s">
        <v>1855</v>
      </c>
      <c r="B599" s="10" t="s">
        <v>1856</v>
      </c>
      <c r="C599" s="10" t="s">
        <v>1857</v>
      </c>
      <c r="D599" s="21" t="s">
        <v>6086</v>
      </c>
      <c r="E599" s="10" t="s">
        <v>26</v>
      </c>
      <c r="F599" s="10" t="s">
        <v>27</v>
      </c>
      <c r="G599" s="10" t="s">
        <v>57</v>
      </c>
      <c r="H599" s="10" t="s">
        <v>29</v>
      </c>
      <c r="I599" s="11">
        <v>45190</v>
      </c>
      <c r="J599" s="10" t="s">
        <v>40</v>
      </c>
      <c r="K599" s="11">
        <v>45294</v>
      </c>
      <c r="L599" s="10" t="s">
        <v>59</v>
      </c>
      <c r="M599" s="12">
        <v>93538</v>
      </c>
      <c r="N599" s="12">
        <v>6357</v>
      </c>
      <c r="O599" s="10">
        <v>13</v>
      </c>
      <c r="P599" s="11">
        <v>45307</v>
      </c>
      <c r="Q599" s="10" t="s">
        <v>33</v>
      </c>
      <c r="R599" s="10" t="s">
        <v>33</v>
      </c>
      <c r="S599" s="10" t="s">
        <v>41</v>
      </c>
      <c r="T599" s="13">
        <v>14.7142</v>
      </c>
      <c r="U599" s="14">
        <v>104</v>
      </c>
      <c r="V599" s="14">
        <v>2024</v>
      </c>
      <c r="W599" s="10" t="s">
        <v>73</v>
      </c>
    </row>
    <row r="600" spans="1:23" s="9" customFormat="1" ht="15.75" hidden="1" customHeight="1" x14ac:dyDescent="0.25">
      <c r="A600" s="4" t="s">
        <v>1858</v>
      </c>
      <c r="B600" s="4" t="s">
        <v>1859</v>
      </c>
      <c r="C600" s="4" t="s">
        <v>1860</v>
      </c>
      <c r="D600" s="22" t="s">
        <v>6087</v>
      </c>
      <c r="E600" s="4" t="s">
        <v>26</v>
      </c>
      <c r="F600" s="4" t="s">
        <v>56</v>
      </c>
      <c r="G600" s="4" t="s">
        <v>28</v>
      </c>
      <c r="H600" s="4" t="s">
        <v>88</v>
      </c>
      <c r="I600" s="5">
        <v>45503</v>
      </c>
      <c r="J600" s="4" t="s">
        <v>40</v>
      </c>
      <c r="K600" s="5">
        <v>45598</v>
      </c>
      <c r="L600" s="4" t="s">
        <v>59</v>
      </c>
      <c r="M600" s="6">
        <v>5012</v>
      </c>
      <c r="N600" s="6">
        <v>5250</v>
      </c>
      <c r="O600" s="4">
        <v>9</v>
      </c>
      <c r="P600" s="5">
        <v>45607</v>
      </c>
      <c r="Q600" s="4" t="s">
        <v>33</v>
      </c>
      <c r="R600" s="4" t="s">
        <v>33</v>
      </c>
      <c r="S600" s="4" t="s">
        <v>60</v>
      </c>
      <c r="T600" s="7">
        <v>0.95469999999999999</v>
      </c>
      <c r="U600" s="8">
        <v>95</v>
      </c>
      <c r="V600" s="8">
        <v>2024</v>
      </c>
      <c r="W600" s="4" t="s">
        <v>61</v>
      </c>
    </row>
    <row r="601" spans="1:23" s="9" customFormat="1" ht="15.75" hidden="1" customHeight="1" x14ac:dyDescent="0.25">
      <c r="A601" s="10" t="s">
        <v>1861</v>
      </c>
      <c r="B601" s="10" t="s">
        <v>1862</v>
      </c>
      <c r="C601" s="10" t="s">
        <v>1863</v>
      </c>
      <c r="D601" s="22" t="s">
        <v>6090</v>
      </c>
      <c r="E601" s="10" t="s">
        <v>87</v>
      </c>
      <c r="F601" s="10" t="s">
        <v>46</v>
      </c>
      <c r="G601" s="10" t="s">
        <v>28</v>
      </c>
      <c r="H601" s="10" t="s">
        <v>58</v>
      </c>
      <c r="I601" s="11">
        <v>45348</v>
      </c>
      <c r="J601" s="10" t="s">
        <v>30</v>
      </c>
      <c r="K601" s="11">
        <v>45513</v>
      </c>
      <c r="L601" s="10" t="s">
        <v>59</v>
      </c>
      <c r="M601" s="12">
        <v>17678</v>
      </c>
      <c r="N601" s="12">
        <v>4750</v>
      </c>
      <c r="O601" s="10">
        <v>43</v>
      </c>
      <c r="P601" s="11">
        <v>45556</v>
      </c>
      <c r="Q601" s="10" t="s">
        <v>33</v>
      </c>
      <c r="R601" s="10" t="s">
        <v>33</v>
      </c>
      <c r="S601" s="10" t="s">
        <v>60</v>
      </c>
      <c r="T601" s="13">
        <v>3.7216999999999998</v>
      </c>
      <c r="U601" s="14">
        <v>165</v>
      </c>
      <c r="V601" s="14">
        <v>2024</v>
      </c>
      <c r="W601" s="10" t="s">
        <v>114</v>
      </c>
    </row>
    <row r="602" spans="1:23" s="9" customFormat="1" ht="15.75" hidden="1" customHeight="1" x14ac:dyDescent="0.25">
      <c r="A602" s="4" t="s">
        <v>1864</v>
      </c>
      <c r="B602" s="4" t="s">
        <v>1865</v>
      </c>
      <c r="C602" s="4" t="s">
        <v>1866</v>
      </c>
      <c r="D602" s="21" t="s">
        <v>6089</v>
      </c>
      <c r="E602" s="4" t="s">
        <v>26</v>
      </c>
      <c r="F602" s="4" t="s">
        <v>71</v>
      </c>
      <c r="G602" s="4" t="s">
        <v>5</v>
      </c>
      <c r="H602" s="4" t="s">
        <v>161</v>
      </c>
      <c r="I602" s="5">
        <v>45497</v>
      </c>
      <c r="J602" s="4" t="s">
        <v>40</v>
      </c>
      <c r="K602" s="5">
        <v>45542</v>
      </c>
      <c r="L602" s="4" t="s">
        <v>31</v>
      </c>
      <c r="M602" s="6">
        <v>56093</v>
      </c>
      <c r="N602" s="6">
        <v>3235</v>
      </c>
      <c r="O602" s="4" t="s">
        <v>32</v>
      </c>
      <c r="P602" s="4" t="s">
        <v>32</v>
      </c>
      <c r="Q602" s="4" t="s">
        <v>33</v>
      </c>
      <c r="R602" s="4" t="s">
        <v>33</v>
      </c>
      <c r="S602" s="4" t="s">
        <v>41</v>
      </c>
      <c r="T602" s="7">
        <v>17.339400000000001</v>
      </c>
      <c r="U602" s="8">
        <v>45</v>
      </c>
      <c r="V602" s="8">
        <v>2024</v>
      </c>
      <c r="W602" s="4" t="s">
        <v>168</v>
      </c>
    </row>
    <row r="603" spans="1:23" s="9" customFormat="1" ht="15.75" hidden="1" customHeight="1" x14ac:dyDescent="0.25">
      <c r="A603" s="10" t="s">
        <v>1867</v>
      </c>
      <c r="B603" s="10" t="s">
        <v>1868</v>
      </c>
      <c r="C603" s="10" t="s">
        <v>1869</v>
      </c>
      <c r="D603" s="22" t="s">
        <v>6087</v>
      </c>
      <c r="E603" s="10" t="s">
        <v>51</v>
      </c>
      <c r="F603" s="10" t="s">
        <v>27</v>
      </c>
      <c r="G603" s="10" t="s">
        <v>5</v>
      </c>
      <c r="H603" s="10" t="s">
        <v>72</v>
      </c>
      <c r="I603" s="11">
        <v>45366</v>
      </c>
      <c r="J603" s="10" t="s">
        <v>40</v>
      </c>
      <c r="K603" s="11">
        <v>45573</v>
      </c>
      <c r="L603" s="10" t="s">
        <v>59</v>
      </c>
      <c r="M603" s="12">
        <v>4354</v>
      </c>
      <c r="N603" s="12">
        <v>4264</v>
      </c>
      <c r="O603" s="10">
        <v>22</v>
      </c>
      <c r="P603" s="11">
        <v>45595</v>
      </c>
      <c r="Q603" s="10" t="s">
        <v>33</v>
      </c>
      <c r="R603" s="10" t="s">
        <v>33</v>
      </c>
      <c r="S603" s="10" t="s">
        <v>41</v>
      </c>
      <c r="T603" s="13">
        <v>1.0210999999999999</v>
      </c>
      <c r="U603" s="14">
        <v>207</v>
      </c>
      <c r="V603" s="14">
        <v>2024</v>
      </c>
      <c r="W603" s="10" t="s">
        <v>95</v>
      </c>
    </row>
    <row r="604" spans="1:23" s="9" customFormat="1" ht="15.75" hidden="1" customHeight="1" x14ac:dyDescent="0.25">
      <c r="A604" s="4" t="s">
        <v>1870</v>
      </c>
      <c r="B604" s="4" t="s">
        <v>1871</v>
      </c>
      <c r="C604" s="4" t="s">
        <v>1872</v>
      </c>
      <c r="D604" s="21" t="s">
        <v>6091</v>
      </c>
      <c r="E604" s="4" t="s">
        <v>87</v>
      </c>
      <c r="F604" s="4" t="s">
        <v>65</v>
      </c>
      <c r="G604" s="4" t="s">
        <v>28</v>
      </c>
      <c r="H604" s="4" t="s">
        <v>118</v>
      </c>
      <c r="I604" s="5">
        <v>45464</v>
      </c>
      <c r="J604" s="4" t="s">
        <v>30</v>
      </c>
      <c r="K604" s="5">
        <v>45599</v>
      </c>
      <c r="L604" s="4" t="s">
        <v>31</v>
      </c>
      <c r="M604" s="6">
        <v>13681</v>
      </c>
      <c r="N604" s="6">
        <v>6957</v>
      </c>
      <c r="O604" s="4" t="s">
        <v>32</v>
      </c>
      <c r="P604" s="4" t="s">
        <v>32</v>
      </c>
      <c r="Q604" s="4" t="s">
        <v>33</v>
      </c>
      <c r="R604" s="4" t="s">
        <v>33</v>
      </c>
      <c r="S604" s="4" t="s">
        <v>60</v>
      </c>
      <c r="T604" s="7">
        <v>1.9664999999999999</v>
      </c>
      <c r="U604" s="8">
        <v>135</v>
      </c>
      <c r="V604" s="8">
        <v>2024</v>
      </c>
      <c r="W604" s="4" t="s">
        <v>61</v>
      </c>
    </row>
    <row r="605" spans="1:23" s="9" customFormat="1" ht="15.75" hidden="1" customHeight="1" x14ac:dyDescent="0.25">
      <c r="A605" s="10" t="s">
        <v>1873</v>
      </c>
      <c r="B605" s="10" t="s">
        <v>1874</v>
      </c>
      <c r="C605" s="10" t="s">
        <v>1875</v>
      </c>
      <c r="D605" s="21" t="s">
        <v>6091</v>
      </c>
      <c r="E605" s="10" t="s">
        <v>87</v>
      </c>
      <c r="F605" s="10" t="s">
        <v>71</v>
      </c>
      <c r="G605" s="10" t="s">
        <v>57</v>
      </c>
      <c r="H605" s="10" t="s">
        <v>29</v>
      </c>
      <c r="I605" s="11">
        <v>45073</v>
      </c>
      <c r="J605" s="10" t="s">
        <v>30</v>
      </c>
      <c r="K605" s="11">
        <v>45390</v>
      </c>
      <c r="L605" s="10" t="s">
        <v>59</v>
      </c>
      <c r="M605" s="12">
        <v>18390</v>
      </c>
      <c r="N605" s="12">
        <v>4212</v>
      </c>
      <c r="O605" s="10">
        <v>28</v>
      </c>
      <c r="P605" s="11">
        <v>45418</v>
      </c>
      <c r="Q605" s="10" t="s">
        <v>33</v>
      </c>
      <c r="R605" s="10" t="s">
        <v>33</v>
      </c>
      <c r="S605" s="10" t="s">
        <v>41</v>
      </c>
      <c r="T605" s="13">
        <v>4.3661000000000003</v>
      </c>
      <c r="U605" s="14">
        <v>317</v>
      </c>
      <c r="V605" s="14">
        <v>2024</v>
      </c>
      <c r="W605" s="10" t="s">
        <v>47</v>
      </c>
    </row>
    <row r="606" spans="1:23" s="9" customFormat="1" ht="15.75" hidden="1" customHeight="1" x14ac:dyDescent="0.25">
      <c r="A606" s="4" t="s">
        <v>1876</v>
      </c>
      <c r="B606" s="4" t="s">
        <v>1877</v>
      </c>
      <c r="C606" s="4" t="s">
        <v>1878</v>
      </c>
      <c r="D606" s="21" t="s">
        <v>6091</v>
      </c>
      <c r="E606" s="4" t="s">
        <v>51</v>
      </c>
      <c r="F606" s="4" t="s">
        <v>46</v>
      </c>
      <c r="G606" s="4" t="s">
        <v>5</v>
      </c>
      <c r="H606" s="4" t="s">
        <v>161</v>
      </c>
      <c r="I606" s="5">
        <v>45527</v>
      </c>
      <c r="J606" s="4" t="s">
        <v>30</v>
      </c>
      <c r="K606" s="5">
        <v>45563</v>
      </c>
      <c r="L606" s="4" t="s">
        <v>31</v>
      </c>
      <c r="M606" s="6">
        <v>8302</v>
      </c>
      <c r="N606" s="6">
        <v>1109</v>
      </c>
      <c r="O606" s="4" t="s">
        <v>32</v>
      </c>
      <c r="P606" s="4" t="s">
        <v>32</v>
      </c>
      <c r="Q606" s="4" t="s">
        <v>33</v>
      </c>
      <c r="R606" s="4" t="s">
        <v>33</v>
      </c>
      <c r="S606" s="4" t="s">
        <v>60</v>
      </c>
      <c r="T606" s="7">
        <v>7.4859999999999998</v>
      </c>
      <c r="U606" s="8">
        <v>36</v>
      </c>
      <c r="V606" s="8">
        <v>2024</v>
      </c>
      <c r="W606" s="4" t="s">
        <v>168</v>
      </c>
    </row>
    <row r="607" spans="1:23" s="9" customFormat="1" ht="15.75" hidden="1" customHeight="1" x14ac:dyDescent="0.25">
      <c r="A607" s="10" t="s">
        <v>1879</v>
      </c>
      <c r="B607" s="10" t="s">
        <v>1880</v>
      </c>
      <c r="C607" s="10" t="s">
        <v>1881</v>
      </c>
      <c r="D607" s="22" t="s">
        <v>6090</v>
      </c>
      <c r="E607" s="10" t="s">
        <v>51</v>
      </c>
      <c r="F607" s="10" t="s">
        <v>56</v>
      </c>
      <c r="G607" s="10" t="s">
        <v>57</v>
      </c>
      <c r="H607" s="10" t="s">
        <v>93</v>
      </c>
      <c r="I607" s="11">
        <v>44953</v>
      </c>
      <c r="J607" s="10" t="s">
        <v>40</v>
      </c>
      <c r="K607" s="11">
        <v>45305</v>
      </c>
      <c r="L607" s="10" t="s">
        <v>59</v>
      </c>
      <c r="M607" s="12">
        <v>19535</v>
      </c>
      <c r="N607" s="12">
        <v>5001</v>
      </c>
      <c r="O607" s="10">
        <v>22</v>
      </c>
      <c r="P607" s="11">
        <v>45327</v>
      </c>
      <c r="Q607" s="10" t="s">
        <v>33</v>
      </c>
      <c r="R607" s="10" t="s">
        <v>33</v>
      </c>
      <c r="S607" s="10" t="s">
        <v>60</v>
      </c>
      <c r="T607" s="13">
        <v>3.9062000000000001</v>
      </c>
      <c r="U607" s="14">
        <v>352</v>
      </c>
      <c r="V607" s="14">
        <v>2024</v>
      </c>
      <c r="W607" s="10" t="s">
        <v>73</v>
      </c>
    </row>
    <row r="608" spans="1:23" s="9" customFormat="1" ht="15.75" hidden="1" customHeight="1" x14ac:dyDescent="0.25">
      <c r="A608" s="4" t="s">
        <v>1882</v>
      </c>
      <c r="B608" s="4" t="s">
        <v>1883</v>
      </c>
      <c r="C608" s="4" t="s">
        <v>1884</v>
      </c>
      <c r="D608" s="21" t="s">
        <v>6091</v>
      </c>
      <c r="E608" s="4" t="s">
        <v>26</v>
      </c>
      <c r="F608" s="4" t="s">
        <v>46</v>
      </c>
      <c r="G608" s="4" t="s">
        <v>28</v>
      </c>
      <c r="H608" s="4" t="s">
        <v>58</v>
      </c>
      <c r="I608" s="5">
        <v>45184</v>
      </c>
      <c r="J608" s="4" t="s">
        <v>40</v>
      </c>
      <c r="K608" s="5">
        <v>45501</v>
      </c>
      <c r="L608" s="4" t="s">
        <v>59</v>
      </c>
      <c r="M608" s="6">
        <v>14031</v>
      </c>
      <c r="N608" s="6">
        <v>7946</v>
      </c>
      <c r="O608" s="4">
        <v>4</v>
      </c>
      <c r="P608" s="5">
        <v>45505</v>
      </c>
      <c r="Q608" s="4" t="s">
        <v>33</v>
      </c>
      <c r="R608" s="4" t="s">
        <v>33</v>
      </c>
      <c r="S608" s="4" t="s">
        <v>60</v>
      </c>
      <c r="T608" s="7">
        <v>1.7658</v>
      </c>
      <c r="U608" s="8">
        <v>317</v>
      </c>
      <c r="V608" s="8">
        <v>2024</v>
      </c>
      <c r="W608" s="4" t="s">
        <v>42</v>
      </c>
    </row>
    <row r="609" spans="1:23" s="9" customFormat="1" ht="15.75" hidden="1" customHeight="1" x14ac:dyDescent="0.25">
      <c r="A609" s="10" t="s">
        <v>1885</v>
      </c>
      <c r="B609" s="10" t="s">
        <v>1886</v>
      </c>
      <c r="C609" s="10" t="s">
        <v>1887</v>
      </c>
      <c r="D609" s="21" t="s">
        <v>6086</v>
      </c>
      <c r="E609" s="10" t="s">
        <v>26</v>
      </c>
      <c r="F609" s="10" t="s">
        <v>71</v>
      </c>
      <c r="G609" s="10" t="s">
        <v>28</v>
      </c>
      <c r="H609" s="10" t="s">
        <v>93</v>
      </c>
      <c r="I609" s="11">
        <v>45266</v>
      </c>
      <c r="J609" s="10" t="s">
        <v>30</v>
      </c>
      <c r="K609" s="11">
        <v>45554</v>
      </c>
      <c r="L609" s="10" t="s">
        <v>59</v>
      </c>
      <c r="M609" s="12">
        <v>50200</v>
      </c>
      <c r="N609" s="12">
        <v>4786</v>
      </c>
      <c r="O609" s="10">
        <v>29</v>
      </c>
      <c r="P609" s="11">
        <v>45583</v>
      </c>
      <c r="Q609" s="10" t="s">
        <v>33</v>
      </c>
      <c r="R609" s="10" t="s">
        <v>33</v>
      </c>
      <c r="S609" s="10" t="s">
        <v>34</v>
      </c>
      <c r="T609" s="13">
        <v>10.488899999999999</v>
      </c>
      <c r="U609" s="14">
        <v>288</v>
      </c>
      <c r="V609" s="14">
        <v>2024</v>
      </c>
      <c r="W609" s="10" t="s">
        <v>168</v>
      </c>
    </row>
    <row r="610" spans="1:23" s="9" customFormat="1" ht="15.75" hidden="1" customHeight="1" x14ac:dyDescent="0.25">
      <c r="A610" s="4" t="s">
        <v>1888</v>
      </c>
      <c r="B610" s="4" t="s">
        <v>1889</v>
      </c>
      <c r="C610" s="4" t="s">
        <v>1890</v>
      </c>
      <c r="D610" s="22" t="s">
        <v>6090</v>
      </c>
      <c r="E610" s="4" t="s">
        <v>26</v>
      </c>
      <c r="F610" s="4" t="s">
        <v>46</v>
      </c>
      <c r="G610" s="4" t="s">
        <v>28</v>
      </c>
      <c r="H610" s="4" t="s">
        <v>88</v>
      </c>
      <c r="I610" s="5">
        <v>45160</v>
      </c>
      <c r="J610" s="4" t="s">
        <v>30</v>
      </c>
      <c r="K610" s="5">
        <v>45465</v>
      </c>
      <c r="L610" s="4" t="s">
        <v>59</v>
      </c>
      <c r="M610" s="6">
        <v>28668</v>
      </c>
      <c r="N610" s="6">
        <v>1434</v>
      </c>
      <c r="O610" s="4">
        <v>34</v>
      </c>
      <c r="P610" s="5">
        <v>45499</v>
      </c>
      <c r="Q610" s="4" t="s">
        <v>33</v>
      </c>
      <c r="R610" s="4" t="s">
        <v>33</v>
      </c>
      <c r="S610" s="4" t="s">
        <v>34</v>
      </c>
      <c r="T610" s="7">
        <v>19.991599999999998</v>
      </c>
      <c r="U610" s="8">
        <v>305</v>
      </c>
      <c r="V610" s="8">
        <v>2024</v>
      </c>
      <c r="W610" s="4" t="s">
        <v>67</v>
      </c>
    </row>
    <row r="611" spans="1:23" s="9" customFormat="1" ht="15.75" hidden="1" customHeight="1" x14ac:dyDescent="0.25">
      <c r="A611" s="10" t="s">
        <v>1891</v>
      </c>
      <c r="B611" s="10" t="s">
        <v>1892</v>
      </c>
      <c r="C611" s="10" t="s">
        <v>1893</v>
      </c>
      <c r="D611" s="21" t="s">
        <v>6088</v>
      </c>
      <c r="E611" s="10" t="s">
        <v>26</v>
      </c>
      <c r="F611" s="10" t="s">
        <v>56</v>
      </c>
      <c r="G611" s="10" t="s">
        <v>28</v>
      </c>
      <c r="H611" s="10" t="s">
        <v>29</v>
      </c>
      <c r="I611" s="11">
        <v>45355</v>
      </c>
      <c r="J611" s="10" t="s">
        <v>40</v>
      </c>
      <c r="K611" s="11">
        <v>45611</v>
      </c>
      <c r="L611" s="10" t="s">
        <v>31</v>
      </c>
      <c r="M611" s="12">
        <v>45193</v>
      </c>
      <c r="N611" s="12">
        <v>4764</v>
      </c>
      <c r="O611" s="10" t="s">
        <v>32</v>
      </c>
      <c r="P611" s="10" t="s">
        <v>32</v>
      </c>
      <c r="Q611" s="10" t="s">
        <v>33</v>
      </c>
      <c r="R611" s="10" t="s">
        <v>33</v>
      </c>
      <c r="S611" s="10" t="s">
        <v>34</v>
      </c>
      <c r="T611" s="13">
        <v>9.4863999999999997</v>
      </c>
      <c r="U611" s="14">
        <v>256</v>
      </c>
      <c r="V611" s="14">
        <v>2024</v>
      </c>
      <c r="W611" s="10" t="s">
        <v>61</v>
      </c>
    </row>
    <row r="612" spans="1:23" s="9" customFormat="1" ht="15.75" hidden="1" customHeight="1" x14ac:dyDescent="0.25">
      <c r="A612" s="4" t="s">
        <v>1894</v>
      </c>
      <c r="B612" s="4" t="s">
        <v>1895</v>
      </c>
      <c r="C612" s="4" t="s">
        <v>1896</v>
      </c>
      <c r="D612" s="21" t="s">
        <v>6089</v>
      </c>
      <c r="E612" s="4" t="s">
        <v>26</v>
      </c>
      <c r="F612" s="4" t="s">
        <v>46</v>
      </c>
      <c r="G612" s="4" t="s">
        <v>5</v>
      </c>
      <c r="H612" s="4" t="s">
        <v>161</v>
      </c>
      <c r="I612" s="5">
        <v>45098</v>
      </c>
      <c r="J612" s="4" t="s">
        <v>30</v>
      </c>
      <c r="K612" s="5">
        <v>45342</v>
      </c>
      <c r="L612" s="4" t="s">
        <v>59</v>
      </c>
      <c r="M612" s="6">
        <v>54593</v>
      </c>
      <c r="N612" s="6">
        <v>3370</v>
      </c>
      <c r="O612" s="4">
        <v>24</v>
      </c>
      <c r="P612" s="5">
        <v>45366</v>
      </c>
      <c r="Q612" s="4" t="s">
        <v>33</v>
      </c>
      <c r="R612" s="4" t="s">
        <v>33</v>
      </c>
      <c r="S612" s="4" t="s">
        <v>60</v>
      </c>
      <c r="T612" s="7">
        <v>16.1997</v>
      </c>
      <c r="U612" s="8">
        <v>244</v>
      </c>
      <c r="V612" s="8">
        <v>2024</v>
      </c>
      <c r="W612" s="4" t="s">
        <v>35</v>
      </c>
    </row>
    <row r="613" spans="1:23" s="9" customFormat="1" ht="15.75" hidden="1" customHeight="1" x14ac:dyDescent="0.25">
      <c r="A613" s="10" t="s">
        <v>1897</v>
      </c>
      <c r="B613" s="10" t="s">
        <v>1898</v>
      </c>
      <c r="C613" s="10" t="s">
        <v>1899</v>
      </c>
      <c r="D613" s="21" t="s">
        <v>6086</v>
      </c>
      <c r="E613" s="10" t="s">
        <v>26</v>
      </c>
      <c r="F613" s="10" t="s">
        <v>71</v>
      </c>
      <c r="G613" s="10" t="s">
        <v>57</v>
      </c>
      <c r="H613" s="10" t="s">
        <v>118</v>
      </c>
      <c r="I613" s="11">
        <v>45091</v>
      </c>
      <c r="J613" s="10" t="s">
        <v>30</v>
      </c>
      <c r="K613" s="11">
        <v>45295</v>
      </c>
      <c r="L613" s="10" t="s">
        <v>59</v>
      </c>
      <c r="M613" s="12">
        <v>71555</v>
      </c>
      <c r="N613" s="12">
        <v>4632</v>
      </c>
      <c r="O613" s="10">
        <v>21</v>
      </c>
      <c r="P613" s="11">
        <v>45316</v>
      </c>
      <c r="Q613" s="10" t="s">
        <v>33</v>
      </c>
      <c r="R613" s="10" t="s">
        <v>33</v>
      </c>
      <c r="S613" s="10" t="s">
        <v>41</v>
      </c>
      <c r="T613" s="13">
        <v>15.448</v>
      </c>
      <c r="U613" s="14">
        <v>204</v>
      </c>
      <c r="V613" s="14">
        <v>2024</v>
      </c>
      <c r="W613" s="10" t="s">
        <v>73</v>
      </c>
    </row>
    <row r="614" spans="1:23" s="9" customFormat="1" ht="15.75" hidden="1" customHeight="1" x14ac:dyDescent="0.25">
      <c r="A614" s="4" t="s">
        <v>1900</v>
      </c>
      <c r="B614" s="4" t="s">
        <v>1901</v>
      </c>
      <c r="C614" s="4" t="s">
        <v>1902</v>
      </c>
      <c r="D614" s="22" t="s">
        <v>6090</v>
      </c>
      <c r="E614" s="4" t="s">
        <v>51</v>
      </c>
      <c r="F614" s="4" t="s">
        <v>27</v>
      </c>
      <c r="G614" s="4" t="s">
        <v>28</v>
      </c>
      <c r="H614" s="4" t="s">
        <v>58</v>
      </c>
      <c r="I614" s="5">
        <v>45285</v>
      </c>
      <c r="J614" s="4" t="s">
        <v>40</v>
      </c>
      <c r="K614" s="5">
        <v>45387</v>
      </c>
      <c r="L614" s="4" t="s">
        <v>31</v>
      </c>
      <c r="M614" s="6">
        <v>33161</v>
      </c>
      <c r="N614" s="6">
        <v>4351</v>
      </c>
      <c r="O614" s="4" t="s">
        <v>32</v>
      </c>
      <c r="P614" s="4" t="s">
        <v>32</v>
      </c>
      <c r="Q614" s="4" t="s">
        <v>33</v>
      </c>
      <c r="R614" s="4" t="s">
        <v>33</v>
      </c>
      <c r="S614" s="4" t="s">
        <v>34</v>
      </c>
      <c r="T614" s="7">
        <v>7.6215000000000002</v>
      </c>
      <c r="U614" s="8">
        <v>102</v>
      </c>
      <c r="V614" s="8">
        <v>2024</v>
      </c>
      <c r="W614" s="4" t="s">
        <v>47</v>
      </c>
    </row>
    <row r="615" spans="1:23" s="9" customFormat="1" ht="15.75" hidden="1" customHeight="1" x14ac:dyDescent="0.25">
      <c r="A615" s="10" t="s">
        <v>1903</v>
      </c>
      <c r="B615" s="10" t="s">
        <v>1904</v>
      </c>
      <c r="C615" s="10" t="s">
        <v>1905</v>
      </c>
      <c r="D615" s="22" t="s">
        <v>6087</v>
      </c>
      <c r="E615" s="10" t="s">
        <v>51</v>
      </c>
      <c r="F615" s="10" t="s">
        <v>56</v>
      </c>
      <c r="G615" s="10" t="s">
        <v>57</v>
      </c>
      <c r="H615" s="10" t="s">
        <v>88</v>
      </c>
      <c r="I615" s="11">
        <v>45180</v>
      </c>
      <c r="J615" s="10" t="s">
        <v>30</v>
      </c>
      <c r="K615" s="11">
        <v>45409</v>
      </c>
      <c r="L615" s="10" t="s">
        <v>59</v>
      </c>
      <c r="M615" s="12">
        <v>21808</v>
      </c>
      <c r="N615" s="12">
        <v>2100</v>
      </c>
      <c r="O615" s="10">
        <v>26</v>
      </c>
      <c r="P615" s="11">
        <v>45435</v>
      </c>
      <c r="Q615" s="10" t="s">
        <v>33</v>
      </c>
      <c r="R615" s="10" t="s">
        <v>33</v>
      </c>
      <c r="S615" s="10" t="s">
        <v>60</v>
      </c>
      <c r="T615" s="13">
        <v>10.3848</v>
      </c>
      <c r="U615" s="14">
        <v>229</v>
      </c>
      <c r="V615" s="14">
        <v>2024</v>
      </c>
      <c r="W615" s="10" t="s">
        <v>47</v>
      </c>
    </row>
    <row r="616" spans="1:23" s="9" customFormat="1" ht="15.75" hidden="1" customHeight="1" x14ac:dyDescent="0.25">
      <c r="A616" s="4" t="s">
        <v>1906</v>
      </c>
      <c r="B616" s="4" t="s">
        <v>1907</v>
      </c>
      <c r="C616" s="4" t="s">
        <v>1908</v>
      </c>
      <c r="D616" s="22" t="s">
        <v>6087</v>
      </c>
      <c r="E616" s="4" t="s">
        <v>26</v>
      </c>
      <c r="F616" s="21" t="s">
        <v>6092</v>
      </c>
      <c r="G616" s="4" t="s">
        <v>5</v>
      </c>
      <c r="H616" s="4" t="s">
        <v>29</v>
      </c>
      <c r="I616" s="5">
        <v>45314</v>
      </c>
      <c r="J616" s="4" t="s">
        <v>30</v>
      </c>
      <c r="K616" s="5">
        <v>45395</v>
      </c>
      <c r="L616" s="4" t="s">
        <v>59</v>
      </c>
      <c r="M616" s="6">
        <v>38454</v>
      </c>
      <c r="N616" s="6">
        <v>4773</v>
      </c>
      <c r="O616" s="4">
        <v>24</v>
      </c>
      <c r="P616" s="5">
        <v>45419</v>
      </c>
      <c r="Q616" s="4" t="s">
        <v>33</v>
      </c>
      <c r="R616" s="4" t="s">
        <v>33</v>
      </c>
      <c r="S616" s="4" t="s">
        <v>41</v>
      </c>
      <c r="T616" s="7">
        <v>8.0565999999999995</v>
      </c>
      <c r="U616" s="8">
        <v>81</v>
      </c>
      <c r="V616" s="8">
        <v>2024</v>
      </c>
      <c r="W616" s="4" t="s">
        <v>47</v>
      </c>
    </row>
    <row r="617" spans="1:23" s="9" customFormat="1" ht="15.75" hidden="1" customHeight="1" x14ac:dyDescent="0.25">
      <c r="A617" s="10" t="s">
        <v>1909</v>
      </c>
      <c r="B617" s="10" t="s">
        <v>1910</v>
      </c>
      <c r="C617" s="10" t="s">
        <v>1911</v>
      </c>
      <c r="D617" s="22" t="s">
        <v>6090</v>
      </c>
      <c r="E617" s="10" t="s">
        <v>51</v>
      </c>
      <c r="F617" s="10" t="s">
        <v>46</v>
      </c>
      <c r="G617" s="10" t="s">
        <v>5</v>
      </c>
      <c r="H617" s="10" t="s">
        <v>118</v>
      </c>
      <c r="I617" s="11">
        <v>45193</v>
      </c>
      <c r="J617" s="10" t="s">
        <v>30</v>
      </c>
      <c r="K617" s="11">
        <v>45331</v>
      </c>
      <c r="L617" s="10" t="s">
        <v>59</v>
      </c>
      <c r="M617" s="12">
        <v>27386</v>
      </c>
      <c r="N617" s="12">
        <v>4097</v>
      </c>
      <c r="O617" s="10">
        <v>19</v>
      </c>
      <c r="P617" s="11">
        <v>45350</v>
      </c>
      <c r="Q617" s="10" t="s">
        <v>33</v>
      </c>
      <c r="R617" s="10" t="s">
        <v>33</v>
      </c>
      <c r="S617" s="10" t="s">
        <v>34</v>
      </c>
      <c r="T617" s="13">
        <v>6.6844000000000001</v>
      </c>
      <c r="U617" s="14">
        <v>138</v>
      </c>
      <c r="V617" s="14">
        <v>2024</v>
      </c>
      <c r="W617" s="10" t="s">
        <v>35</v>
      </c>
    </row>
    <row r="618" spans="1:23" s="9" customFormat="1" ht="15.75" hidden="1" customHeight="1" x14ac:dyDescent="0.25">
      <c r="A618" s="4" t="s">
        <v>1912</v>
      </c>
      <c r="B618" s="4" t="s">
        <v>1913</v>
      </c>
      <c r="C618" s="4" t="s">
        <v>1914</v>
      </c>
      <c r="D618" s="22" t="s">
        <v>6087</v>
      </c>
      <c r="E618" s="4" t="s">
        <v>26</v>
      </c>
      <c r="F618" s="4" t="s">
        <v>65</v>
      </c>
      <c r="G618" s="4" t="s">
        <v>28</v>
      </c>
      <c r="H618" s="4" t="s">
        <v>118</v>
      </c>
      <c r="I618" s="5">
        <v>45314</v>
      </c>
      <c r="J618" s="4" t="s">
        <v>40</v>
      </c>
      <c r="K618" s="5">
        <v>45547</v>
      </c>
      <c r="L618" s="4" t="s">
        <v>59</v>
      </c>
      <c r="M618" s="6">
        <v>18045</v>
      </c>
      <c r="N618" s="6">
        <v>1584</v>
      </c>
      <c r="O618" s="4">
        <v>18</v>
      </c>
      <c r="P618" s="5">
        <v>45565</v>
      </c>
      <c r="Q618" s="4" t="s">
        <v>33</v>
      </c>
      <c r="R618" s="4" t="s">
        <v>33</v>
      </c>
      <c r="S618" s="4" t="s">
        <v>60</v>
      </c>
      <c r="T618" s="7">
        <v>11.391999999999999</v>
      </c>
      <c r="U618" s="8">
        <v>233</v>
      </c>
      <c r="V618" s="8">
        <v>2024</v>
      </c>
      <c r="W618" s="4" t="s">
        <v>168</v>
      </c>
    </row>
    <row r="619" spans="1:23" s="9" customFormat="1" ht="15.75" hidden="1" customHeight="1" x14ac:dyDescent="0.25">
      <c r="A619" s="10" t="s">
        <v>1915</v>
      </c>
      <c r="B619" s="10" t="s">
        <v>1916</v>
      </c>
      <c r="C619" s="10" t="s">
        <v>1917</v>
      </c>
      <c r="D619" s="22" t="s">
        <v>6087</v>
      </c>
      <c r="E619" s="10" t="s">
        <v>26</v>
      </c>
      <c r="F619" s="10" t="s">
        <v>65</v>
      </c>
      <c r="G619" s="10" t="s">
        <v>57</v>
      </c>
      <c r="H619" s="10" t="s">
        <v>93</v>
      </c>
      <c r="I619" s="11">
        <v>45516</v>
      </c>
      <c r="J619" s="10" t="s">
        <v>40</v>
      </c>
      <c r="K619" s="11">
        <v>45606</v>
      </c>
      <c r="L619" s="10" t="s">
        <v>31</v>
      </c>
      <c r="M619" s="12">
        <v>5003</v>
      </c>
      <c r="N619" s="12">
        <v>2232</v>
      </c>
      <c r="O619" s="10" t="s">
        <v>32</v>
      </c>
      <c r="P619" s="10" t="s">
        <v>32</v>
      </c>
      <c r="Q619" s="10" t="s">
        <v>33</v>
      </c>
      <c r="R619" s="10" t="s">
        <v>33</v>
      </c>
      <c r="S619" s="10" t="s">
        <v>60</v>
      </c>
      <c r="T619" s="13">
        <v>2.2414999999999998</v>
      </c>
      <c r="U619" s="14">
        <v>90</v>
      </c>
      <c r="V619" s="14">
        <v>2024</v>
      </c>
      <c r="W619" s="10" t="s">
        <v>61</v>
      </c>
    </row>
    <row r="620" spans="1:23" s="9" customFormat="1" ht="15.75" hidden="1" customHeight="1" x14ac:dyDescent="0.25">
      <c r="A620" s="4" t="s">
        <v>1918</v>
      </c>
      <c r="B620" s="4" t="s">
        <v>1919</v>
      </c>
      <c r="C620" s="4" t="s">
        <v>1920</v>
      </c>
      <c r="D620" s="22" t="s">
        <v>6090</v>
      </c>
      <c r="E620" s="4" t="s">
        <v>87</v>
      </c>
      <c r="F620" s="4" t="s">
        <v>65</v>
      </c>
      <c r="G620" s="4" t="s">
        <v>28</v>
      </c>
      <c r="H620" s="4" t="s">
        <v>93</v>
      </c>
      <c r="I620" s="5">
        <v>45264</v>
      </c>
      <c r="J620" s="4" t="s">
        <v>30</v>
      </c>
      <c r="K620" s="5">
        <v>45390</v>
      </c>
      <c r="L620" s="4" t="s">
        <v>59</v>
      </c>
      <c r="M620" s="6">
        <v>44825</v>
      </c>
      <c r="N620" s="6">
        <v>1430</v>
      </c>
      <c r="O620" s="4">
        <v>21</v>
      </c>
      <c r="P620" s="5">
        <v>45411</v>
      </c>
      <c r="Q620" s="4" t="s">
        <v>33</v>
      </c>
      <c r="R620" s="4" t="s">
        <v>33</v>
      </c>
      <c r="S620" s="4" t="s">
        <v>34</v>
      </c>
      <c r="T620" s="7">
        <v>31.3462</v>
      </c>
      <c r="U620" s="8">
        <v>126</v>
      </c>
      <c r="V620" s="8">
        <v>2024</v>
      </c>
      <c r="W620" s="4" t="s">
        <v>47</v>
      </c>
    </row>
    <row r="621" spans="1:23" s="9" customFormat="1" ht="15.75" hidden="1" customHeight="1" x14ac:dyDescent="0.25">
      <c r="A621" s="10" t="s">
        <v>1921</v>
      </c>
      <c r="B621" s="10" t="s">
        <v>1922</v>
      </c>
      <c r="C621" s="10" t="s">
        <v>1923</v>
      </c>
      <c r="D621" s="22" t="s">
        <v>6090</v>
      </c>
      <c r="E621" s="10" t="s">
        <v>51</v>
      </c>
      <c r="F621" s="10" t="s">
        <v>46</v>
      </c>
      <c r="G621" s="10" t="s">
        <v>5</v>
      </c>
      <c r="H621" s="10" t="s">
        <v>39</v>
      </c>
      <c r="I621" s="11">
        <v>45245</v>
      </c>
      <c r="J621" s="10" t="s">
        <v>30</v>
      </c>
      <c r="K621" s="11">
        <v>45501</v>
      </c>
      <c r="L621" s="10" t="s">
        <v>59</v>
      </c>
      <c r="M621" s="12">
        <v>33894</v>
      </c>
      <c r="N621" s="12">
        <v>6592</v>
      </c>
      <c r="O621" s="10">
        <v>5</v>
      </c>
      <c r="P621" s="11">
        <v>45506</v>
      </c>
      <c r="Q621" s="10" t="s">
        <v>33</v>
      </c>
      <c r="R621" s="10" t="s">
        <v>33</v>
      </c>
      <c r="S621" s="10" t="s">
        <v>41</v>
      </c>
      <c r="T621" s="13">
        <v>5.1417000000000002</v>
      </c>
      <c r="U621" s="14">
        <v>256</v>
      </c>
      <c r="V621" s="14">
        <v>2024</v>
      </c>
      <c r="W621" s="10" t="s">
        <v>42</v>
      </c>
    </row>
    <row r="622" spans="1:23" s="9" customFormat="1" ht="15.75" hidden="1" customHeight="1" x14ac:dyDescent="0.25">
      <c r="A622" s="4" t="s">
        <v>1924</v>
      </c>
      <c r="B622" s="4" t="s">
        <v>1925</v>
      </c>
      <c r="C622" s="4" t="s">
        <v>1926</v>
      </c>
      <c r="D622" s="22" t="s">
        <v>6087</v>
      </c>
      <c r="E622" s="4" t="s">
        <v>51</v>
      </c>
      <c r="F622" s="4" t="s">
        <v>71</v>
      </c>
      <c r="G622" s="4" t="s">
        <v>28</v>
      </c>
      <c r="H622" s="4" t="s">
        <v>118</v>
      </c>
      <c r="I622" s="5">
        <v>45555</v>
      </c>
      <c r="J622" s="4" t="s">
        <v>40</v>
      </c>
      <c r="K622" s="5">
        <v>45643</v>
      </c>
      <c r="L622" s="4" t="s">
        <v>59</v>
      </c>
      <c r="M622" s="6">
        <v>14252</v>
      </c>
      <c r="N622" s="6">
        <v>5575</v>
      </c>
      <c r="O622" s="4">
        <v>13</v>
      </c>
      <c r="P622" s="5">
        <v>45656</v>
      </c>
      <c r="Q622" s="4" t="s">
        <v>33</v>
      </c>
      <c r="R622" s="4" t="s">
        <v>33</v>
      </c>
      <c r="S622" s="4" t="s">
        <v>60</v>
      </c>
      <c r="T622" s="7">
        <v>2.5564</v>
      </c>
      <c r="U622" s="8">
        <v>88</v>
      </c>
      <c r="V622" s="8">
        <v>2024</v>
      </c>
      <c r="W622" s="4" t="s">
        <v>89</v>
      </c>
    </row>
    <row r="623" spans="1:23" s="9" customFormat="1" ht="15.75" hidden="1" customHeight="1" x14ac:dyDescent="0.25">
      <c r="A623" s="10" t="s">
        <v>1927</v>
      </c>
      <c r="B623" s="10" t="s">
        <v>1928</v>
      </c>
      <c r="C623" s="10" t="s">
        <v>1929</v>
      </c>
      <c r="D623" s="22" t="s">
        <v>6087</v>
      </c>
      <c r="E623" s="10" t="s">
        <v>87</v>
      </c>
      <c r="F623" s="10" t="s">
        <v>56</v>
      </c>
      <c r="G623" s="10" t="s">
        <v>5</v>
      </c>
      <c r="H623" s="10" t="s">
        <v>118</v>
      </c>
      <c r="I623" s="11">
        <v>45194</v>
      </c>
      <c r="J623" s="10" t="s">
        <v>30</v>
      </c>
      <c r="K623" s="11">
        <v>45447</v>
      </c>
      <c r="L623" s="10" t="s">
        <v>59</v>
      </c>
      <c r="M623" s="12">
        <v>10585</v>
      </c>
      <c r="N623" s="12">
        <v>6018</v>
      </c>
      <c r="O623" s="10">
        <v>3</v>
      </c>
      <c r="P623" s="11">
        <v>45450</v>
      </c>
      <c r="Q623" s="10" t="s">
        <v>94</v>
      </c>
      <c r="R623" s="10" t="s">
        <v>33</v>
      </c>
      <c r="S623" s="10" t="s">
        <v>60</v>
      </c>
      <c r="T623" s="13">
        <v>1.7588999999999999</v>
      </c>
      <c r="U623" s="14">
        <v>253</v>
      </c>
      <c r="V623" s="14">
        <v>2024</v>
      </c>
      <c r="W623" s="10" t="s">
        <v>67</v>
      </c>
    </row>
    <row r="624" spans="1:23" s="9" customFormat="1" ht="15.75" hidden="1" customHeight="1" x14ac:dyDescent="0.25">
      <c r="A624" s="4" t="s">
        <v>1930</v>
      </c>
      <c r="B624" s="4" t="s">
        <v>1931</v>
      </c>
      <c r="C624" s="4" t="s">
        <v>1932</v>
      </c>
      <c r="D624" s="21" t="s">
        <v>6091</v>
      </c>
      <c r="E624" s="4" t="s">
        <v>26</v>
      </c>
      <c r="F624" s="21" t="s">
        <v>6092</v>
      </c>
      <c r="G624" s="4" t="s">
        <v>5</v>
      </c>
      <c r="H624" s="4" t="s">
        <v>118</v>
      </c>
      <c r="I624" s="5">
        <v>45143</v>
      </c>
      <c r="J624" s="4" t="s">
        <v>30</v>
      </c>
      <c r="K624" s="5">
        <v>45429</v>
      </c>
      <c r="L624" s="4" t="s">
        <v>31</v>
      </c>
      <c r="M624" s="6">
        <v>16079</v>
      </c>
      <c r="N624" s="6">
        <v>1447</v>
      </c>
      <c r="O624" s="4" t="s">
        <v>32</v>
      </c>
      <c r="P624" s="4" t="s">
        <v>32</v>
      </c>
      <c r="Q624" s="4" t="s">
        <v>33</v>
      </c>
      <c r="R624" s="4" t="s">
        <v>33</v>
      </c>
      <c r="S624" s="4" t="s">
        <v>34</v>
      </c>
      <c r="T624" s="7">
        <v>11.112</v>
      </c>
      <c r="U624" s="8">
        <v>286</v>
      </c>
      <c r="V624" s="8">
        <v>2024</v>
      </c>
      <c r="W624" s="4" t="s">
        <v>52</v>
      </c>
    </row>
    <row r="625" spans="1:23" s="9" customFormat="1" ht="15.75" hidden="1" customHeight="1" x14ac:dyDescent="0.25">
      <c r="A625" s="10" t="s">
        <v>1933</v>
      </c>
      <c r="B625" s="10" t="s">
        <v>1934</v>
      </c>
      <c r="C625" s="10" t="s">
        <v>1935</v>
      </c>
      <c r="D625" s="21" t="s">
        <v>6091</v>
      </c>
      <c r="E625" s="10" t="s">
        <v>51</v>
      </c>
      <c r="F625" s="10" t="s">
        <v>56</v>
      </c>
      <c r="G625" s="10" t="s">
        <v>28</v>
      </c>
      <c r="H625" s="10" t="s">
        <v>58</v>
      </c>
      <c r="I625" s="11">
        <v>45177</v>
      </c>
      <c r="J625" s="10" t="s">
        <v>30</v>
      </c>
      <c r="K625" s="11">
        <v>45416</v>
      </c>
      <c r="L625" s="10" t="s">
        <v>59</v>
      </c>
      <c r="M625" s="12">
        <v>16936</v>
      </c>
      <c r="N625" s="12">
        <v>6609</v>
      </c>
      <c r="O625" s="10">
        <v>26</v>
      </c>
      <c r="P625" s="11">
        <v>45442</v>
      </c>
      <c r="Q625" s="10" t="s">
        <v>33</v>
      </c>
      <c r="R625" s="10" t="s">
        <v>33</v>
      </c>
      <c r="S625" s="10" t="s">
        <v>34</v>
      </c>
      <c r="T625" s="13">
        <v>2.5626000000000002</v>
      </c>
      <c r="U625" s="14">
        <v>239</v>
      </c>
      <c r="V625" s="14">
        <v>2024</v>
      </c>
      <c r="W625" s="10" t="s">
        <v>52</v>
      </c>
    </row>
    <row r="626" spans="1:23" s="9" customFormat="1" ht="15.75" hidden="1" customHeight="1" x14ac:dyDescent="0.25">
      <c r="A626" s="4" t="s">
        <v>1936</v>
      </c>
      <c r="B626" s="4" t="s">
        <v>1937</v>
      </c>
      <c r="C626" s="4" t="s">
        <v>1938</v>
      </c>
      <c r="D626" s="21" t="s">
        <v>6086</v>
      </c>
      <c r="E626" s="4" t="s">
        <v>87</v>
      </c>
      <c r="F626" s="21" t="s">
        <v>6092</v>
      </c>
      <c r="G626" s="4" t="s">
        <v>5</v>
      </c>
      <c r="H626" s="4" t="s">
        <v>88</v>
      </c>
      <c r="I626" s="5">
        <v>45523</v>
      </c>
      <c r="J626" s="4" t="s">
        <v>40</v>
      </c>
      <c r="K626" s="5">
        <v>45590</v>
      </c>
      <c r="L626" s="4" t="s">
        <v>59</v>
      </c>
      <c r="M626" s="6">
        <v>93658</v>
      </c>
      <c r="N626" s="6">
        <v>7176</v>
      </c>
      <c r="O626" s="4">
        <v>17</v>
      </c>
      <c r="P626" s="5">
        <v>45607</v>
      </c>
      <c r="Q626" s="4" t="s">
        <v>94</v>
      </c>
      <c r="R626" s="4" t="s">
        <v>33</v>
      </c>
      <c r="S626" s="4" t="s">
        <v>60</v>
      </c>
      <c r="T626" s="7">
        <v>13.051600000000001</v>
      </c>
      <c r="U626" s="8">
        <v>67</v>
      </c>
      <c r="V626" s="8">
        <v>2024</v>
      </c>
      <c r="W626" s="4" t="s">
        <v>95</v>
      </c>
    </row>
    <row r="627" spans="1:23" s="9" customFormat="1" ht="15.75" hidden="1" customHeight="1" x14ac:dyDescent="0.25">
      <c r="A627" s="10" t="s">
        <v>1939</v>
      </c>
      <c r="B627" s="10" t="s">
        <v>1940</v>
      </c>
      <c r="C627" s="10" t="s">
        <v>1941</v>
      </c>
      <c r="D627" s="22" t="s">
        <v>6090</v>
      </c>
      <c r="E627" s="10" t="s">
        <v>26</v>
      </c>
      <c r="F627" s="10" t="s">
        <v>46</v>
      </c>
      <c r="G627" s="10" t="s">
        <v>5</v>
      </c>
      <c r="H627" s="10" t="s">
        <v>72</v>
      </c>
      <c r="I627" s="11">
        <v>45403</v>
      </c>
      <c r="J627" s="10" t="s">
        <v>30</v>
      </c>
      <c r="K627" s="11">
        <v>45641</v>
      </c>
      <c r="L627" s="10" t="s">
        <v>59</v>
      </c>
      <c r="M627" s="12">
        <v>41247</v>
      </c>
      <c r="N627" s="12">
        <v>5074</v>
      </c>
      <c r="O627" s="10">
        <v>22</v>
      </c>
      <c r="P627" s="11">
        <v>45663</v>
      </c>
      <c r="Q627" s="10" t="s">
        <v>33</v>
      </c>
      <c r="R627" s="10" t="s">
        <v>33</v>
      </c>
      <c r="S627" s="10" t="s">
        <v>41</v>
      </c>
      <c r="T627" s="13">
        <v>8.1290999999999993</v>
      </c>
      <c r="U627" s="14">
        <v>238</v>
      </c>
      <c r="V627" s="14">
        <v>2024</v>
      </c>
      <c r="W627" s="10" t="s">
        <v>89</v>
      </c>
    </row>
    <row r="628" spans="1:23" s="9" customFormat="1" ht="15.75" hidden="1" customHeight="1" x14ac:dyDescent="0.25">
      <c r="A628" s="4" t="s">
        <v>1942</v>
      </c>
      <c r="B628" s="4" t="s">
        <v>1943</v>
      </c>
      <c r="C628" s="4" t="s">
        <v>1944</v>
      </c>
      <c r="D628" s="22" t="s">
        <v>6090</v>
      </c>
      <c r="E628" s="4" t="s">
        <v>87</v>
      </c>
      <c r="F628" s="4" t="s">
        <v>46</v>
      </c>
      <c r="G628" s="4" t="s">
        <v>28</v>
      </c>
      <c r="H628" s="4" t="s">
        <v>161</v>
      </c>
      <c r="I628" s="5">
        <v>45261</v>
      </c>
      <c r="J628" s="4" t="s">
        <v>30</v>
      </c>
      <c r="K628" s="5">
        <v>45437</v>
      </c>
      <c r="L628" s="4" t="s">
        <v>59</v>
      </c>
      <c r="M628" s="6">
        <v>46172</v>
      </c>
      <c r="N628" s="6">
        <v>1672</v>
      </c>
      <c r="O628" s="4">
        <v>13</v>
      </c>
      <c r="P628" s="5">
        <v>45450</v>
      </c>
      <c r="Q628" s="4" t="s">
        <v>33</v>
      </c>
      <c r="R628" s="4" t="s">
        <v>33</v>
      </c>
      <c r="S628" s="4" t="s">
        <v>34</v>
      </c>
      <c r="T628" s="7">
        <v>27.614799999999999</v>
      </c>
      <c r="U628" s="8">
        <v>176</v>
      </c>
      <c r="V628" s="8">
        <v>2024</v>
      </c>
      <c r="W628" s="4" t="s">
        <v>52</v>
      </c>
    </row>
    <row r="629" spans="1:23" s="9" customFormat="1" ht="15.75" hidden="1" customHeight="1" x14ac:dyDescent="0.25">
      <c r="A629" s="10" t="s">
        <v>1945</v>
      </c>
      <c r="B629" s="10" t="s">
        <v>1946</v>
      </c>
      <c r="C629" s="10" t="s">
        <v>1947</v>
      </c>
      <c r="D629" s="21" t="s">
        <v>6091</v>
      </c>
      <c r="E629" s="10" t="s">
        <v>26</v>
      </c>
      <c r="F629" s="10" t="s">
        <v>46</v>
      </c>
      <c r="G629" s="10" t="s">
        <v>28</v>
      </c>
      <c r="H629" s="10" t="s">
        <v>39</v>
      </c>
      <c r="I629" s="11">
        <v>45432</v>
      </c>
      <c r="J629" s="10" t="s">
        <v>30</v>
      </c>
      <c r="K629" s="11">
        <v>45657</v>
      </c>
      <c r="L629" s="10" t="s">
        <v>59</v>
      </c>
      <c r="M629" s="12">
        <v>16168</v>
      </c>
      <c r="N629" s="12">
        <v>8726</v>
      </c>
      <c r="O629" s="10">
        <v>11</v>
      </c>
      <c r="P629" s="11">
        <v>45668</v>
      </c>
      <c r="Q629" s="10" t="s">
        <v>33</v>
      </c>
      <c r="R629" s="10" t="s">
        <v>33</v>
      </c>
      <c r="S629" s="10" t="s">
        <v>60</v>
      </c>
      <c r="T629" s="13">
        <v>1.8529</v>
      </c>
      <c r="U629" s="14">
        <v>225</v>
      </c>
      <c r="V629" s="14">
        <v>2024</v>
      </c>
      <c r="W629" s="10" t="s">
        <v>89</v>
      </c>
    </row>
    <row r="630" spans="1:23" s="9" customFormat="1" ht="15.75" hidden="1" customHeight="1" x14ac:dyDescent="0.25">
      <c r="A630" s="4" t="s">
        <v>1948</v>
      </c>
      <c r="B630" s="4" t="s">
        <v>1949</v>
      </c>
      <c r="C630" s="4" t="s">
        <v>1950</v>
      </c>
      <c r="D630" s="22" t="s">
        <v>6087</v>
      </c>
      <c r="E630" s="4" t="s">
        <v>87</v>
      </c>
      <c r="F630" s="4" t="s">
        <v>56</v>
      </c>
      <c r="G630" s="4" t="s">
        <v>5</v>
      </c>
      <c r="H630" s="4" t="s">
        <v>58</v>
      </c>
      <c r="I630" s="5">
        <v>45026</v>
      </c>
      <c r="J630" s="4" t="s">
        <v>40</v>
      </c>
      <c r="K630" s="5">
        <v>45339</v>
      </c>
      <c r="L630" s="4" t="s">
        <v>59</v>
      </c>
      <c r="M630" s="6">
        <v>9814</v>
      </c>
      <c r="N630" s="6">
        <v>3341</v>
      </c>
      <c r="O630" s="4">
        <v>3</v>
      </c>
      <c r="P630" s="5">
        <v>45342</v>
      </c>
      <c r="Q630" s="4" t="s">
        <v>33</v>
      </c>
      <c r="R630" s="4" t="s">
        <v>33</v>
      </c>
      <c r="S630" s="4" t="s">
        <v>41</v>
      </c>
      <c r="T630" s="7">
        <v>2.9373999999999998</v>
      </c>
      <c r="U630" s="8">
        <v>313</v>
      </c>
      <c r="V630" s="8">
        <v>2024</v>
      </c>
      <c r="W630" s="4" t="s">
        <v>35</v>
      </c>
    </row>
    <row r="631" spans="1:23" s="9" customFormat="1" ht="15.75" hidden="1" customHeight="1" x14ac:dyDescent="0.25">
      <c r="A631" s="10" t="s">
        <v>1951</v>
      </c>
      <c r="B631" s="10" t="s">
        <v>1952</v>
      </c>
      <c r="C631" s="10" t="s">
        <v>1953</v>
      </c>
      <c r="D631" s="21" t="s">
        <v>6089</v>
      </c>
      <c r="E631" s="10" t="s">
        <v>26</v>
      </c>
      <c r="F631" s="10" t="s">
        <v>71</v>
      </c>
      <c r="G631" s="10" t="s">
        <v>5</v>
      </c>
      <c r="H631" s="10" t="s">
        <v>29</v>
      </c>
      <c r="I631" s="11">
        <v>45214</v>
      </c>
      <c r="J631" s="10" t="s">
        <v>40</v>
      </c>
      <c r="K631" s="11">
        <v>45430</v>
      </c>
      <c r="L631" s="10" t="s">
        <v>59</v>
      </c>
      <c r="M631" s="12">
        <v>29720</v>
      </c>
      <c r="N631" s="12">
        <v>3955</v>
      </c>
      <c r="O631" s="10">
        <v>41</v>
      </c>
      <c r="P631" s="11">
        <v>45471</v>
      </c>
      <c r="Q631" s="10" t="s">
        <v>94</v>
      </c>
      <c r="R631" s="10" t="s">
        <v>94</v>
      </c>
      <c r="S631" s="10" t="s">
        <v>34</v>
      </c>
      <c r="T631" s="13">
        <v>7.5145</v>
      </c>
      <c r="U631" s="14">
        <v>216</v>
      </c>
      <c r="V631" s="14">
        <v>2024</v>
      </c>
      <c r="W631" s="10" t="s">
        <v>52</v>
      </c>
    </row>
    <row r="632" spans="1:23" s="9" customFormat="1" ht="15.75" hidden="1" customHeight="1" x14ac:dyDescent="0.25">
      <c r="A632" s="4" t="s">
        <v>1954</v>
      </c>
      <c r="B632" s="4" t="s">
        <v>1955</v>
      </c>
      <c r="C632" s="4" t="s">
        <v>1956</v>
      </c>
      <c r="D632" s="22" t="s">
        <v>6090</v>
      </c>
      <c r="E632" s="4" t="s">
        <v>87</v>
      </c>
      <c r="F632" s="4" t="s">
        <v>56</v>
      </c>
      <c r="G632" s="4" t="s">
        <v>5</v>
      </c>
      <c r="H632" s="4" t="s">
        <v>118</v>
      </c>
      <c r="I632" s="5">
        <v>45486</v>
      </c>
      <c r="J632" s="4" t="s">
        <v>40</v>
      </c>
      <c r="K632" s="5">
        <v>45639</v>
      </c>
      <c r="L632" s="4" t="s">
        <v>31</v>
      </c>
      <c r="M632" s="6">
        <v>59384</v>
      </c>
      <c r="N632" s="6">
        <v>669</v>
      </c>
      <c r="O632" s="4" t="s">
        <v>32</v>
      </c>
      <c r="P632" s="4" t="s">
        <v>32</v>
      </c>
      <c r="Q632" s="4" t="s">
        <v>33</v>
      </c>
      <c r="R632" s="4" t="s">
        <v>33</v>
      </c>
      <c r="S632" s="4" t="s">
        <v>34</v>
      </c>
      <c r="T632" s="7">
        <v>88.765299999999996</v>
      </c>
      <c r="U632" s="8">
        <v>153</v>
      </c>
      <c r="V632" s="8">
        <v>2024</v>
      </c>
      <c r="W632" s="4" t="s">
        <v>89</v>
      </c>
    </row>
    <row r="633" spans="1:23" s="9" customFormat="1" ht="15.75" hidden="1" customHeight="1" x14ac:dyDescent="0.25">
      <c r="A633" s="10" t="s">
        <v>1957</v>
      </c>
      <c r="B633" s="10" t="s">
        <v>1958</v>
      </c>
      <c r="C633" s="10" t="s">
        <v>1959</v>
      </c>
      <c r="D633" s="21" t="s">
        <v>6086</v>
      </c>
      <c r="E633" s="10" t="s">
        <v>51</v>
      </c>
      <c r="F633" s="10" t="s">
        <v>46</v>
      </c>
      <c r="G633" s="10" t="s">
        <v>28</v>
      </c>
      <c r="H633" s="10" t="s">
        <v>29</v>
      </c>
      <c r="I633" s="11">
        <v>45405</v>
      </c>
      <c r="J633" s="10" t="s">
        <v>40</v>
      </c>
      <c r="K633" s="11">
        <v>45565</v>
      </c>
      <c r="L633" s="10" t="s">
        <v>59</v>
      </c>
      <c r="M633" s="12">
        <v>26094</v>
      </c>
      <c r="N633" s="12">
        <v>6388</v>
      </c>
      <c r="O633" s="10">
        <v>4</v>
      </c>
      <c r="P633" s="11">
        <v>45569</v>
      </c>
      <c r="Q633" s="10" t="s">
        <v>33</v>
      </c>
      <c r="R633" s="10" t="s">
        <v>33</v>
      </c>
      <c r="S633" s="10" t="s">
        <v>60</v>
      </c>
      <c r="T633" s="13">
        <v>4.0848000000000004</v>
      </c>
      <c r="U633" s="14">
        <v>160</v>
      </c>
      <c r="V633" s="14">
        <v>2024</v>
      </c>
      <c r="W633" s="10" t="s">
        <v>168</v>
      </c>
    </row>
    <row r="634" spans="1:23" s="9" customFormat="1" ht="15.75" hidden="1" customHeight="1" x14ac:dyDescent="0.25">
      <c r="A634" s="4" t="s">
        <v>1960</v>
      </c>
      <c r="B634" s="4" t="s">
        <v>1961</v>
      </c>
      <c r="C634" s="4" t="s">
        <v>1962</v>
      </c>
      <c r="D634" s="21" t="s">
        <v>6086</v>
      </c>
      <c r="E634" s="4" t="s">
        <v>87</v>
      </c>
      <c r="F634" s="4" t="s">
        <v>56</v>
      </c>
      <c r="G634" s="4" t="s">
        <v>57</v>
      </c>
      <c r="H634" s="4" t="s">
        <v>58</v>
      </c>
      <c r="I634" s="5">
        <v>45040</v>
      </c>
      <c r="J634" s="4" t="s">
        <v>40</v>
      </c>
      <c r="K634" s="5">
        <v>45390</v>
      </c>
      <c r="L634" s="4" t="s">
        <v>59</v>
      </c>
      <c r="M634" s="6">
        <v>69645</v>
      </c>
      <c r="N634" s="6">
        <v>1173</v>
      </c>
      <c r="O634" s="4">
        <v>32</v>
      </c>
      <c r="P634" s="5">
        <v>45422</v>
      </c>
      <c r="Q634" s="4" t="s">
        <v>94</v>
      </c>
      <c r="R634" s="4" t="s">
        <v>94</v>
      </c>
      <c r="S634" s="4" t="s">
        <v>41</v>
      </c>
      <c r="T634" s="7">
        <v>59.373399999999997</v>
      </c>
      <c r="U634" s="8">
        <v>350</v>
      </c>
      <c r="V634" s="8">
        <v>2024</v>
      </c>
      <c r="W634" s="4" t="s">
        <v>47</v>
      </c>
    </row>
    <row r="635" spans="1:23" s="9" customFormat="1" ht="15.75" hidden="1" customHeight="1" x14ac:dyDescent="0.25">
      <c r="A635" s="10" t="s">
        <v>1963</v>
      </c>
      <c r="B635" s="10" t="s">
        <v>1964</v>
      </c>
      <c r="C635" s="10" t="s">
        <v>1965</v>
      </c>
      <c r="D635" s="22" t="s">
        <v>6087</v>
      </c>
      <c r="E635" s="10" t="s">
        <v>26</v>
      </c>
      <c r="F635" s="10" t="s">
        <v>65</v>
      </c>
      <c r="G635" s="10" t="s">
        <v>57</v>
      </c>
      <c r="H635" s="10" t="s">
        <v>39</v>
      </c>
      <c r="I635" s="11">
        <v>45292</v>
      </c>
      <c r="J635" s="10" t="s">
        <v>40</v>
      </c>
      <c r="K635" s="11">
        <v>45626</v>
      </c>
      <c r="L635" s="10" t="s">
        <v>31</v>
      </c>
      <c r="M635" s="12">
        <v>11849</v>
      </c>
      <c r="N635" s="12">
        <v>6916</v>
      </c>
      <c r="O635" s="10" t="s">
        <v>32</v>
      </c>
      <c r="P635" s="10" t="s">
        <v>32</v>
      </c>
      <c r="Q635" s="10" t="s">
        <v>33</v>
      </c>
      <c r="R635" s="10" t="s">
        <v>33</v>
      </c>
      <c r="S635" s="10" t="s">
        <v>60</v>
      </c>
      <c r="T635" s="13">
        <v>1.7133</v>
      </c>
      <c r="U635" s="14">
        <v>334</v>
      </c>
      <c r="V635" s="14">
        <v>2024</v>
      </c>
      <c r="W635" s="10" t="s">
        <v>61</v>
      </c>
    </row>
    <row r="636" spans="1:23" s="9" customFormat="1" ht="15.75" hidden="1" customHeight="1" x14ac:dyDescent="0.25">
      <c r="A636" s="4" t="s">
        <v>1966</v>
      </c>
      <c r="B636" s="4" t="s">
        <v>1967</v>
      </c>
      <c r="C636" s="4" t="s">
        <v>1968</v>
      </c>
      <c r="D636" s="22" t="s">
        <v>6087</v>
      </c>
      <c r="E636" s="4" t="s">
        <v>26</v>
      </c>
      <c r="F636" s="4" t="s">
        <v>46</v>
      </c>
      <c r="G636" s="4" t="s">
        <v>5</v>
      </c>
      <c r="H636" s="4" t="s">
        <v>39</v>
      </c>
      <c r="I636" s="5">
        <v>45338</v>
      </c>
      <c r="J636" s="4" t="s">
        <v>40</v>
      </c>
      <c r="K636" s="5">
        <v>45590</v>
      </c>
      <c r="L636" s="4" t="s">
        <v>59</v>
      </c>
      <c r="M636" s="6">
        <v>32652</v>
      </c>
      <c r="N636" s="6">
        <v>4103</v>
      </c>
      <c r="O636" s="4">
        <v>40</v>
      </c>
      <c r="P636" s="5">
        <v>45630</v>
      </c>
      <c r="Q636" s="4" t="s">
        <v>33</v>
      </c>
      <c r="R636" s="4" t="s">
        <v>33</v>
      </c>
      <c r="S636" s="4" t="s">
        <v>60</v>
      </c>
      <c r="T636" s="7">
        <v>7.9581</v>
      </c>
      <c r="U636" s="8">
        <v>252</v>
      </c>
      <c r="V636" s="8">
        <v>2024</v>
      </c>
      <c r="W636" s="4" t="s">
        <v>95</v>
      </c>
    </row>
    <row r="637" spans="1:23" s="9" customFormat="1" ht="15.75" hidden="1" customHeight="1" x14ac:dyDescent="0.25">
      <c r="A637" s="10" t="s">
        <v>1969</v>
      </c>
      <c r="B637" s="10" t="s">
        <v>1970</v>
      </c>
      <c r="C637" s="10" t="s">
        <v>1971</v>
      </c>
      <c r="D637" s="21" t="s">
        <v>6089</v>
      </c>
      <c r="E637" s="10" t="s">
        <v>51</v>
      </c>
      <c r="F637" s="10" t="s">
        <v>65</v>
      </c>
      <c r="G637" s="10" t="s">
        <v>28</v>
      </c>
      <c r="H637" s="10" t="s">
        <v>93</v>
      </c>
      <c r="I637" s="11">
        <v>45526</v>
      </c>
      <c r="J637" s="10" t="s">
        <v>40</v>
      </c>
      <c r="K637" s="11">
        <v>45579</v>
      </c>
      <c r="L637" s="10" t="s">
        <v>66</v>
      </c>
      <c r="M637" s="12">
        <v>19857</v>
      </c>
      <c r="N637" s="12">
        <v>687</v>
      </c>
      <c r="O637" s="10" t="s">
        <v>32</v>
      </c>
      <c r="P637" s="10" t="s">
        <v>32</v>
      </c>
      <c r="Q637" s="10" t="s">
        <v>33</v>
      </c>
      <c r="R637" s="10" t="s">
        <v>33</v>
      </c>
      <c r="S637" s="10" t="s">
        <v>34</v>
      </c>
      <c r="T637" s="13">
        <v>28.9039</v>
      </c>
      <c r="U637" s="14">
        <v>53</v>
      </c>
      <c r="V637" s="14">
        <v>2024</v>
      </c>
      <c r="W637" s="10" t="s">
        <v>95</v>
      </c>
    </row>
    <row r="638" spans="1:23" s="9" customFormat="1" ht="15.75" hidden="1" customHeight="1" x14ac:dyDescent="0.25">
      <c r="A638" s="4" t="s">
        <v>1972</v>
      </c>
      <c r="B638" s="4" t="s">
        <v>1973</v>
      </c>
      <c r="C638" s="4" t="s">
        <v>1974</v>
      </c>
      <c r="D638" s="21" t="s">
        <v>6089</v>
      </c>
      <c r="E638" s="4" t="s">
        <v>87</v>
      </c>
      <c r="F638" s="4" t="s">
        <v>65</v>
      </c>
      <c r="G638" s="4" t="s">
        <v>57</v>
      </c>
      <c r="H638" s="4" t="s">
        <v>161</v>
      </c>
      <c r="I638" s="5">
        <v>45371</v>
      </c>
      <c r="J638" s="4" t="s">
        <v>30</v>
      </c>
      <c r="K638" s="5">
        <v>45627</v>
      </c>
      <c r="L638" s="4" t="s">
        <v>31</v>
      </c>
      <c r="M638" s="6">
        <v>19805</v>
      </c>
      <c r="N638" s="6">
        <v>6011</v>
      </c>
      <c r="O638" s="4" t="s">
        <v>32</v>
      </c>
      <c r="P638" s="4" t="s">
        <v>32</v>
      </c>
      <c r="Q638" s="4" t="s">
        <v>33</v>
      </c>
      <c r="R638" s="4" t="s">
        <v>33</v>
      </c>
      <c r="S638" s="4" t="s">
        <v>60</v>
      </c>
      <c r="T638" s="7">
        <v>3.2948</v>
      </c>
      <c r="U638" s="8">
        <v>256</v>
      </c>
      <c r="V638" s="8">
        <v>2024</v>
      </c>
      <c r="W638" s="4" t="s">
        <v>89</v>
      </c>
    </row>
    <row r="639" spans="1:23" s="9" customFormat="1" ht="15.75" hidden="1" customHeight="1" x14ac:dyDescent="0.25">
      <c r="A639" s="10" t="s">
        <v>1975</v>
      </c>
      <c r="B639" s="10" t="s">
        <v>1976</v>
      </c>
      <c r="C639" s="10" t="s">
        <v>1977</v>
      </c>
      <c r="D639" s="21" t="s">
        <v>6086</v>
      </c>
      <c r="E639" s="10" t="s">
        <v>51</v>
      </c>
      <c r="F639" s="10" t="s">
        <v>27</v>
      </c>
      <c r="G639" s="10" t="s">
        <v>57</v>
      </c>
      <c r="H639" s="10" t="s">
        <v>29</v>
      </c>
      <c r="I639" s="11">
        <v>45037</v>
      </c>
      <c r="J639" s="10" t="s">
        <v>40</v>
      </c>
      <c r="K639" s="11">
        <v>45378</v>
      </c>
      <c r="L639" s="10" t="s">
        <v>59</v>
      </c>
      <c r="M639" s="12">
        <v>48752</v>
      </c>
      <c r="N639" s="12">
        <v>7689</v>
      </c>
      <c r="O639" s="10">
        <v>37</v>
      </c>
      <c r="P639" s="11">
        <v>45415</v>
      </c>
      <c r="Q639" s="10" t="s">
        <v>33</v>
      </c>
      <c r="R639" s="10" t="s">
        <v>33</v>
      </c>
      <c r="S639" s="10" t="s">
        <v>34</v>
      </c>
      <c r="T639" s="13">
        <v>6.3404999999999996</v>
      </c>
      <c r="U639" s="14">
        <v>341</v>
      </c>
      <c r="V639" s="14">
        <v>2024</v>
      </c>
      <c r="W639" s="10" t="s">
        <v>77</v>
      </c>
    </row>
    <row r="640" spans="1:23" s="9" customFormat="1" ht="15.75" hidden="1" customHeight="1" x14ac:dyDescent="0.25">
      <c r="A640" s="4" t="s">
        <v>1978</v>
      </c>
      <c r="B640" s="4" t="s">
        <v>1979</v>
      </c>
      <c r="C640" s="4" t="s">
        <v>1980</v>
      </c>
      <c r="D640" s="21" t="s">
        <v>6088</v>
      </c>
      <c r="E640" s="4" t="s">
        <v>26</v>
      </c>
      <c r="F640" s="4" t="s">
        <v>27</v>
      </c>
      <c r="G640" s="4" t="s">
        <v>5</v>
      </c>
      <c r="H640" s="4" t="s">
        <v>39</v>
      </c>
      <c r="I640" s="5">
        <v>45111</v>
      </c>
      <c r="J640" s="4" t="s">
        <v>40</v>
      </c>
      <c r="K640" s="5">
        <v>45302</v>
      </c>
      <c r="L640" s="4" t="s">
        <v>66</v>
      </c>
      <c r="M640" s="6">
        <v>30578</v>
      </c>
      <c r="N640" s="6">
        <v>2274</v>
      </c>
      <c r="O640" s="4" t="s">
        <v>32</v>
      </c>
      <c r="P640" s="4" t="s">
        <v>32</v>
      </c>
      <c r="Q640" s="4" t="s">
        <v>33</v>
      </c>
      <c r="R640" s="4" t="s">
        <v>33</v>
      </c>
      <c r="S640" s="4" t="s">
        <v>41</v>
      </c>
      <c r="T640" s="7">
        <v>13.4468</v>
      </c>
      <c r="U640" s="8">
        <v>191</v>
      </c>
      <c r="V640" s="8">
        <v>2024</v>
      </c>
      <c r="W640" s="4" t="s">
        <v>73</v>
      </c>
    </row>
    <row r="641" spans="1:23" s="9" customFormat="1" ht="15.75" hidden="1" customHeight="1" x14ac:dyDescent="0.25">
      <c r="A641" s="10" t="s">
        <v>1981</v>
      </c>
      <c r="B641" s="10" t="s">
        <v>1982</v>
      </c>
      <c r="C641" s="10" t="s">
        <v>1983</v>
      </c>
      <c r="D641" s="22" t="s">
        <v>6087</v>
      </c>
      <c r="E641" s="10" t="s">
        <v>51</v>
      </c>
      <c r="F641" s="10" t="s">
        <v>46</v>
      </c>
      <c r="G641" s="10" t="s">
        <v>28</v>
      </c>
      <c r="H641" s="10" t="s">
        <v>39</v>
      </c>
      <c r="I641" s="11">
        <v>45249</v>
      </c>
      <c r="J641" s="10" t="s">
        <v>40</v>
      </c>
      <c r="K641" s="11">
        <v>45452</v>
      </c>
      <c r="L641" s="10" t="s">
        <v>59</v>
      </c>
      <c r="M641" s="12">
        <v>19237</v>
      </c>
      <c r="N641" s="12">
        <v>5777</v>
      </c>
      <c r="O641" s="10">
        <v>43</v>
      </c>
      <c r="P641" s="11">
        <v>45495</v>
      </c>
      <c r="Q641" s="10" t="s">
        <v>33</v>
      </c>
      <c r="R641" s="10" t="s">
        <v>33</v>
      </c>
      <c r="S641" s="10" t="s">
        <v>41</v>
      </c>
      <c r="T641" s="13">
        <v>3.3298999999999999</v>
      </c>
      <c r="U641" s="14">
        <v>203</v>
      </c>
      <c r="V641" s="14">
        <v>2024</v>
      </c>
      <c r="W641" s="10" t="s">
        <v>67</v>
      </c>
    </row>
    <row r="642" spans="1:23" s="9" customFormat="1" ht="15.75" hidden="1" customHeight="1" x14ac:dyDescent="0.25">
      <c r="A642" s="4" t="s">
        <v>1984</v>
      </c>
      <c r="B642" s="4" t="s">
        <v>1985</v>
      </c>
      <c r="C642" s="4" t="s">
        <v>1986</v>
      </c>
      <c r="D642" s="21" t="s">
        <v>6086</v>
      </c>
      <c r="E642" s="4" t="s">
        <v>87</v>
      </c>
      <c r="F642" s="4" t="s">
        <v>65</v>
      </c>
      <c r="G642" s="4" t="s">
        <v>57</v>
      </c>
      <c r="H642" s="4" t="s">
        <v>39</v>
      </c>
      <c r="I642" s="5">
        <v>45502</v>
      </c>
      <c r="J642" s="4" t="s">
        <v>40</v>
      </c>
      <c r="K642" s="5">
        <v>45629</v>
      </c>
      <c r="L642" s="4" t="s">
        <v>59</v>
      </c>
      <c r="M642" s="6">
        <v>37854</v>
      </c>
      <c r="N642" s="6">
        <v>3292</v>
      </c>
      <c r="O642" s="4">
        <v>26</v>
      </c>
      <c r="P642" s="5">
        <v>45655</v>
      </c>
      <c r="Q642" s="4" t="s">
        <v>94</v>
      </c>
      <c r="R642" s="4" t="s">
        <v>94</v>
      </c>
      <c r="S642" s="4" t="s">
        <v>41</v>
      </c>
      <c r="T642" s="7">
        <v>11.498799999999999</v>
      </c>
      <c r="U642" s="8">
        <v>127</v>
      </c>
      <c r="V642" s="8">
        <v>2024</v>
      </c>
      <c r="W642" s="4" t="s">
        <v>89</v>
      </c>
    </row>
    <row r="643" spans="1:23" s="9" customFormat="1" ht="15.75" hidden="1" customHeight="1" x14ac:dyDescent="0.25">
      <c r="A643" s="10" t="s">
        <v>1987</v>
      </c>
      <c r="B643" s="10" t="s">
        <v>1988</v>
      </c>
      <c r="C643" s="10" t="s">
        <v>1989</v>
      </c>
      <c r="D643" s="21" t="s">
        <v>6091</v>
      </c>
      <c r="E643" s="10" t="s">
        <v>87</v>
      </c>
      <c r="F643" s="10" t="s">
        <v>46</v>
      </c>
      <c r="G643" s="10" t="s">
        <v>57</v>
      </c>
      <c r="H643" s="10" t="s">
        <v>88</v>
      </c>
      <c r="I643" s="11">
        <v>45482</v>
      </c>
      <c r="J643" s="10" t="s">
        <v>40</v>
      </c>
      <c r="K643" s="11">
        <v>45513</v>
      </c>
      <c r="L643" s="10" t="s">
        <v>59</v>
      </c>
      <c r="M643" s="12">
        <v>18138</v>
      </c>
      <c r="N643" s="12">
        <v>3078</v>
      </c>
      <c r="O643" s="10">
        <v>12</v>
      </c>
      <c r="P643" s="11">
        <v>45525</v>
      </c>
      <c r="Q643" s="10" t="s">
        <v>33</v>
      </c>
      <c r="R643" s="10" t="s">
        <v>33</v>
      </c>
      <c r="S643" s="10" t="s">
        <v>34</v>
      </c>
      <c r="T643" s="13">
        <v>5.8928000000000003</v>
      </c>
      <c r="U643" s="14">
        <v>31</v>
      </c>
      <c r="V643" s="14">
        <v>2024</v>
      </c>
      <c r="W643" s="10" t="s">
        <v>114</v>
      </c>
    </row>
    <row r="644" spans="1:23" s="9" customFormat="1" ht="15.75" hidden="1" customHeight="1" x14ac:dyDescent="0.25">
      <c r="A644" s="4" t="s">
        <v>1990</v>
      </c>
      <c r="B644" s="4" t="s">
        <v>1991</v>
      </c>
      <c r="C644" s="4" t="s">
        <v>1992</v>
      </c>
      <c r="D644" s="22" t="s">
        <v>6090</v>
      </c>
      <c r="E644" s="4" t="s">
        <v>87</v>
      </c>
      <c r="F644" s="4" t="s">
        <v>27</v>
      </c>
      <c r="G644" s="4" t="s">
        <v>5</v>
      </c>
      <c r="H644" s="4" t="s">
        <v>72</v>
      </c>
      <c r="I644" s="5">
        <v>45151</v>
      </c>
      <c r="J644" s="4" t="s">
        <v>30</v>
      </c>
      <c r="K644" s="5">
        <v>45320</v>
      </c>
      <c r="L644" s="4" t="s">
        <v>66</v>
      </c>
      <c r="M644" s="6">
        <v>50250</v>
      </c>
      <c r="N644" s="6">
        <v>6386</v>
      </c>
      <c r="O644" s="4" t="s">
        <v>32</v>
      </c>
      <c r="P644" s="4" t="s">
        <v>32</v>
      </c>
      <c r="Q644" s="4" t="s">
        <v>33</v>
      </c>
      <c r="R644" s="4" t="s">
        <v>33</v>
      </c>
      <c r="S644" s="4" t="s">
        <v>60</v>
      </c>
      <c r="T644" s="7">
        <v>7.8688000000000002</v>
      </c>
      <c r="U644" s="8">
        <v>169</v>
      </c>
      <c r="V644" s="8">
        <v>2024</v>
      </c>
      <c r="W644" s="4" t="s">
        <v>73</v>
      </c>
    </row>
    <row r="645" spans="1:23" s="9" customFormat="1" ht="15.75" hidden="1" customHeight="1" x14ac:dyDescent="0.25">
      <c r="A645" s="10" t="s">
        <v>1993</v>
      </c>
      <c r="B645" s="10" t="s">
        <v>1994</v>
      </c>
      <c r="C645" s="10" t="s">
        <v>1995</v>
      </c>
      <c r="D645" s="21" t="s">
        <v>6091</v>
      </c>
      <c r="E645" s="10" t="s">
        <v>51</v>
      </c>
      <c r="F645" s="10" t="s">
        <v>56</v>
      </c>
      <c r="G645" s="10" t="s">
        <v>57</v>
      </c>
      <c r="H645" s="10" t="s">
        <v>161</v>
      </c>
      <c r="I645" s="11">
        <v>45083</v>
      </c>
      <c r="J645" s="10" t="s">
        <v>40</v>
      </c>
      <c r="K645" s="11">
        <v>45341</v>
      </c>
      <c r="L645" s="10" t="s">
        <v>66</v>
      </c>
      <c r="M645" s="12">
        <v>13744</v>
      </c>
      <c r="N645" s="12">
        <v>1457</v>
      </c>
      <c r="O645" s="10" t="s">
        <v>32</v>
      </c>
      <c r="P645" s="10" t="s">
        <v>32</v>
      </c>
      <c r="Q645" s="10" t="s">
        <v>33</v>
      </c>
      <c r="R645" s="10" t="s">
        <v>33</v>
      </c>
      <c r="S645" s="10" t="s">
        <v>34</v>
      </c>
      <c r="T645" s="13">
        <v>9.4330999999999996</v>
      </c>
      <c r="U645" s="14">
        <v>258</v>
      </c>
      <c r="V645" s="14">
        <v>2024</v>
      </c>
      <c r="W645" s="10" t="s">
        <v>35</v>
      </c>
    </row>
    <row r="646" spans="1:23" s="9" customFormat="1" ht="15.75" hidden="1" customHeight="1" x14ac:dyDescent="0.25">
      <c r="A646" s="4" t="s">
        <v>1996</v>
      </c>
      <c r="B646" s="4" t="s">
        <v>1997</v>
      </c>
      <c r="C646" s="4" t="s">
        <v>1998</v>
      </c>
      <c r="D646" s="21" t="s">
        <v>6088</v>
      </c>
      <c r="E646" s="4" t="s">
        <v>87</v>
      </c>
      <c r="F646" s="4" t="s">
        <v>27</v>
      </c>
      <c r="G646" s="4" t="s">
        <v>28</v>
      </c>
      <c r="H646" s="4" t="s">
        <v>29</v>
      </c>
      <c r="I646" s="5">
        <v>45503</v>
      </c>
      <c r="J646" s="4" t="s">
        <v>40</v>
      </c>
      <c r="K646" s="5">
        <v>45608</v>
      </c>
      <c r="L646" s="4" t="s">
        <v>59</v>
      </c>
      <c r="M646" s="6">
        <v>67826</v>
      </c>
      <c r="N646" s="6">
        <v>4758</v>
      </c>
      <c r="O646" s="4">
        <v>16</v>
      </c>
      <c r="P646" s="5">
        <v>45624</v>
      </c>
      <c r="Q646" s="4" t="s">
        <v>33</v>
      </c>
      <c r="R646" s="4" t="s">
        <v>33</v>
      </c>
      <c r="S646" s="4" t="s">
        <v>60</v>
      </c>
      <c r="T646" s="7">
        <v>14.255100000000001</v>
      </c>
      <c r="U646" s="8">
        <v>105</v>
      </c>
      <c r="V646" s="8">
        <v>2024</v>
      </c>
      <c r="W646" s="4" t="s">
        <v>61</v>
      </c>
    </row>
    <row r="647" spans="1:23" s="9" customFormat="1" ht="15.75" hidden="1" customHeight="1" x14ac:dyDescent="0.25">
      <c r="A647" s="10" t="s">
        <v>1999</v>
      </c>
      <c r="B647" s="10" t="s">
        <v>2000</v>
      </c>
      <c r="C647" s="10" t="s">
        <v>2001</v>
      </c>
      <c r="D647" s="22" t="s">
        <v>6090</v>
      </c>
      <c r="E647" s="10" t="s">
        <v>87</v>
      </c>
      <c r="F647" s="10" t="s">
        <v>56</v>
      </c>
      <c r="G647" s="10" t="s">
        <v>5</v>
      </c>
      <c r="H647" s="10" t="s">
        <v>39</v>
      </c>
      <c r="I647" s="11">
        <v>45411</v>
      </c>
      <c r="J647" s="10" t="s">
        <v>40</v>
      </c>
      <c r="K647" s="11">
        <v>45448</v>
      </c>
      <c r="L647" s="10" t="s">
        <v>59</v>
      </c>
      <c r="M647" s="12">
        <v>22000</v>
      </c>
      <c r="N647" s="12">
        <v>7076</v>
      </c>
      <c r="O647" s="10">
        <v>6</v>
      </c>
      <c r="P647" s="11">
        <v>45454</v>
      </c>
      <c r="Q647" s="10" t="s">
        <v>94</v>
      </c>
      <c r="R647" s="10" t="s">
        <v>94</v>
      </c>
      <c r="S647" s="10" t="s">
        <v>34</v>
      </c>
      <c r="T647" s="13">
        <v>3.1091000000000002</v>
      </c>
      <c r="U647" s="14">
        <v>37</v>
      </c>
      <c r="V647" s="14">
        <v>2024</v>
      </c>
      <c r="W647" s="10" t="s">
        <v>67</v>
      </c>
    </row>
    <row r="648" spans="1:23" s="9" customFormat="1" ht="15.75" hidden="1" customHeight="1" x14ac:dyDescent="0.25">
      <c r="A648" s="4" t="s">
        <v>2002</v>
      </c>
      <c r="B648" s="4" t="s">
        <v>2003</v>
      </c>
      <c r="C648" s="4" t="s">
        <v>2004</v>
      </c>
      <c r="D648" s="21" t="s">
        <v>6089</v>
      </c>
      <c r="E648" s="4" t="s">
        <v>26</v>
      </c>
      <c r="F648" s="21" t="s">
        <v>6092</v>
      </c>
      <c r="G648" s="4" t="s">
        <v>57</v>
      </c>
      <c r="H648" s="4" t="s">
        <v>88</v>
      </c>
      <c r="I648" s="5">
        <v>45350</v>
      </c>
      <c r="J648" s="4" t="s">
        <v>30</v>
      </c>
      <c r="K648" s="5">
        <v>45649</v>
      </c>
      <c r="L648" s="4" t="s">
        <v>59</v>
      </c>
      <c r="M648" s="6">
        <v>51506</v>
      </c>
      <c r="N648" s="6">
        <v>4922</v>
      </c>
      <c r="O648" s="4">
        <v>30</v>
      </c>
      <c r="P648" s="5">
        <v>45679</v>
      </c>
      <c r="Q648" s="4" t="s">
        <v>33</v>
      </c>
      <c r="R648" s="4" t="s">
        <v>33</v>
      </c>
      <c r="S648" s="4" t="s">
        <v>60</v>
      </c>
      <c r="T648" s="7">
        <v>10.464399999999999</v>
      </c>
      <c r="U648" s="8">
        <v>299</v>
      </c>
      <c r="V648" s="8">
        <v>2024</v>
      </c>
      <c r="W648" s="4" t="s">
        <v>89</v>
      </c>
    </row>
    <row r="649" spans="1:23" s="9" customFormat="1" ht="15.75" hidden="1" customHeight="1" x14ac:dyDescent="0.25">
      <c r="A649" s="10" t="s">
        <v>2005</v>
      </c>
      <c r="B649" s="10" t="s">
        <v>2006</v>
      </c>
      <c r="C649" s="10" t="s">
        <v>2007</v>
      </c>
      <c r="D649" s="22" t="s">
        <v>6087</v>
      </c>
      <c r="E649" s="10" t="s">
        <v>26</v>
      </c>
      <c r="F649" s="10" t="s">
        <v>65</v>
      </c>
      <c r="G649" s="10" t="s">
        <v>5</v>
      </c>
      <c r="H649" s="10" t="s">
        <v>93</v>
      </c>
      <c r="I649" s="11">
        <v>45065</v>
      </c>
      <c r="J649" s="10" t="s">
        <v>30</v>
      </c>
      <c r="K649" s="11">
        <v>45367</v>
      </c>
      <c r="L649" s="10" t="s">
        <v>59</v>
      </c>
      <c r="M649" s="12">
        <v>7650</v>
      </c>
      <c r="N649" s="12">
        <v>1664</v>
      </c>
      <c r="O649" s="10">
        <v>2</v>
      </c>
      <c r="P649" s="11">
        <v>45369</v>
      </c>
      <c r="Q649" s="10" t="s">
        <v>33</v>
      </c>
      <c r="R649" s="10" t="s">
        <v>33</v>
      </c>
      <c r="S649" s="10" t="s">
        <v>41</v>
      </c>
      <c r="T649" s="13">
        <v>4.5974000000000004</v>
      </c>
      <c r="U649" s="14">
        <v>302</v>
      </c>
      <c r="V649" s="14">
        <v>2024</v>
      </c>
      <c r="W649" s="10" t="s">
        <v>77</v>
      </c>
    </row>
    <row r="650" spans="1:23" s="9" customFormat="1" ht="15.75" hidden="1" customHeight="1" x14ac:dyDescent="0.25">
      <c r="A650" s="4" t="s">
        <v>2008</v>
      </c>
      <c r="B650" s="4" t="s">
        <v>2009</v>
      </c>
      <c r="C650" s="4" t="s">
        <v>2010</v>
      </c>
      <c r="D650" s="22" t="s">
        <v>6090</v>
      </c>
      <c r="E650" s="4" t="s">
        <v>87</v>
      </c>
      <c r="F650" s="4" t="s">
        <v>27</v>
      </c>
      <c r="G650" s="4" t="s">
        <v>57</v>
      </c>
      <c r="H650" s="4" t="s">
        <v>58</v>
      </c>
      <c r="I650" s="5">
        <v>45614</v>
      </c>
      <c r="J650" s="4" t="s">
        <v>40</v>
      </c>
      <c r="K650" s="5">
        <v>45644</v>
      </c>
      <c r="L650" s="4" t="s">
        <v>59</v>
      </c>
      <c r="M650" s="6">
        <v>56189</v>
      </c>
      <c r="N650" s="6">
        <v>7927</v>
      </c>
      <c r="O650" s="4">
        <v>3</v>
      </c>
      <c r="P650" s="5">
        <v>45647</v>
      </c>
      <c r="Q650" s="4" t="s">
        <v>33</v>
      </c>
      <c r="R650" s="4" t="s">
        <v>33</v>
      </c>
      <c r="S650" s="4" t="s">
        <v>60</v>
      </c>
      <c r="T650" s="7">
        <v>7.0883000000000003</v>
      </c>
      <c r="U650" s="8">
        <v>30</v>
      </c>
      <c r="V650" s="8">
        <v>2024</v>
      </c>
      <c r="W650" s="4" t="s">
        <v>89</v>
      </c>
    </row>
    <row r="651" spans="1:23" s="9" customFormat="1" ht="15.75" hidden="1" customHeight="1" x14ac:dyDescent="0.25">
      <c r="A651" s="10" t="s">
        <v>2011</v>
      </c>
      <c r="B651" s="10" t="s">
        <v>2012</v>
      </c>
      <c r="C651" s="10" t="s">
        <v>2013</v>
      </c>
      <c r="D651" s="22" t="s">
        <v>6090</v>
      </c>
      <c r="E651" s="10" t="s">
        <v>87</v>
      </c>
      <c r="F651" s="21" t="s">
        <v>6092</v>
      </c>
      <c r="G651" s="10" t="s">
        <v>5</v>
      </c>
      <c r="H651" s="10" t="s">
        <v>161</v>
      </c>
      <c r="I651" s="11">
        <v>45527</v>
      </c>
      <c r="J651" s="10" t="s">
        <v>40</v>
      </c>
      <c r="K651" s="11">
        <v>45578</v>
      </c>
      <c r="L651" s="10" t="s">
        <v>59</v>
      </c>
      <c r="M651" s="12">
        <v>18697</v>
      </c>
      <c r="N651" s="12">
        <v>5599</v>
      </c>
      <c r="O651" s="10">
        <v>6</v>
      </c>
      <c r="P651" s="11">
        <v>45584</v>
      </c>
      <c r="Q651" s="10" t="s">
        <v>33</v>
      </c>
      <c r="R651" s="10" t="s">
        <v>33</v>
      </c>
      <c r="S651" s="10" t="s">
        <v>60</v>
      </c>
      <c r="T651" s="13">
        <v>3.3393000000000002</v>
      </c>
      <c r="U651" s="14">
        <v>51</v>
      </c>
      <c r="V651" s="14">
        <v>2024</v>
      </c>
      <c r="W651" s="10" t="s">
        <v>95</v>
      </c>
    </row>
    <row r="652" spans="1:23" s="9" customFormat="1" ht="15.75" hidden="1" customHeight="1" x14ac:dyDescent="0.25">
      <c r="A652" s="4" t="s">
        <v>2014</v>
      </c>
      <c r="B652" s="4" t="s">
        <v>2015</v>
      </c>
      <c r="C652" s="4" t="s">
        <v>2016</v>
      </c>
      <c r="D652" s="22" t="s">
        <v>6087</v>
      </c>
      <c r="E652" s="4" t="s">
        <v>26</v>
      </c>
      <c r="F652" s="21" t="s">
        <v>6092</v>
      </c>
      <c r="G652" s="4" t="s">
        <v>57</v>
      </c>
      <c r="H652" s="4" t="s">
        <v>161</v>
      </c>
      <c r="I652" s="5">
        <v>45471</v>
      </c>
      <c r="J652" s="4" t="s">
        <v>30</v>
      </c>
      <c r="K652" s="5">
        <v>45540</v>
      </c>
      <c r="L652" s="4" t="s">
        <v>31</v>
      </c>
      <c r="M652" s="6">
        <v>3404</v>
      </c>
      <c r="N652" s="6">
        <v>4760</v>
      </c>
      <c r="O652" s="4" t="s">
        <v>32</v>
      </c>
      <c r="P652" s="4" t="s">
        <v>32</v>
      </c>
      <c r="Q652" s="4" t="s">
        <v>33</v>
      </c>
      <c r="R652" s="4" t="s">
        <v>33</v>
      </c>
      <c r="S652" s="4" t="s">
        <v>41</v>
      </c>
      <c r="T652" s="7">
        <v>0.71509999999999996</v>
      </c>
      <c r="U652" s="8">
        <v>69</v>
      </c>
      <c r="V652" s="8">
        <v>2024</v>
      </c>
      <c r="W652" s="4" t="s">
        <v>168</v>
      </c>
    </row>
    <row r="653" spans="1:23" s="9" customFormat="1" ht="15.75" hidden="1" customHeight="1" x14ac:dyDescent="0.25">
      <c r="A653" s="10" t="s">
        <v>2017</v>
      </c>
      <c r="B653" s="10" t="s">
        <v>2018</v>
      </c>
      <c r="C653" s="10" t="s">
        <v>2019</v>
      </c>
      <c r="D653" s="22" t="s">
        <v>6087</v>
      </c>
      <c r="E653" s="10" t="s">
        <v>51</v>
      </c>
      <c r="F653" s="10" t="s">
        <v>27</v>
      </c>
      <c r="G653" s="10" t="s">
        <v>5</v>
      </c>
      <c r="H653" s="10" t="s">
        <v>161</v>
      </c>
      <c r="I653" s="11">
        <v>45258</v>
      </c>
      <c r="J653" s="10" t="s">
        <v>30</v>
      </c>
      <c r="K653" s="11">
        <v>45526</v>
      </c>
      <c r="L653" s="10" t="s">
        <v>59</v>
      </c>
      <c r="M653" s="12">
        <v>27570</v>
      </c>
      <c r="N653" s="12">
        <v>7812</v>
      </c>
      <c r="O653" s="10">
        <v>6</v>
      </c>
      <c r="P653" s="11">
        <v>45532</v>
      </c>
      <c r="Q653" s="10" t="s">
        <v>94</v>
      </c>
      <c r="R653" s="10" t="s">
        <v>94</v>
      </c>
      <c r="S653" s="10" t="s">
        <v>60</v>
      </c>
      <c r="T653" s="13">
        <v>3.5291999999999999</v>
      </c>
      <c r="U653" s="14">
        <v>268</v>
      </c>
      <c r="V653" s="14">
        <v>2024</v>
      </c>
      <c r="W653" s="10" t="s">
        <v>114</v>
      </c>
    </row>
    <row r="654" spans="1:23" s="9" customFormat="1" ht="15.75" hidden="1" customHeight="1" x14ac:dyDescent="0.25">
      <c r="A654" s="4" t="s">
        <v>2020</v>
      </c>
      <c r="B654" s="4" t="s">
        <v>2021</v>
      </c>
      <c r="C654" s="4" t="s">
        <v>2022</v>
      </c>
      <c r="D654" s="22" t="s">
        <v>6087</v>
      </c>
      <c r="E654" s="4" t="s">
        <v>51</v>
      </c>
      <c r="F654" s="4" t="s">
        <v>65</v>
      </c>
      <c r="G654" s="4" t="s">
        <v>5</v>
      </c>
      <c r="H654" s="4" t="s">
        <v>58</v>
      </c>
      <c r="I654" s="5">
        <v>45532</v>
      </c>
      <c r="J654" s="4" t="s">
        <v>40</v>
      </c>
      <c r="K654" s="5">
        <v>45587</v>
      </c>
      <c r="L654" s="4" t="s">
        <v>31</v>
      </c>
      <c r="M654" s="6">
        <v>12208</v>
      </c>
      <c r="N654" s="6">
        <v>7523</v>
      </c>
      <c r="O654" s="4" t="s">
        <v>32</v>
      </c>
      <c r="P654" s="4" t="s">
        <v>32</v>
      </c>
      <c r="Q654" s="4" t="s">
        <v>33</v>
      </c>
      <c r="R654" s="4" t="s">
        <v>33</v>
      </c>
      <c r="S654" s="4" t="s">
        <v>34</v>
      </c>
      <c r="T654" s="7">
        <v>1.6228</v>
      </c>
      <c r="U654" s="8">
        <v>55</v>
      </c>
      <c r="V654" s="8">
        <v>2024</v>
      </c>
      <c r="W654" s="4" t="s">
        <v>95</v>
      </c>
    </row>
    <row r="655" spans="1:23" s="9" customFormat="1" ht="15.75" hidden="1" customHeight="1" x14ac:dyDescent="0.25">
      <c r="A655" s="10" t="s">
        <v>2023</v>
      </c>
      <c r="B655" s="10" t="s">
        <v>2024</v>
      </c>
      <c r="C655" s="10" t="s">
        <v>2025</v>
      </c>
      <c r="D655" s="22" t="s">
        <v>6087</v>
      </c>
      <c r="E655" s="10" t="s">
        <v>26</v>
      </c>
      <c r="F655" s="10" t="s">
        <v>71</v>
      </c>
      <c r="G655" s="10" t="s">
        <v>28</v>
      </c>
      <c r="H655" s="10" t="s">
        <v>93</v>
      </c>
      <c r="I655" s="11">
        <v>45297</v>
      </c>
      <c r="J655" s="10" t="s">
        <v>30</v>
      </c>
      <c r="K655" s="11">
        <v>45518</v>
      </c>
      <c r="L655" s="10" t="s">
        <v>31</v>
      </c>
      <c r="M655" s="12">
        <v>9203</v>
      </c>
      <c r="N655" s="12">
        <v>7656</v>
      </c>
      <c r="O655" s="10" t="s">
        <v>32</v>
      </c>
      <c r="P655" s="10" t="s">
        <v>32</v>
      </c>
      <c r="Q655" s="10" t="s">
        <v>33</v>
      </c>
      <c r="R655" s="10" t="s">
        <v>33</v>
      </c>
      <c r="S655" s="10" t="s">
        <v>60</v>
      </c>
      <c r="T655" s="13">
        <v>1.2020999999999999</v>
      </c>
      <c r="U655" s="14">
        <v>221</v>
      </c>
      <c r="V655" s="14">
        <v>2024</v>
      </c>
      <c r="W655" s="10" t="s">
        <v>114</v>
      </c>
    </row>
    <row r="656" spans="1:23" s="9" customFormat="1" ht="15.75" hidden="1" customHeight="1" x14ac:dyDescent="0.25">
      <c r="A656" s="4" t="s">
        <v>2026</v>
      </c>
      <c r="B656" s="4" t="s">
        <v>2027</v>
      </c>
      <c r="C656" s="4" t="s">
        <v>2028</v>
      </c>
      <c r="D656" s="21" t="s">
        <v>6089</v>
      </c>
      <c r="E656" s="4" t="s">
        <v>51</v>
      </c>
      <c r="F656" s="21" t="s">
        <v>6092</v>
      </c>
      <c r="G656" s="4" t="s">
        <v>28</v>
      </c>
      <c r="H656" s="4" t="s">
        <v>161</v>
      </c>
      <c r="I656" s="5">
        <v>45479</v>
      </c>
      <c r="J656" s="4" t="s">
        <v>40</v>
      </c>
      <c r="K656" s="5">
        <v>45632</v>
      </c>
      <c r="L656" s="4" t="s">
        <v>31</v>
      </c>
      <c r="M656" s="6">
        <v>16192</v>
      </c>
      <c r="N656" s="6">
        <v>7031</v>
      </c>
      <c r="O656" s="4" t="s">
        <v>32</v>
      </c>
      <c r="P656" s="4" t="s">
        <v>32</v>
      </c>
      <c r="Q656" s="4" t="s">
        <v>33</v>
      </c>
      <c r="R656" s="4" t="s">
        <v>33</v>
      </c>
      <c r="S656" s="4" t="s">
        <v>34</v>
      </c>
      <c r="T656" s="7">
        <v>2.3029000000000002</v>
      </c>
      <c r="U656" s="8">
        <v>153</v>
      </c>
      <c r="V656" s="8">
        <v>2024</v>
      </c>
      <c r="W656" s="4" t="s">
        <v>89</v>
      </c>
    </row>
    <row r="657" spans="1:23" s="9" customFormat="1" ht="15.75" hidden="1" customHeight="1" x14ac:dyDescent="0.25">
      <c r="A657" s="10" t="s">
        <v>2029</v>
      </c>
      <c r="B657" s="10" t="s">
        <v>2030</v>
      </c>
      <c r="C657" s="10" t="s">
        <v>2031</v>
      </c>
      <c r="D657" s="22" t="s">
        <v>6090</v>
      </c>
      <c r="E657" s="10" t="s">
        <v>51</v>
      </c>
      <c r="F657" s="10" t="s">
        <v>71</v>
      </c>
      <c r="G657" s="10" t="s">
        <v>5</v>
      </c>
      <c r="H657" s="10" t="s">
        <v>39</v>
      </c>
      <c r="I657" s="11">
        <v>45442</v>
      </c>
      <c r="J657" s="10" t="s">
        <v>30</v>
      </c>
      <c r="K657" s="11">
        <v>45572</v>
      </c>
      <c r="L657" s="10" t="s">
        <v>59</v>
      </c>
      <c r="M657" s="12">
        <v>48667</v>
      </c>
      <c r="N657" s="12">
        <v>5112</v>
      </c>
      <c r="O657" s="10">
        <v>11</v>
      </c>
      <c r="P657" s="11">
        <v>45583</v>
      </c>
      <c r="Q657" s="10" t="s">
        <v>33</v>
      </c>
      <c r="R657" s="10" t="s">
        <v>33</v>
      </c>
      <c r="S657" s="10" t="s">
        <v>34</v>
      </c>
      <c r="T657" s="13">
        <v>9.5200999999999993</v>
      </c>
      <c r="U657" s="14">
        <v>130</v>
      </c>
      <c r="V657" s="14">
        <v>2024</v>
      </c>
      <c r="W657" s="10" t="s">
        <v>95</v>
      </c>
    </row>
    <row r="658" spans="1:23" s="9" customFormat="1" ht="15.75" hidden="1" customHeight="1" x14ac:dyDescent="0.25">
      <c r="A658" s="4" t="s">
        <v>2032</v>
      </c>
      <c r="B658" s="4" t="s">
        <v>2033</v>
      </c>
      <c r="C658" s="4" t="s">
        <v>2034</v>
      </c>
      <c r="D658" s="21" t="s">
        <v>6086</v>
      </c>
      <c r="E658" s="4" t="s">
        <v>26</v>
      </c>
      <c r="F658" s="4" t="s">
        <v>56</v>
      </c>
      <c r="G658" s="4" t="s">
        <v>57</v>
      </c>
      <c r="H658" s="4" t="s">
        <v>39</v>
      </c>
      <c r="I658" s="5">
        <v>45333</v>
      </c>
      <c r="J658" s="4" t="s">
        <v>40</v>
      </c>
      <c r="K658" s="5">
        <v>45560</v>
      </c>
      <c r="L658" s="4" t="s">
        <v>59</v>
      </c>
      <c r="M658" s="6">
        <v>48401</v>
      </c>
      <c r="N658" s="6">
        <v>2485</v>
      </c>
      <c r="O658" s="4">
        <v>6</v>
      </c>
      <c r="P658" s="5">
        <v>45566</v>
      </c>
      <c r="Q658" s="4" t="s">
        <v>33</v>
      </c>
      <c r="R658" s="4" t="s">
        <v>33</v>
      </c>
      <c r="S658" s="4" t="s">
        <v>41</v>
      </c>
      <c r="T658" s="7">
        <v>19.4773</v>
      </c>
      <c r="U658" s="8">
        <v>227</v>
      </c>
      <c r="V658" s="8">
        <v>2024</v>
      </c>
      <c r="W658" s="4" t="s">
        <v>168</v>
      </c>
    </row>
    <row r="659" spans="1:23" s="9" customFormat="1" ht="15.75" hidden="1" customHeight="1" x14ac:dyDescent="0.25">
      <c r="A659" s="10" t="s">
        <v>2035</v>
      </c>
      <c r="B659" s="10" t="s">
        <v>2036</v>
      </c>
      <c r="C659" s="10" t="s">
        <v>2037</v>
      </c>
      <c r="D659" s="22" t="s">
        <v>6090</v>
      </c>
      <c r="E659" s="10" t="s">
        <v>51</v>
      </c>
      <c r="F659" s="10" t="s">
        <v>56</v>
      </c>
      <c r="G659" s="10" t="s">
        <v>57</v>
      </c>
      <c r="H659" s="10" t="s">
        <v>161</v>
      </c>
      <c r="I659" s="11">
        <v>45519</v>
      </c>
      <c r="J659" s="10" t="s">
        <v>30</v>
      </c>
      <c r="K659" s="11">
        <v>45647</v>
      </c>
      <c r="L659" s="10" t="s">
        <v>59</v>
      </c>
      <c r="M659" s="12">
        <v>11055</v>
      </c>
      <c r="N659" s="12">
        <v>7601</v>
      </c>
      <c r="O659" s="10">
        <v>14</v>
      </c>
      <c r="P659" s="11">
        <v>45661</v>
      </c>
      <c r="Q659" s="10" t="s">
        <v>33</v>
      </c>
      <c r="R659" s="10" t="s">
        <v>33</v>
      </c>
      <c r="S659" s="10" t="s">
        <v>34</v>
      </c>
      <c r="T659" s="13">
        <v>1.4543999999999999</v>
      </c>
      <c r="U659" s="14">
        <v>128</v>
      </c>
      <c r="V659" s="14">
        <v>2024</v>
      </c>
      <c r="W659" s="10" t="s">
        <v>89</v>
      </c>
    </row>
    <row r="660" spans="1:23" s="9" customFormat="1" ht="15.75" hidden="1" customHeight="1" x14ac:dyDescent="0.25">
      <c r="A660" s="4" t="s">
        <v>2038</v>
      </c>
      <c r="B660" s="4" t="s">
        <v>2039</v>
      </c>
      <c r="C660" s="4" t="s">
        <v>2040</v>
      </c>
      <c r="D660" s="22" t="s">
        <v>6090</v>
      </c>
      <c r="E660" s="4" t="s">
        <v>26</v>
      </c>
      <c r="F660" s="21" t="s">
        <v>6092</v>
      </c>
      <c r="G660" s="4" t="s">
        <v>28</v>
      </c>
      <c r="H660" s="4" t="s">
        <v>29</v>
      </c>
      <c r="I660" s="5">
        <v>45212</v>
      </c>
      <c r="J660" s="4" t="s">
        <v>40</v>
      </c>
      <c r="K660" s="5">
        <v>45381</v>
      </c>
      <c r="L660" s="4" t="s">
        <v>59</v>
      </c>
      <c r="M660" s="6">
        <v>5587</v>
      </c>
      <c r="N660" s="6">
        <v>555</v>
      </c>
      <c r="O660" s="4">
        <v>37</v>
      </c>
      <c r="P660" s="5">
        <v>45418</v>
      </c>
      <c r="Q660" s="4" t="s">
        <v>33</v>
      </c>
      <c r="R660" s="4" t="s">
        <v>33</v>
      </c>
      <c r="S660" s="4" t="s">
        <v>60</v>
      </c>
      <c r="T660" s="7">
        <v>10.066700000000001</v>
      </c>
      <c r="U660" s="8">
        <v>169</v>
      </c>
      <c r="V660" s="8">
        <v>2024</v>
      </c>
      <c r="W660" s="4" t="s">
        <v>77</v>
      </c>
    </row>
    <row r="661" spans="1:23" s="9" customFormat="1" ht="15.75" hidden="1" customHeight="1" x14ac:dyDescent="0.25">
      <c r="A661" s="10" t="s">
        <v>2041</v>
      </c>
      <c r="B661" s="10" t="s">
        <v>2042</v>
      </c>
      <c r="C661" s="10" t="s">
        <v>2043</v>
      </c>
      <c r="D661" s="21" t="s">
        <v>6091</v>
      </c>
      <c r="E661" s="10" t="s">
        <v>87</v>
      </c>
      <c r="F661" s="10" t="s">
        <v>71</v>
      </c>
      <c r="G661" s="10" t="s">
        <v>5</v>
      </c>
      <c r="H661" s="10" t="s">
        <v>29</v>
      </c>
      <c r="I661" s="11">
        <v>45480</v>
      </c>
      <c r="J661" s="10" t="s">
        <v>40</v>
      </c>
      <c r="K661" s="11">
        <v>45625</v>
      </c>
      <c r="L661" s="10" t="s">
        <v>31</v>
      </c>
      <c r="M661" s="12">
        <v>18941</v>
      </c>
      <c r="N661" s="12">
        <v>2281</v>
      </c>
      <c r="O661" s="10" t="s">
        <v>32</v>
      </c>
      <c r="P661" s="10" t="s">
        <v>32</v>
      </c>
      <c r="Q661" s="10" t="s">
        <v>33</v>
      </c>
      <c r="R661" s="10" t="s">
        <v>33</v>
      </c>
      <c r="S661" s="10" t="s">
        <v>34</v>
      </c>
      <c r="T661" s="13">
        <v>8.3038000000000007</v>
      </c>
      <c r="U661" s="14">
        <v>145</v>
      </c>
      <c r="V661" s="14">
        <v>2024</v>
      </c>
      <c r="W661" s="10" t="s">
        <v>61</v>
      </c>
    </row>
    <row r="662" spans="1:23" s="9" customFormat="1" ht="15.75" hidden="1" customHeight="1" x14ac:dyDescent="0.25">
      <c r="A662" s="4" t="s">
        <v>2044</v>
      </c>
      <c r="B662" s="4" t="s">
        <v>2045</v>
      </c>
      <c r="C662" s="4" t="s">
        <v>2046</v>
      </c>
      <c r="D662" s="21" t="s">
        <v>6086</v>
      </c>
      <c r="E662" s="4" t="s">
        <v>51</v>
      </c>
      <c r="F662" s="4" t="s">
        <v>27</v>
      </c>
      <c r="G662" s="4" t="s">
        <v>5</v>
      </c>
      <c r="H662" s="4" t="s">
        <v>118</v>
      </c>
      <c r="I662" s="5">
        <v>45098</v>
      </c>
      <c r="J662" s="4" t="s">
        <v>30</v>
      </c>
      <c r="K662" s="5">
        <v>45334</v>
      </c>
      <c r="L662" s="4" t="s">
        <v>31</v>
      </c>
      <c r="M662" s="6">
        <v>90930</v>
      </c>
      <c r="N662" s="6">
        <v>2780</v>
      </c>
      <c r="O662" s="4" t="s">
        <v>32</v>
      </c>
      <c r="P662" s="4" t="s">
        <v>32</v>
      </c>
      <c r="Q662" s="4" t="s">
        <v>33</v>
      </c>
      <c r="R662" s="4" t="s">
        <v>33</v>
      </c>
      <c r="S662" s="4" t="s">
        <v>60</v>
      </c>
      <c r="T662" s="7">
        <v>32.708599999999997</v>
      </c>
      <c r="U662" s="8">
        <v>236</v>
      </c>
      <c r="V662" s="8">
        <v>2024</v>
      </c>
      <c r="W662" s="4" t="s">
        <v>35</v>
      </c>
    </row>
    <row r="663" spans="1:23" s="9" customFormat="1" ht="15.75" hidden="1" customHeight="1" x14ac:dyDescent="0.25">
      <c r="A663" s="10" t="s">
        <v>2047</v>
      </c>
      <c r="B663" s="10" t="s">
        <v>2048</v>
      </c>
      <c r="C663" s="10" t="s">
        <v>2049</v>
      </c>
      <c r="D663" s="22" t="s">
        <v>6087</v>
      </c>
      <c r="E663" s="10" t="s">
        <v>26</v>
      </c>
      <c r="F663" s="10" t="s">
        <v>65</v>
      </c>
      <c r="G663" s="10" t="s">
        <v>28</v>
      </c>
      <c r="H663" s="10" t="s">
        <v>93</v>
      </c>
      <c r="I663" s="11">
        <v>45229</v>
      </c>
      <c r="J663" s="10" t="s">
        <v>30</v>
      </c>
      <c r="K663" s="11">
        <v>45343</v>
      </c>
      <c r="L663" s="10" t="s">
        <v>66</v>
      </c>
      <c r="M663" s="12">
        <v>15833</v>
      </c>
      <c r="N663" s="12">
        <v>4703</v>
      </c>
      <c r="O663" s="10" t="s">
        <v>32</v>
      </c>
      <c r="P663" s="10" t="s">
        <v>32</v>
      </c>
      <c r="Q663" s="10" t="s">
        <v>33</v>
      </c>
      <c r="R663" s="10" t="s">
        <v>33</v>
      </c>
      <c r="S663" s="10" t="s">
        <v>60</v>
      </c>
      <c r="T663" s="13">
        <v>3.3666</v>
      </c>
      <c r="U663" s="14">
        <v>114</v>
      </c>
      <c r="V663" s="14">
        <v>2024</v>
      </c>
      <c r="W663" s="10" t="s">
        <v>35</v>
      </c>
    </row>
    <row r="664" spans="1:23" s="9" customFormat="1" ht="15.75" hidden="1" customHeight="1" x14ac:dyDescent="0.25">
      <c r="A664" s="4" t="s">
        <v>2050</v>
      </c>
      <c r="B664" s="4" t="s">
        <v>2051</v>
      </c>
      <c r="C664" s="4" t="s">
        <v>2052</v>
      </c>
      <c r="D664" s="22" t="s">
        <v>6087</v>
      </c>
      <c r="E664" s="4" t="s">
        <v>87</v>
      </c>
      <c r="F664" s="4" t="s">
        <v>71</v>
      </c>
      <c r="G664" s="4" t="s">
        <v>5</v>
      </c>
      <c r="H664" s="4" t="s">
        <v>93</v>
      </c>
      <c r="I664" s="5">
        <v>45411</v>
      </c>
      <c r="J664" s="4" t="s">
        <v>40</v>
      </c>
      <c r="K664" s="5">
        <v>45579</v>
      </c>
      <c r="L664" s="4" t="s">
        <v>59</v>
      </c>
      <c r="M664" s="6">
        <v>5730</v>
      </c>
      <c r="N664" s="6">
        <v>6147</v>
      </c>
      <c r="O664" s="4">
        <v>35</v>
      </c>
      <c r="P664" s="5">
        <v>45614</v>
      </c>
      <c r="Q664" s="4" t="s">
        <v>33</v>
      </c>
      <c r="R664" s="4" t="s">
        <v>33</v>
      </c>
      <c r="S664" s="4" t="s">
        <v>41</v>
      </c>
      <c r="T664" s="7">
        <v>0.93220000000000003</v>
      </c>
      <c r="U664" s="8">
        <v>168</v>
      </c>
      <c r="V664" s="8">
        <v>2024</v>
      </c>
      <c r="W664" s="4" t="s">
        <v>95</v>
      </c>
    </row>
    <row r="665" spans="1:23" s="9" customFormat="1" ht="15.75" hidden="1" customHeight="1" x14ac:dyDescent="0.25">
      <c r="A665" s="10" t="s">
        <v>2053</v>
      </c>
      <c r="B665" s="10" t="s">
        <v>2054</v>
      </c>
      <c r="C665" s="10" t="s">
        <v>2055</v>
      </c>
      <c r="D665" s="21" t="s">
        <v>6088</v>
      </c>
      <c r="E665" s="10" t="s">
        <v>51</v>
      </c>
      <c r="F665" s="10" t="s">
        <v>71</v>
      </c>
      <c r="G665" s="10" t="s">
        <v>28</v>
      </c>
      <c r="H665" s="10" t="s">
        <v>88</v>
      </c>
      <c r="I665" s="11">
        <v>45107</v>
      </c>
      <c r="J665" s="10" t="s">
        <v>30</v>
      </c>
      <c r="K665" s="11">
        <v>45472</v>
      </c>
      <c r="L665" s="10" t="s">
        <v>59</v>
      </c>
      <c r="M665" s="12">
        <v>48639</v>
      </c>
      <c r="N665" s="12">
        <v>7965</v>
      </c>
      <c r="O665" s="10">
        <v>22</v>
      </c>
      <c r="P665" s="11">
        <v>45494</v>
      </c>
      <c r="Q665" s="10" t="s">
        <v>33</v>
      </c>
      <c r="R665" s="10" t="s">
        <v>33</v>
      </c>
      <c r="S665" s="10" t="s">
        <v>41</v>
      </c>
      <c r="T665" s="13">
        <v>6.1066000000000003</v>
      </c>
      <c r="U665" s="14">
        <v>365</v>
      </c>
      <c r="V665" s="14">
        <v>2024</v>
      </c>
      <c r="W665" s="10" t="s">
        <v>67</v>
      </c>
    </row>
    <row r="666" spans="1:23" s="9" customFormat="1" ht="15.75" hidden="1" customHeight="1" x14ac:dyDescent="0.25">
      <c r="A666" s="4" t="s">
        <v>2056</v>
      </c>
      <c r="B666" s="4" t="s">
        <v>2057</v>
      </c>
      <c r="C666" s="4" t="s">
        <v>2058</v>
      </c>
      <c r="D666" s="21" t="s">
        <v>6086</v>
      </c>
      <c r="E666" s="4" t="s">
        <v>87</v>
      </c>
      <c r="F666" s="4" t="s">
        <v>65</v>
      </c>
      <c r="G666" s="4" t="s">
        <v>5</v>
      </c>
      <c r="H666" s="4" t="s">
        <v>118</v>
      </c>
      <c r="I666" s="5">
        <v>45420</v>
      </c>
      <c r="J666" s="4" t="s">
        <v>30</v>
      </c>
      <c r="K666" s="5">
        <v>45522</v>
      </c>
      <c r="L666" s="4" t="s">
        <v>59</v>
      </c>
      <c r="M666" s="6">
        <v>96711</v>
      </c>
      <c r="N666" s="6">
        <v>992</v>
      </c>
      <c r="O666" s="4">
        <v>20</v>
      </c>
      <c r="P666" s="5">
        <v>45542</v>
      </c>
      <c r="Q666" s="4" t="s">
        <v>33</v>
      </c>
      <c r="R666" s="4" t="s">
        <v>33</v>
      </c>
      <c r="S666" s="4" t="s">
        <v>60</v>
      </c>
      <c r="T666" s="7">
        <v>97.490899999999996</v>
      </c>
      <c r="U666" s="8">
        <v>102</v>
      </c>
      <c r="V666" s="8">
        <v>2024</v>
      </c>
      <c r="W666" s="4" t="s">
        <v>114</v>
      </c>
    </row>
    <row r="667" spans="1:23" s="9" customFormat="1" ht="15.75" hidden="1" customHeight="1" x14ac:dyDescent="0.25">
      <c r="A667" s="10" t="s">
        <v>2059</v>
      </c>
      <c r="B667" s="10" t="s">
        <v>2060</v>
      </c>
      <c r="C667" s="10" t="s">
        <v>2061</v>
      </c>
      <c r="D667" s="22" t="s">
        <v>6087</v>
      </c>
      <c r="E667" s="10" t="s">
        <v>26</v>
      </c>
      <c r="F667" s="21" t="s">
        <v>6092</v>
      </c>
      <c r="G667" s="10" t="s">
        <v>5</v>
      </c>
      <c r="H667" s="10" t="s">
        <v>29</v>
      </c>
      <c r="I667" s="11">
        <v>45448</v>
      </c>
      <c r="J667" s="10" t="s">
        <v>40</v>
      </c>
      <c r="K667" s="11">
        <v>45589</v>
      </c>
      <c r="L667" s="10" t="s">
        <v>59</v>
      </c>
      <c r="M667" s="12">
        <v>29696</v>
      </c>
      <c r="N667" s="12">
        <v>2541</v>
      </c>
      <c r="O667" s="10">
        <v>16</v>
      </c>
      <c r="P667" s="11">
        <v>45605</v>
      </c>
      <c r="Q667" s="10" t="s">
        <v>33</v>
      </c>
      <c r="R667" s="10" t="s">
        <v>33</v>
      </c>
      <c r="S667" s="10" t="s">
        <v>41</v>
      </c>
      <c r="T667" s="13">
        <v>11.6867</v>
      </c>
      <c r="U667" s="14">
        <v>141</v>
      </c>
      <c r="V667" s="14">
        <v>2024</v>
      </c>
      <c r="W667" s="10" t="s">
        <v>95</v>
      </c>
    </row>
    <row r="668" spans="1:23" s="9" customFormat="1" ht="15.75" hidden="1" customHeight="1" x14ac:dyDescent="0.25">
      <c r="A668" s="4" t="s">
        <v>2062</v>
      </c>
      <c r="B668" s="4" t="s">
        <v>2063</v>
      </c>
      <c r="C668" s="4" t="s">
        <v>2064</v>
      </c>
      <c r="D668" s="21" t="s">
        <v>6091</v>
      </c>
      <c r="E668" s="4" t="s">
        <v>51</v>
      </c>
      <c r="F668" s="4" t="s">
        <v>65</v>
      </c>
      <c r="G668" s="4" t="s">
        <v>57</v>
      </c>
      <c r="H668" s="4" t="s">
        <v>39</v>
      </c>
      <c r="I668" s="5">
        <v>44995</v>
      </c>
      <c r="J668" s="4" t="s">
        <v>30</v>
      </c>
      <c r="K668" s="5">
        <v>45302</v>
      </c>
      <c r="L668" s="4" t="s">
        <v>59</v>
      </c>
      <c r="M668" s="6">
        <v>8490</v>
      </c>
      <c r="N668" s="6">
        <v>1815</v>
      </c>
      <c r="O668" s="4">
        <v>24</v>
      </c>
      <c r="P668" s="5">
        <v>45326</v>
      </c>
      <c r="Q668" s="4" t="s">
        <v>33</v>
      </c>
      <c r="R668" s="4" t="s">
        <v>33</v>
      </c>
      <c r="S668" s="4" t="s">
        <v>41</v>
      </c>
      <c r="T668" s="7">
        <v>4.6776999999999997</v>
      </c>
      <c r="U668" s="8">
        <v>307</v>
      </c>
      <c r="V668" s="8">
        <v>2024</v>
      </c>
      <c r="W668" s="4" t="s">
        <v>73</v>
      </c>
    </row>
    <row r="669" spans="1:23" s="9" customFormat="1" ht="15.75" hidden="1" customHeight="1" x14ac:dyDescent="0.25">
      <c r="A669" s="10" t="s">
        <v>2065</v>
      </c>
      <c r="B669" s="10" t="s">
        <v>2066</v>
      </c>
      <c r="C669" s="10" t="s">
        <v>2067</v>
      </c>
      <c r="D669" s="22" t="s">
        <v>6087</v>
      </c>
      <c r="E669" s="10" t="s">
        <v>87</v>
      </c>
      <c r="F669" s="21" t="s">
        <v>6092</v>
      </c>
      <c r="G669" s="10" t="s">
        <v>5</v>
      </c>
      <c r="H669" s="10" t="s">
        <v>118</v>
      </c>
      <c r="I669" s="11">
        <v>45234</v>
      </c>
      <c r="J669" s="10" t="s">
        <v>30</v>
      </c>
      <c r="K669" s="11">
        <v>45390</v>
      </c>
      <c r="L669" s="10" t="s">
        <v>59</v>
      </c>
      <c r="M669" s="12">
        <v>17091</v>
      </c>
      <c r="N669" s="12">
        <v>8264</v>
      </c>
      <c r="O669" s="10">
        <v>5</v>
      </c>
      <c r="P669" s="11">
        <v>45395</v>
      </c>
      <c r="Q669" s="10" t="s">
        <v>33</v>
      </c>
      <c r="R669" s="10" t="s">
        <v>33</v>
      </c>
      <c r="S669" s="10" t="s">
        <v>60</v>
      </c>
      <c r="T669" s="13">
        <v>2.0680999999999998</v>
      </c>
      <c r="U669" s="14">
        <v>156</v>
      </c>
      <c r="V669" s="14">
        <v>2024</v>
      </c>
      <c r="W669" s="10" t="s">
        <v>47</v>
      </c>
    </row>
    <row r="670" spans="1:23" s="9" customFormat="1" ht="15.75" hidden="1" customHeight="1" x14ac:dyDescent="0.25">
      <c r="A670" s="4" t="s">
        <v>2068</v>
      </c>
      <c r="B670" s="4" t="s">
        <v>2069</v>
      </c>
      <c r="C670" s="4" t="s">
        <v>2070</v>
      </c>
      <c r="D670" s="22" t="s">
        <v>6090</v>
      </c>
      <c r="E670" s="4" t="s">
        <v>87</v>
      </c>
      <c r="F670" s="21" t="s">
        <v>6092</v>
      </c>
      <c r="G670" s="4" t="s">
        <v>57</v>
      </c>
      <c r="H670" s="4" t="s">
        <v>88</v>
      </c>
      <c r="I670" s="5">
        <v>45316</v>
      </c>
      <c r="J670" s="4" t="s">
        <v>30</v>
      </c>
      <c r="K670" s="5">
        <v>45396</v>
      </c>
      <c r="L670" s="4" t="s">
        <v>66</v>
      </c>
      <c r="M670" s="6">
        <v>52229</v>
      </c>
      <c r="N670" s="6">
        <v>8765</v>
      </c>
      <c r="O670" s="4" t="s">
        <v>32</v>
      </c>
      <c r="P670" s="4" t="s">
        <v>32</v>
      </c>
      <c r="Q670" s="4" t="s">
        <v>33</v>
      </c>
      <c r="R670" s="4" t="s">
        <v>33</v>
      </c>
      <c r="S670" s="4" t="s">
        <v>34</v>
      </c>
      <c r="T670" s="7">
        <v>5.9588000000000001</v>
      </c>
      <c r="U670" s="8">
        <v>80</v>
      </c>
      <c r="V670" s="8">
        <v>2024</v>
      </c>
      <c r="W670" s="4" t="s">
        <v>47</v>
      </c>
    </row>
    <row r="671" spans="1:23" s="9" customFormat="1" ht="15.75" hidden="1" customHeight="1" x14ac:dyDescent="0.25">
      <c r="A671" s="10" t="s">
        <v>2071</v>
      </c>
      <c r="B671" s="10" t="s">
        <v>2072</v>
      </c>
      <c r="C671" s="10" t="s">
        <v>2073</v>
      </c>
      <c r="D671" s="21" t="s">
        <v>6089</v>
      </c>
      <c r="E671" s="10" t="s">
        <v>26</v>
      </c>
      <c r="F671" s="10" t="s">
        <v>65</v>
      </c>
      <c r="G671" s="10" t="s">
        <v>5</v>
      </c>
      <c r="H671" s="10" t="s">
        <v>39</v>
      </c>
      <c r="I671" s="11">
        <v>45497</v>
      </c>
      <c r="J671" s="10" t="s">
        <v>30</v>
      </c>
      <c r="K671" s="11">
        <v>45530</v>
      </c>
      <c r="L671" s="10" t="s">
        <v>31</v>
      </c>
      <c r="M671" s="12">
        <v>33041</v>
      </c>
      <c r="N671" s="12">
        <v>8881</v>
      </c>
      <c r="O671" s="10" t="s">
        <v>32</v>
      </c>
      <c r="P671" s="10" t="s">
        <v>32</v>
      </c>
      <c r="Q671" s="10" t="s">
        <v>33</v>
      </c>
      <c r="R671" s="10" t="s">
        <v>33</v>
      </c>
      <c r="S671" s="10" t="s">
        <v>34</v>
      </c>
      <c r="T671" s="13">
        <v>3.7204000000000002</v>
      </c>
      <c r="U671" s="14">
        <v>33</v>
      </c>
      <c r="V671" s="14">
        <v>2024</v>
      </c>
      <c r="W671" s="10" t="s">
        <v>114</v>
      </c>
    </row>
    <row r="672" spans="1:23" s="9" customFormat="1" ht="15.75" hidden="1" customHeight="1" x14ac:dyDescent="0.25">
      <c r="A672" s="4" t="s">
        <v>2074</v>
      </c>
      <c r="B672" s="4" t="s">
        <v>2075</v>
      </c>
      <c r="C672" s="4" t="s">
        <v>2076</v>
      </c>
      <c r="D672" s="22" t="s">
        <v>6090</v>
      </c>
      <c r="E672" s="4" t="s">
        <v>51</v>
      </c>
      <c r="F672" s="21" t="s">
        <v>6092</v>
      </c>
      <c r="G672" s="4" t="s">
        <v>57</v>
      </c>
      <c r="H672" s="4" t="s">
        <v>29</v>
      </c>
      <c r="I672" s="5">
        <v>45385</v>
      </c>
      <c r="J672" s="4" t="s">
        <v>40</v>
      </c>
      <c r="K672" s="5">
        <v>45561</v>
      </c>
      <c r="L672" s="4" t="s">
        <v>66</v>
      </c>
      <c r="M672" s="6">
        <v>40938</v>
      </c>
      <c r="N672" s="6">
        <v>7555</v>
      </c>
      <c r="O672" s="4" t="s">
        <v>32</v>
      </c>
      <c r="P672" s="4" t="s">
        <v>32</v>
      </c>
      <c r="Q672" s="4" t="s">
        <v>33</v>
      </c>
      <c r="R672" s="4" t="s">
        <v>33</v>
      </c>
      <c r="S672" s="4" t="s">
        <v>34</v>
      </c>
      <c r="T672" s="7">
        <v>5.4187000000000003</v>
      </c>
      <c r="U672" s="8">
        <v>176</v>
      </c>
      <c r="V672" s="8">
        <v>2024</v>
      </c>
      <c r="W672" s="4" t="s">
        <v>168</v>
      </c>
    </row>
    <row r="673" spans="1:23" s="9" customFormat="1" ht="15.75" hidden="1" customHeight="1" x14ac:dyDescent="0.25">
      <c r="A673" s="10" t="s">
        <v>2077</v>
      </c>
      <c r="B673" s="10" t="s">
        <v>2078</v>
      </c>
      <c r="C673" s="10" t="s">
        <v>2079</v>
      </c>
      <c r="D673" s="21" t="s">
        <v>6089</v>
      </c>
      <c r="E673" s="10" t="s">
        <v>87</v>
      </c>
      <c r="F673" s="10" t="s">
        <v>56</v>
      </c>
      <c r="G673" s="10" t="s">
        <v>57</v>
      </c>
      <c r="H673" s="10" t="s">
        <v>29</v>
      </c>
      <c r="I673" s="11">
        <v>45277</v>
      </c>
      <c r="J673" s="10" t="s">
        <v>30</v>
      </c>
      <c r="K673" s="11">
        <v>45463</v>
      </c>
      <c r="L673" s="10" t="s">
        <v>59</v>
      </c>
      <c r="M673" s="12">
        <v>26058</v>
      </c>
      <c r="N673" s="12">
        <v>7708</v>
      </c>
      <c r="O673" s="10">
        <v>9</v>
      </c>
      <c r="P673" s="11">
        <v>45472</v>
      </c>
      <c r="Q673" s="10" t="s">
        <v>94</v>
      </c>
      <c r="R673" s="10" t="s">
        <v>33</v>
      </c>
      <c r="S673" s="10" t="s">
        <v>41</v>
      </c>
      <c r="T673" s="13">
        <v>3.3805999999999998</v>
      </c>
      <c r="U673" s="14">
        <v>186</v>
      </c>
      <c r="V673" s="14">
        <v>2024</v>
      </c>
      <c r="W673" s="10" t="s">
        <v>67</v>
      </c>
    </row>
    <row r="674" spans="1:23" s="9" customFormat="1" ht="15.75" hidden="1" customHeight="1" x14ac:dyDescent="0.25">
      <c r="A674" s="4" t="s">
        <v>2080</v>
      </c>
      <c r="B674" s="4" t="s">
        <v>2081</v>
      </c>
      <c r="C674" s="4" t="s">
        <v>2082</v>
      </c>
      <c r="D674" s="21" t="s">
        <v>6089</v>
      </c>
      <c r="E674" s="4" t="s">
        <v>87</v>
      </c>
      <c r="F674" s="4" t="s">
        <v>56</v>
      </c>
      <c r="G674" s="4" t="s">
        <v>5</v>
      </c>
      <c r="H674" s="4" t="s">
        <v>161</v>
      </c>
      <c r="I674" s="5">
        <v>45436</v>
      </c>
      <c r="J674" s="4" t="s">
        <v>30</v>
      </c>
      <c r="K674" s="5">
        <v>45612</v>
      </c>
      <c r="L674" s="4" t="s">
        <v>66</v>
      </c>
      <c r="M674" s="6">
        <v>20972</v>
      </c>
      <c r="N674" s="6">
        <v>1797</v>
      </c>
      <c r="O674" s="4" t="s">
        <v>32</v>
      </c>
      <c r="P674" s="4" t="s">
        <v>32</v>
      </c>
      <c r="Q674" s="4" t="s">
        <v>33</v>
      </c>
      <c r="R674" s="4" t="s">
        <v>33</v>
      </c>
      <c r="S674" s="4" t="s">
        <v>34</v>
      </c>
      <c r="T674" s="7">
        <v>11.6706</v>
      </c>
      <c r="U674" s="8">
        <v>176</v>
      </c>
      <c r="V674" s="8">
        <v>2024</v>
      </c>
      <c r="W674" s="4" t="s">
        <v>61</v>
      </c>
    </row>
    <row r="675" spans="1:23" s="9" customFormat="1" ht="15.75" hidden="1" customHeight="1" x14ac:dyDescent="0.25">
      <c r="A675" s="10" t="s">
        <v>2083</v>
      </c>
      <c r="B675" s="10" t="s">
        <v>2084</v>
      </c>
      <c r="C675" s="10" t="s">
        <v>2085</v>
      </c>
      <c r="D675" s="21" t="s">
        <v>6089</v>
      </c>
      <c r="E675" s="10" t="s">
        <v>51</v>
      </c>
      <c r="F675" s="10" t="s">
        <v>46</v>
      </c>
      <c r="G675" s="10" t="s">
        <v>5</v>
      </c>
      <c r="H675" s="10" t="s">
        <v>29</v>
      </c>
      <c r="I675" s="11">
        <v>45323</v>
      </c>
      <c r="J675" s="10" t="s">
        <v>40</v>
      </c>
      <c r="K675" s="11">
        <v>45379</v>
      </c>
      <c r="L675" s="10" t="s">
        <v>59</v>
      </c>
      <c r="M675" s="12">
        <v>26612</v>
      </c>
      <c r="N675" s="12">
        <v>7047</v>
      </c>
      <c r="O675" s="10">
        <v>28</v>
      </c>
      <c r="P675" s="11">
        <v>45407</v>
      </c>
      <c r="Q675" s="10" t="s">
        <v>33</v>
      </c>
      <c r="R675" s="10" t="s">
        <v>33</v>
      </c>
      <c r="S675" s="10" t="s">
        <v>60</v>
      </c>
      <c r="T675" s="13">
        <v>3.7764000000000002</v>
      </c>
      <c r="U675" s="14">
        <v>56</v>
      </c>
      <c r="V675" s="14">
        <v>2024</v>
      </c>
      <c r="W675" s="10" t="s">
        <v>77</v>
      </c>
    </row>
    <row r="676" spans="1:23" s="9" customFormat="1" ht="15.75" hidden="1" customHeight="1" x14ac:dyDescent="0.25">
      <c r="A676" s="4" t="s">
        <v>2086</v>
      </c>
      <c r="B676" s="4" t="s">
        <v>2087</v>
      </c>
      <c r="C676" s="4" t="s">
        <v>2088</v>
      </c>
      <c r="D676" s="21" t="s">
        <v>6089</v>
      </c>
      <c r="E676" s="4" t="s">
        <v>26</v>
      </c>
      <c r="F676" s="4" t="s">
        <v>65</v>
      </c>
      <c r="G676" s="4" t="s">
        <v>28</v>
      </c>
      <c r="H676" s="4" t="s">
        <v>88</v>
      </c>
      <c r="I676" s="5">
        <v>45321</v>
      </c>
      <c r="J676" s="4" t="s">
        <v>40</v>
      </c>
      <c r="K676" s="5">
        <v>45569</v>
      </c>
      <c r="L676" s="4" t="s">
        <v>59</v>
      </c>
      <c r="M676" s="6">
        <v>57954</v>
      </c>
      <c r="N676" s="6">
        <v>3190</v>
      </c>
      <c r="O676" s="4">
        <v>39</v>
      </c>
      <c r="P676" s="5">
        <v>45608</v>
      </c>
      <c r="Q676" s="4" t="s">
        <v>33</v>
      </c>
      <c r="R676" s="4" t="s">
        <v>33</v>
      </c>
      <c r="S676" s="4" t="s">
        <v>34</v>
      </c>
      <c r="T676" s="7">
        <v>18.167400000000001</v>
      </c>
      <c r="U676" s="8">
        <v>248</v>
      </c>
      <c r="V676" s="8">
        <v>2024</v>
      </c>
      <c r="W676" s="4" t="s">
        <v>95</v>
      </c>
    </row>
    <row r="677" spans="1:23" s="9" customFormat="1" ht="15.75" hidden="1" customHeight="1" x14ac:dyDescent="0.25">
      <c r="A677" s="10" t="s">
        <v>2089</v>
      </c>
      <c r="B677" s="10" t="s">
        <v>2090</v>
      </c>
      <c r="C677" s="10" t="s">
        <v>2091</v>
      </c>
      <c r="D677" s="21" t="s">
        <v>6088</v>
      </c>
      <c r="E677" s="10" t="s">
        <v>26</v>
      </c>
      <c r="F677" s="10" t="s">
        <v>65</v>
      </c>
      <c r="G677" s="10" t="s">
        <v>5</v>
      </c>
      <c r="H677" s="10" t="s">
        <v>118</v>
      </c>
      <c r="I677" s="11">
        <v>45080</v>
      </c>
      <c r="J677" s="10" t="s">
        <v>30</v>
      </c>
      <c r="K677" s="11">
        <v>45305</v>
      </c>
      <c r="L677" s="10" t="s">
        <v>59</v>
      </c>
      <c r="M677" s="12">
        <v>52602</v>
      </c>
      <c r="N677" s="12">
        <v>4108</v>
      </c>
      <c r="O677" s="10">
        <v>42</v>
      </c>
      <c r="P677" s="11">
        <v>45347</v>
      </c>
      <c r="Q677" s="10" t="s">
        <v>94</v>
      </c>
      <c r="R677" s="10" t="s">
        <v>33</v>
      </c>
      <c r="S677" s="10" t="s">
        <v>41</v>
      </c>
      <c r="T677" s="13">
        <v>12.8048</v>
      </c>
      <c r="U677" s="14">
        <v>225</v>
      </c>
      <c r="V677" s="14">
        <v>2024</v>
      </c>
      <c r="W677" s="10" t="s">
        <v>73</v>
      </c>
    </row>
    <row r="678" spans="1:23" s="9" customFormat="1" ht="15.75" hidden="1" customHeight="1" x14ac:dyDescent="0.25">
      <c r="A678" s="4" t="s">
        <v>2092</v>
      </c>
      <c r="B678" s="4" t="s">
        <v>2093</v>
      </c>
      <c r="C678" s="4" t="s">
        <v>2094</v>
      </c>
      <c r="D678" s="22" t="s">
        <v>6090</v>
      </c>
      <c r="E678" s="4" t="s">
        <v>87</v>
      </c>
      <c r="F678" s="4" t="s">
        <v>46</v>
      </c>
      <c r="G678" s="4" t="s">
        <v>5</v>
      </c>
      <c r="H678" s="4" t="s">
        <v>161</v>
      </c>
      <c r="I678" s="5">
        <v>45135</v>
      </c>
      <c r="J678" s="4" t="s">
        <v>40</v>
      </c>
      <c r="K678" s="5">
        <v>45420</v>
      </c>
      <c r="L678" s="4" t="s">
        <v>66</v>
      </c>
      <c r="M678" s="6">
        <v>52560</v>
      </c>
      <c r="N678" s="6">
        <v>3868</v>
      </c>
      <c r="O678" s="4" t="s">
        <v>32</v>
      </c>
      <c r="P678" s="4" t="s">
        <v>32</v>
      </c>
      <c r="Q678" s="4" t="s">
        <v>33</v>
      </c>
      <c r="R678" s="4" t="s">
        <v>33</v>
      </c>
      <c r="S678" s="4" t="s">
        <v>41</v>
      </c>
      <c r="T678" s="7">
        <v>13.5884</v>
      </c>
      <c r="U678" s="8">
        <v>285</v>
      </c>
      <c r="V678" s="8">
        <v>2024</v>
      </c>
      <c r="W678" s="4" t="s">
        <v>52</v>
      </c>
    </row>
    <row r="679" spans="1:23" s="9" customFormat="1" ht="15.75" hidden="1" customHeight="1" x14ac:dyDescent="0.25">
      <c r="A679" s="10" t="s">
        <v>2095</v>
      </c>
      <c r="B679" s="10" t="s">
        <v>2096</v>
      </c>
      <c r="C679" s="10" t="s">
        <v>2097</v>
      </c>
      <c r="D679" s="21" t="s">
        <v>6088</v>
      </c>
      <c r="E679" s="10" t="s">
        <v>26</v>
      </c>
      <c r="F679" s="10" t="s">
        <v>46</v>
      </c>
      <c r="G679" s="10" t="s">
        <v>28</v>
      </c>
      <c r="H679" s="10" t="s">
        <v>93</v>
      </c>
      <c r="I679" s="11">
        <v>45124</v>
      </c>
      <c r="J679" s="10" t="s">
        <v>40</v>
      </c>
      <c r="K679" s="11">
        <v>45425</v>
      </c>
      <c r="L679" s="10" t="s">
        <v>31</v>
      </c>
      <c r="M679" s="12">
        <v>13739</v>
      </c>
      <c r="N679" s="12">
        <v>7383</v>
      </c>
      <c r="O679" s="10" t="s">
        <v>32</v>
      </c>
      <c r="P679" s="10" t="s">
        <v>32</v>
      </c>
      <c r="Q679" s="10" t="s">
        <v>33</v>
      </c>
      <c r="R679" s="10" t="s">
        <v>33</v>
      </c>
      <c r="S679" s="10" t="s">
        <v>34</v>
      </c>
      <c r="T679" s="13">
        <v>1.8609</v>
      </c>
      <c r="U679" s="14">
        <v>301</v>
      </c>
      <c r="V679" s="14">
        <v>2024</v>
      </c>
      <c r="W679" s="10" t="s">
        <v>52</v>
      </c>
    </row>
    <row r="680" spans="1:23" s="9" customFormat="1" ht="15.75" hidden="1" customHeight="1" x14ac:dyDescent="0.25">
      <c r="A680" s="4" t="s">
        <v>2098</v>
      </c>
      <c r="B680" s="4" t="s">
        <v>2099</v>
      </c>
      <c r="C680" s="4" t="s">
        <v>2100</v>
      </c>
      <c r="D680" s="21" t="s">
        <v>6088</v>
      </c>
      <c r="E680" s="4" t="s">
        <v>87</v>
      </c>
      <c r="F680" s="4" t="s">
        <v>56</v>
      </c>
      <c r="G680" s="4" t="s">
        <v>5</v>
      </c>
      <c r="H680" s="4" t="s">
        <v>58</v>
      </c>
      <c r="I680" s="5">
        <v>45381</v>
      </c>
      <c r="J680" s="4" t="s">
        <v>40</v>
      </c>
      <c r="K680" s="5">
        <v>45441</v>
      </c>
      <c r="L680" s="4" t="s">
        <v>59</v>
      </c>
      <c r="M680" s="6">
        <v>70653</v>
      </c>
      <c r="N680" s="6">
        <v>1720</v>
      </c>
      <c r="O680" s="4">
        <v>41</v>
      </c>
      <c r="P680" s="5">
        <v>45482</v>
      </c>
      <c r="Q680" s="4" t="s">
        <v>33</v>
      </c>
      <c r="R680" s="4" t="s">
        <v>33</v>
      </c>
      <c r="S680" s="4" t="s">
        <v>60</v>
      </c>
      <c r="T680" s="7">
        <v>41.077300000000001</v>
      </c>
      <c r="U680" s="8">
        <v>60</v>
      </c>
      <c r="V680" s="8">
        <v>2024</v>
      </c>
      <c r="W680" s="4" t="s">
        <v>52</v>
      </c>
    </row>
    <row r="681" spans="1:23" s="9" customFormat="1" ht="15.75" hidden="1" customHeight="1" x14ac:dyDescent="0.25">
      <c r="A681" s="10" t="s">
        <v>2101</v>
      </c>
      <c r="B681" s="10" t="s">
        <v>2102</v>
      </c>
      <c r="C681" s="10" t="s">
        <v>2103</v>
      </c>
      <c r="D681" s="21" t="s">
        <v>6086</v>
      </c>
      <c r="E681" s="10" t="s">
        <v>26</v>
      </c>
      <c r="F681" s="10" t="s">
        <v>46</v>
      </c>
      <c r="G681" s="10" t="s">
        <v>28</v>
      </c>
      <c r="H681" s="10" t="s">
        <v>118</v>
      </c>
      <c r="I681" s="11">
        <v>45321</v>
      </c>
      <c r="J681" s="10" t="s">
        <v>40</v>
      </c>
      <c r="K681" s="11">
        <v>45366</v>
      </c>
      <c r="L681" s="10" t="s">
        <v>31</v>
      </c>
      <c r="M681" s="12">
        <v>55651</v>
      </c>
      <c r="N681" s="12">
        <v>7527</v>
      </c>
      <c r="O681" s="10" t="s">
        <v>32</v>
      </c>
      <c r="P681" s="10" t="s">
        <v>32</v>
      </c>
      <c r="Q681" s="10" t="s">
        <v>94</v>
      </c>
      <c r="R681" s="10" t="s">
        <v>33</v>
      </c>
      <c r="S681" s="10" t="s">
        <v>41</v>
      </c>
      <c r="T681" s="13">
        <v>7.3935000000000004</v>
      </c>
      <c r="U681" s="14">
        <v>45</v>
      </c>
      <c r="V681" s="14">
        <v>2024</v>
      </c>
      <c r="W681" s="10" t="s">
        <v>77</v>
      </c>
    </row>
    <row r="682" spans="1:23" s="9" customFormat="1" ht="27.75" customHeight="1" x14ac:dyDescent="0.25">
      <c r="A682" s="4" t="s">
        <v>2104</v>
      </c>
      <c r="B682" s="4" t="s">
        <v>2105</v>
      </c>
      <c r="C682" s="4" t="s">
        <v>2106</v>
      </c>
      <c r="D682" s="21" t="s">
        <v>6088</v>
      </c>
      <c r="E682" s="4" t="s">
        <v>87</v>
      </c>
      <c r="F682" s="10" t="s">
        <v>6092</v>
      </c>
      <c r="G682" s="4" t="s">
        <v>5</v>
      </c>
      <c r="H682" s="4" t="s">
        <v>39</v>
      </c>
      <c r="I682" s="5">
        <v>45314</v>
      </c>
      <c r="J682" s="4" t="s">
        <v>30</v>
      </c>
      <c r="K682" s="5">
        <v>45385</v>
      </c>
      <c r="L682" s="4" t="s">
        <v>59</v>
      </c>
      <c r="M682" s="6">
        <v>45777</v>
      </c>
      <c r="N682" s="6">
        <v>7699</v>
      </c>
      <c r="O682" s="4">
        <v>40</v>
      </c>
      <c r="P682" s="5">
        <v>45425</v>
      </c>
      <c r="Q682" s="4" t="s">
        <v>94</v>
      </c>
      <c r="R682" s="4" t="s">
        <v>94</v>
      </c>
      <c r="S682" s="4" t="s">
        <v>34</v>
      </c>
      <c r="T682" s="7">
        <v>5.9458000000000002</v>
      </c>
      <c r="U682" s="8">
        <v>71</v>
      </c>
      <c r="V682" s="8">
        <v>2024</v>
      </c>
      <c r="W682" s="4" t="s">
        <v>47</v>
      </c>
    </row>
    <row r="683" spans="1:23" s="9" customFormat="1" ht="15.75" hidden="1" customHeight="1" x14ac:dyDescent="0.25">
      <c r="A683" s="10" t="s">
        <v>2107</v>
      </c>
      <c r="B683" s="10" t="s">
        <v>2108</v>
      </c>
      <c r="C683" s="10" t="s">
        <v>2109</v>
      </c>
      <c r="D683" s="22" t="s">
        <v>6087</v>
      </c>
      <c r="E683" s="10" t="s">
        <v>26</v>
      </c>
      <c r="F683" s="10" t="s">
        <v>71</v>
      </c>
      <c r="G683" s="10" t="s">
        <v>28</v>
      </c>
      <c r="H683" s="10" t="s">
        <v>39</v>
      </c>
      <c r="I683" s="11">
        <v>45528</v>
      </c>
      <c r="J683" s="10" t="s">
        <v>40</v>
      </c>
      <c r="K683" s="11">
        <v>45609</v>
      </c>
      <c r="L683" s="10" t="s">
        <v>31</v>
      </c>
      <c r="M683" s="12">
        <v>39415</v>
      </c>
      <c r="N683" s="12">
        <v>4312</v>
      </c>
      <c r="O683" s="10" t="s">
        <v>32</v>
      </c>
      <c r="P683" s="10" t="s">
        <v>32</v>
      </c>
      <c r="Q683" s="10" t="s">
        <v>33</v>
      </c>
      <c r="R683" s="10" t="s">
        <v>33</v>
      </c>
      <c r="S683" s="10" t="s">
        <v>60</v>
      </c>
      <c r="T683" s="13">
        <v>9.1408000000000005</v>
      </c>
      <c r="U683" s="14">
        <v>81</v>
      </c>
      <c r="V683" s="14">
        <v>2024</v>
      </c>
      <c r="W683" s="10" t="s">
        <v>61</v>
      </c>
    </row>
    <row r="684" spans="1:23" s="9" customFormat="1" ht="15.75" hidden="1" customHeight="1" x14ac:dyDescent="0.25">
      <c r="A684" s="4" t="s">
        <v>2110</v>
      </c>
      <c r="B684" s="4" t="s">
        <v>2111</v>
      </c>
      <c r="C684" s="4" t="s">
        <v>2112</v>
      </c>
      <c r="D684" s="22" t="s">
        <v>6090</v>
      </c>
      <c r="E684" s="4" t="s">
        <v>51</v>
      </c>
      <c r="F684" s="4" t="s">
        <v>65</v>
      </c>
      <c r="G684" s="4" t="s">
        <v>5</v>
      </c>
      <c r="H684" s="4" t="s">
        <v>58</v>
      </c>
      <c r="I684" s="5">
        <v>45425</v>
      </c>
      <c r="J684" s="4" t="s">
        <v>30</v>
      </c>
      <c r="K684" s="5">
        <v>45484</v>
      </c>
      <c r="L684" s="4" t="s">
        <v>59</v>
      </c>
      <c r="M684" s="6">
        <v>14405</v>
      </c>
      <c r="N684" s="6">
        <v>8351</v>
      </c>
      <c r="O684" s="4">
        <v>43</v>
      </c>
      <c r="P684" s="5">
        <v>45527</v>
      </c>
      <c r="Q684" s="4" t="s">
        <v>94</v>
      </c>
      <c r="R684" s="4" t="s">
        <v>33</v>
      </c>
      <c r="S684" s="4" t="s">
        <v>60</v>
      </c>
      <c r="T684" s="7">
        <v>1.7249000000000001</v>
      </c>
      <c r="U684" s="8">
        <v>59</v>
      </c>
      <c r="V684" s="8">
        <v>2024</v>
      </c>
      <c r="W684" s="4" t="s">
        <v>42</v>
      </c>
    </row>
    <row r="685" spans="1:23" s="9" customFormat="1" ht="15.75" hidden="1" customHeight="1" x14ac:dyDescent="0.25">
      <c r="A685" s="10" t="s">
        <v>2113</v>
      </c>
      <c r="B685" s="10" t="s">
        <v>2114</v>
      </c>
      <c r="C685" s="10" t="s">
        <v>2115</v>
      </c>
      <c r="D685" s="22" t="s">
        <v>6087</v>
      </c>
      <c r="E685" s="10" t="s">
        <v>26</v>
      </c>
      <c r="F685" s="10" t="s">
        <v>56</v>
      </c>
      <c r="G685" s="10" t="s">
        <v>28</v>
      </c>
      <c r="H685" s="10" t="s">
        <v>72</v>
      </c>
      <c r="I685" s="11">
        <v>45208</v>
      </c>
      <c r="J685" s="10" t="s">
        <v>30</v>
      </c>
      <c r="K685" s="11">
        <v>45409</v>
      </c>
      <c r="L685" s="10" t="s">
        <v>66</v>
      </c>
      <c r="M685" s="12">
        <v>29736</v>
      </c>
      <c r="N685" s="12">
        <v>1599</v>
      </c>
      <c r="O685" s="10" t="s">
        <v>32</v>
      </c>
      <c r="P685" s="10" t="s">
        <v>32</v>
      </c>
      <c r="Q685" s="10" t="s">
        <v>33</v>
      </c>
      <c r="R685" s="10" t="s">
        <v>33</v>
      </c>
      <c r="S685" s="10" t="s">
        <v>60</v>
      </c>
      <c r="T685" s="13">
        <v>18.596599999999999</v>
      </c>
      <c r="U685" s="14">
        <v>201</v>
      </c>
      <c r="V685" s="14">
        <v>2024</v>
      </c>
      <c r="W685" s="10" t="s">
        <v>47</v>
      </c>
    </row>
    <row r="686" spans="1:23" s="9" customFormat="1" ht="15.75" hidden="1" customHeight="1" x14ac:dyDescent="0.25">
      <c r="A686" s="4" t="s">
        <v>2116</v>
      </c>
      <c r="B686" s="4" t="s">
        <v>2117</v>
      </c>
      <c r="C686" s="4" t="s">
        <v>2118</v>
      </c>
      <c r="D686" s="22" t="s">
        <v>6087</v>
      </c>
      <c r="E686" s="4" t="s">
        <v>87</v>
      </c>
      <c r="F686" s="4" t="s">
        <v>71</v>
      </c>
      <c r="G686" s="4" t="s">
        <v>57</v>
      </c>
      <c r="H686" s="4" t="s">
        <v>118</v>
      </c>
      <c r="I686" s="5">
        <v>45525</v>
      </c>
      <c r="J686" s="4" t="s">
        <v>40</v>
      </c>
      <c r="K686" s="5">
        <v>45592</v>
      </c>
      <c r="L686" s="4" t="s">
        <v>31</v>
      </c>
      <c r="M686" s="6">
        <v>14011</v>
      </c>
      <c r="N686" s="6">
        <v>1823</v>
      </c>
      <c r="O686" s="4" t="s">
        <v>32</v>
      </c>
      <c r="P686" s="4" t="s">
        <v>32</v>
      </c>
      <c r="Q686" s="4" t="s">
        <v>33</v>
      </c>
      <c r="R686" s="4" t="s">
        <v>33</v>
      </c>
      <c r="S686" s="4" t="s">
        <v>60</v>
      </c>
      <c r="T686" s="7">
        <v>7.6856999999999998</v>
      </c>
      <c r="U686" s="8">
        <v>67</v>
      </c>
      <c r="V686" s="8">
        <v>2024</v>
      </c>
      <c r="W686" s="4" t="s">
        <v>95</v>
      </c>
    </row>
    <row r="687" spans="1:23" s="9" customFormat="1" ht="15.75" hidden="1" customHeight="1" x14ac:dyDescent="0.25">
      <c r="A687" s="10" t="s">
        <v>2119</v>
      </c>
      <c r="B687" s="10" t="s">
        <v>2120</v>
      </c>
      <c r="C687" s="10" t="s">
        <v>2121</v>
      </c>
      <c r="D687" s="21" t="s">
        <v>6086</v>
      </c>
      <c r="E687" s="10" t="s">
        <v>26</v>
      </c>
      <c r="F687" s="21" t="s">
        <v>6092</v>
      </c>
      <c r="G687" s="10" t="s">
        <v>28</v>
      </c>
      <c r="H687" s="10" t="s">
        <v>72</v>
      </c>
      <c r="I687" s="11">
        <v>45463</v>
      </c>
      <c r="J687" s="10" t="s">
        <v>40</v>
      </c>
      <c r="K687" s="11">
        <v>45619</v>
      </c>
      <c r="L687" s="10" t="s">
        <v>59</v>
      </c>
      <c r="M687" s="12">
        <v>64282</v>
      </c>
      <c r="N687" s="12">
        <v>6444</v>
      </c>
      <c r="O687" s="10">
        <v>45</v>
      </c>
      <c r="P687" s="11">
        <v>45664</v>
      </c>
      <c r="Q687" s="10" t="s">
        <v>33</v>
      </c>
      <c r="R687" s="10" t="s">
        <v>33</v>
      </c>
      <c r="S687" s="10" t="s">
        <v>41</v>
      </c>
      <c r="T687" s="13">
        <v>9.9755000000000003</v>
      </c>
      <c r="U687" s="14">
        <v>156</v>
      </c>
      <c r="V687" s="14">
        <v>2024</v>
      </c>
      <c r="W687" s="10" t="s">
        <v>61</v>
      </c>
    </row>
    <row r="688" spans="1:23" s="9" customFormat="1" ht="15.75" hidden="1" customHeight="1" x14ac:dyDescent="0.25">
      <c r="A688" s="4" t="s">
        <v>2122</v>
      </c>
      <c r="B688" s="4" t="s">
        <v>2123</v>
      </c>
      <c r="C688" s="4" t="s">
        <v>2124</v>
      </c>
      <c r="D688" s="21" t="s">
        <v>6089</v>
      </c>
      <c r="E688" s="4" t="s">
        <v>26</v>
      </c>
      <c r="F688" s="4" t="s">
        <v>65</v>
      </c>
      <c r="G688" s="4" t="s">
        <v>5</v>
      </c>
      <c r="H688" s="4" t="s">
        <v>93</v>
      </c>
      <c r="I688" s="5">
        <v>45228</v>
      </c>
      <c r="J688" s="4" t="s">
        <v>40</v>
      </c>
      <c r="K688" s="5">
        <v>45352</v>
      </c>
      <c r="L688" s="4" t="s">
        <v>31</v>
      </c>
      <c r="M688" s="6">
        <v>59371</v>
      </c>
      <c r="N688" s="6">
        <v>6047</v>
      </c>
      <c r="O688" s="4" t="s">
        <v>32</v>
      </c>
      <c r="P688" s="4" t="s">
        <v>32</v>
      </c>
      <c r="Q688" s="4" t="s">
        <v>33</v>
      </c>
      <c r="R688" s="4" t="s">
        <v>33</v>
      </c>
      <c r="S688" s="4" t="s">
        <v>41</v>
      </c>
      <c r="T688" s="7">
        <v>9.8183000000000007</v>
      </c>
      <c r="U688" s="8">
        <v>124</v>
      </c>
      <c r="V688" s="8">
        <v>2024</v>
      </c>
      <c r="W688" s="4" t="s">
        <v>77</v>
      </c>
    </row>
    <row r="689" spans="1:23" s="9" customFormat="1" ht="15.75" hidden="1" customHeight="1" x14ac:dyDescent="0.25">
      <c r="A689" s="10" t="s">
        <v>2125</v>
      </c>
      <c r="B689" s="10" t="s">
        <v>2126</v>
      </c>
      <c r="C689" s="10" t="s">
        <v>2127</v>
      </c>
      <c r="D689" s="22" t="s">
        <v>6090</v>
      </c>
      <c r="E689" s="10" t="s">
        <v>51</v>
      </c>
      <c r="F689" s="21" t="s">
        <v>6092</v>
      </c>
      <c r="G689" s="10" t="s">
        <v>57</v>
      </c>
      <c r="H689" s="10" t="s">
        <v>39</v>
      </c>
      <c r="I689" s="11">
        <v>45486</v>
      </c>
      <c r="J689" s="10" t="s">
        <v>30</v>
      </c>
      <c r="K689" s="11">
        <v>45569</v>
      </c>
      <c r="L689" s="10" t="s">
        <v>59</v>
      </c>
      <c r="M689" s="12">
        <v>49350</v>
      </c>
      <c r="N689" s="12">
        <v>6888</v>
      </c>
      <c r="O689" s="10">
        <v>13</v>
      </c>
      <c r="P689" s="11">
        <v>45582</v>
      </c>
      <c r="Q689" s="10" t="s">
        <v>33</v>
      </c>
      <c r="R689" s="10" t="s">
        <v>33</v>
      </c>
      <c r="S689" s="10" t="s">
        <v>34</v>
      </c>
      <c r="T689" s="13">
        <v>7.1646000000000001</v>
      </c>
      <c r="U689" s="14">
        <v>83</v>
      </c>
      <c r="V689" s="14">
        <v>2024</v>
      </c>
      <c r="W689" s="10" t="s">
        <v>95</v>
      </c>
    </row>
    <row r="690" spans="1:23" s="9" customFormat="1" ht="15.75" hidden="1" customHeight="1" x14ac:dyDescent="0.25">
      <c r="A690" s="4" t="s">
        <v>2128</v>
      </c>
      <c r="B690" s="4" t="s">
        <v>2129</v>
      </c>
      <c r="C690" s="4" t="s">
        <v>2130</v>
      </c>
      <c r="D690" s="22" t="s">
        <v>6090</v>
      </c>
      <c r="E690" s="4" t="s">
        <v>51</v>
      </c>
      <c r="F690" s="4" t="s">
        <v>27</v>
      </c>
      <c r="G690" s="4" t="s">
        <v>28</v>
      </c>
      <c r="H690" s="4" t="s">
        <v>161</v>
      </c>
      <c r="I690" s="5">
        <v>45153</v>
      </c>
      <c r="J690" s="4" t="s">
        <v>40</v>
      </c>
      <c r="K690" s="5">
        <v>45508</v>
      </c>
      <c r="L690" s="4" t="s">
        <v>59</v>
      </c>
      <c r="M690" s="6">
        <v>32780</v>
      </c>
      <c r="N690" s="6">
        <v>7594</v>
      </c>
      <c r="O690" s="4">
        <v>45</v>
      </c>
      <c r="P690" s="5">
        <v>45553</v>
      </c>
      <c r="Q690" s="4" t="s">
        <v>94</v>
      </c>
      <c r="R690" s="4" t="s">
        <v>33</v>
      </c>
      <c r="S690" s="4" t="s">
        <v>34</v>
      </c>
      <c r="T690" s="7">
        <v>4.3166000000000002</v>
      </c>
      <c r="U690" s="8">
        <v>355</v>
      </c>
      <c r="V690" s="8">
        <v>2024</v>
      </c>
      <c r="W690" s="4" t="s">
        <v>114</v>
      </c>
    </row>
    <row r="691" spans="1:23" s="9" customFormat="1" ht="15.75" hidden="1" customHeight="1" x14ac:dyDescent="0.25">
      <c r="A691" s="10" t="s">
        <v>2131</v>
      </c>
      <c r="B691" s="10" t="s">
        <v>2132</v>
      </c>
      <c r="C691" s="10" t="s">
        <v>2133</v>
      </c>
      <c r="D691" s="21" t="s">
        <v>6086</v>
      </c>
      <c r="E691" s="10" t="s">
        <v>51</v>
      </c>
      <c r="F691" s="10" t="s">
        <v>46</v>
      </c>
      <c r="G691" s="10" t="s">
        <v>5</v>
      </c>
      <c r="H691" s="10" t="s">
        <v>88</v>
      </c>
      <c r="I691" s="11">
        <v>45122</v>
      </c>
      <c r="J691" s="10" t="s">
        <v>30</v>
      </c>
      <c r="K691" s="11">
        <v>45454</v>
      </c>
      <c r="L691" s="10" t="s">
        <v>59</v>
      </c>
      <c r="M691" s="12">
        <v>24978</v>
      </c>
      <c r="N691" s="12">
        <v>5254</v>
      </c>
      <c r="O691" s="10">
        <v>40</v>
      </c>
      <c r="P691" s="11">
        <v>45494</v>
      </c>
      <c r="Q691" s="10" t="s">
        <v>94</v>
      </c>
      <c r="R691" s="10" t="s">
        <v>94</v>
      </c>
      <c r="S691" s="10" t="s">
        <v>41</v>
      </c>
      <c r="T691" s="13">
        <v>4.7541000000000002</v>
      </c>
      <c r="U691" s="14">
        <v>332</v>
      </c>
      <c r="V691" s="14">
        <v>2024</v>
      </c>
      <c r="W691" s="10" t="s">
        <v>67</v>
      </c>
    </row>
    <row r="692" spans="1:23" s="9" customFormat="1" ht="15.75" hidden="1" customHeight="1" x14ac:dyDescent="0.25">
      <c r="A692" s="4" t="s">
        <v>2134</v>
      </c>
      <c r="B692" s="4" t="s">
        <v>2135</v>
      </c>
      <c r="C692" s="4" t="s">
        <v>2136</v>
      </c>
      <c r="D692" s="22" t="s">
        <v>6090</v>
      </c>
      <c r="E692" s="4" t="s">
        <v>26</v>
      </c>
      <c r="F692" s="4" t="s">
        <v>46</v>
      </c>
      <c r="G692" s="4" t="s">
        <v>28</v>
      </c>
      <c r="H692" s="4" t="s">
        <v>88</v>
      </c>
      <c r="I692" s="5">
        <v>45421</v>
      </c>
      <c r="J692" s="4" t="s">
        <v>40</v>
      </c>
      <c r="K692" s="5">
        <v>45473</v>
      </c>
      <c r="L692" s="4" t="s">
        <v>59</v>
      </c>
      <c r="M692" s="6">
        <v>21968</v>
      </c>
      <c r="N692" s="6">
        <v>4702</v>
      </c>
      <c r="O692" s="4">
        <v>36</v>
      </c>
      <c r="P692" s="5">
        <v>45509</v>
      </c>
      <c r="Q692" s="4" t="s">
        <v>33</v>
      </c>
      <c r="R692" s="4" t="s">
        <v>33</v>
      </c>
      <c r="S692" s="4" t="s">
        <v>60</v>
      </c>
      <c r="T692" s="7">
        <v>4.6721000000000004</v>
      </c>
      <c r="U692" s="8">
        <v>52</v>
      </c>
      <c r="V692" s="8">
        <v>2024</v>
      </c>
      <c r="W692" s="4" t="s">
        <v>67</v>
      </c>
    </row>
    <row r="693" spans="1:23" s="9" customFormat="1" ht="15.75" hidden="1" customHeight="1" x14ac:dyDescent="0.25">
      <c r="A693" s="10" t="s">
        <v>2137</v>
      </c>
      <c r="B693" s="10" t="s">
        <v>2138</v>
      </c>
      <c r="C693" s="10" t="s">
        <v>2139</v>
      </c>
      <c r="D693" s="21" t="s">
        <v>6089</v>
      </c>
      <c r="E693" s="10" t="s">
        <v>26</v>
      </c>
      <c r="F693" s="10" t="s">
        <v>56</v>
      </c>
      <c r="G693" s="10" t="s">
        <v>5</v>
      </c>
      <c r="H693" s="10" t="s">
        <v>72</v>
      </c>
      <c r="I693" s="11">
        <v>45405</v>
      </c>
      <c r="J693" s="10" t="s">
        <v>30</v>
      </c>
      <c r="K693" s="11">
        <v>45488</v>
      </c>
      <c r="L693" s="10" t="s">
        <v>59</v>
      </c>
      <c r="M693" s="12">
        <v>21916</v>
      </c>
      <c r="N693" s="12">
        <v>7825</v>
      </c>
      <c r="O693" s="10">
        <v>10</v>
      </c>
      <c r="P693" s="11">
        <v>45498</v>
      </c>
      <c r="Q693" s="10" t="s">
        <v>33</v>
      </c>
      <c r="R693" s="10" t="s">
        <v>33</v>
      </c>
      <c r="S693" s="10" t="s">
        <v>34</v>
      </c>
      <c r="T693" s="13">
        <v>2.8008000000000002</v>
      </c>
      <c r="U693" s="14">
        <v>83</v>
      </c>
      <c r="V693" s="14">
        <v>2024</v>
      </c>
      <c r="W693" s="10" t="s">
        <v>42</v>
      </c>
    </row>
    <row r="694" spans="1:23" s="9" customFormat="1" ht="15.75" hidden="1" customHeight="1" x14ac:dyDescent="0.25">
      <c r="A694" s="4" t="s">
        <v>2140</v>
      </c>
      <c r="B694" s="4" t="s">
        <v>2141</v>
      </c>
      <c r="C694" s="4" t="s">
        <v>2142</v>
      </c>
      <c r="D694" s="21" t="s">
        <v>6086</v>
      </c>
      <c r="E694" s="4" t="s">
        <v>51</v>
      </c>
      <c r="F694" s="4" t="s">
        <v>46</v>
      </c>
      <c r="G694" s="4" t="s">
        <v>57</v>
      </c>
      <c r="H694" s="4" t="s">
        <v>72</v>
      </c>
      <c r="I694" s="5">
        <v>45527</v>
      </c>
      <c r="J694" s="4" t="s">
        <v>30</v>
      </c>
      <c r="K694" s="5">
        <v>45605</v>
      </c>
      <c r="L694" s="4" t="s">
        <v>31</v>
      </c>
      <c r="M694" s="6">
        <v>54007</v>
      </c>
      <c r="N694" s="6">
        <v>6430</v>
      </c>
      <c r="O694" s="4" t="s">
        <v>32</v>
      </c>
      <c r="P694" s="4" t="s">
        <v>32</v>
      </c>
      <c r="Q694" s="4" t="s">
        <v>33</v>
      </c>
      <c r="R694" s="4" t="s">
        <v>33</v>
      </c>
      <c r="S694" s="4" t="s">
        <v>41</v>
      </c>
      <c r="T694" s="7">
        <v>8.3992000000000004</v>
      </c>
      <c r="U694" s="8">
        <v>78</v>
      </c>
      <c r="V694" s="8">
        <v>2024</v>
      </c>
      <c r="W694" s="4" t="s">
        <v>61</v>
      </c>
    </row>
    <row r="695" spans="1:23" s="9" customFormat="1" ht="15.75" hidden="1" customHeight="1" x14ac:dyDescent="0.25">
      <c r="A695" s="10" t="s">
        <v>2143</v>
      </c>
      <c r="B695" s="10" t="s">
        <v>2144</v>
      </c>
      <c r="C695" s="10" t="s">
        <v>2145</v>
      </c>
      <c r="D695" s="22" t="s">
        <v>6087</v>
      </c>
      <c r="E695" s="10" t="s">
        <v>26</v>
      </c>
      <c r="F695" s="10" t="s">
        <v>56</v>
      </c>
      <c r="G695" s="10" t="s">
        <v>57</v>
      </c>
      <c r="H695" s="10" t="s">
        <v>118</v>
      </c>
      <c r="I695" s="11">
        <v>45328</v>
      </c>
      <c r="J695" s="10" t="s">
        <v>40</v>
      </c>
      <c r="K695" s="11">
        <v>45398</v>
      </c>
      <c r="L695" s="10" t="s">
        <v>66</v>
      </c>
      <c r="M695" s="12">
        <v>22891</v>
      </c>
      <c r="N695" s="12">
        <v>8312</v>
      </c>
      <c r="O695" s="10" t="s">
        <v>32</v>
      </c>
      <c r="P695" s="10" t="s">
        <v>32</v>
      </c>
      <c r="Q695" s="10" t="s">
        <v>33</v>
      </c>
      <c r="R695" s="10" t="s">
        <v>33</v>
      </c>
      <c r="S695" s="10" t="s">
        <v>34</v>
      </c>
      <c r="T695" s="13">
        <v>2.754</v>
      </c>
      <c r="U695" s="14">
        <v>70</v>
      </c>
      <c r="V695" s="14">
        <v>2024</v>
      </c>
      <c r="W695" s="10" t="s">
        <v>47</v>
      </c>
    </row>
    <row r="696" spans="1:23" s="9" customFormat="1" ht="15.75" hidden="1" customHeight="1" x14ac:dyDescent="0.25">
      <c r="A696" s="4" t="s">
        <v>2146</v>
      </c>
      <c r="B696" s="4" t="s">
        <v>2147</v>
      </c>
      <c r="C696" s="4" t="s">
        <v>2148</v>
      </c>
      <c r="D696" s="21" t="s">
        <v>6086</v>
      </c>
      <c r="E696" s="4" t="s">
        <v>26</v>
      </c>
      <c r="F696" s="4" t="s">
        <v>27</v>
      </c>
      <c r="G696" s="4" t="s">
        <v>5</v>
      </c>
      <c r="H696" s="4" t="s">
        <v>29</v>
      </c>
      <c r="I696" s="5">
        <v>45441</v>
      </c>
      <c r="J696" s="4" t="s">
        <v>40</v>
      </c>
      <c r="K696" s="5">
        <v>45566</v>
      </c>
      <c r="L696" s="4" t="s">
        <v>59</v>
      </c>
      <c r="M696" s="6">
        <v>51058</v>
      </c>
      <c r="N696" s="6">
        <v>7352</v>
      </c>
      <c r="O696" s="4">
        <v>41</v>
      </c>
      <c r="P696" s="5">
        <v>45607</v>
      </c>
      <c r="Q696" s="4" t="s">
        <v>94</v>
      </c>
      <c r="R696" s="4" t="s">
        <v>94</v>
      </c>
      <c r="S696" s="4" t="s">
        <v>34</v>
      </c>
      <c r="T696" s="7">
        <v>6.9447999999999999</v>
      </c>
      <c r="U696" s="8">
        <v>125</v>
      </c>
      <c r="V696" s="8">
        <v>2024</v>
      </c>
      <c r="W696" s="4" t="s">
        <v>95</v>
      </c>
    </row>
    <row r="697" spans="1:23" s="9" customFormat="1" ht="15.75" hidden="1" customHeight="1" x14ac:dyDescent="0.25">
      <c r="A697" s="10" t="s">
        <v>2149</v>
      </c>
      <c r="B697" s="10" t="s">
        <v>2150</v>
      </c>
      <c r="C697" s="10" t="s">
        <v>2151</v>
      </c>
      <c r="D697" s="22" t="s">
        <v>6090</v>
      </c>
      <c r="E697" s="10" t="s">
        <v>26</v>
      </c>
      <c r="F697" s="21" t="s">
        <v>6092</v>
      </c>
      <c r="G697" s="10" t="s">
        <v>5</v>
      </c>
      <c r="H697" s="10" t="s">
        <v>39</v>
      </c>
      <c r="I697" s="11">
        <v>45180</v>
      </c>
      <c r="J697" s="10" t="s">
        <v>30</v>
      </c>
      <c r="K697" s="11">
        <v>45336</v>
      </c>
      <c r="L697" s="10" t="s">
        <v>59</v>
      </c>
      <c r="M697" s="12">
        <v>47491</v>
      </c>
      <c r="N697" s="12">
        <v>2713</v>
      </c>
      <c r="O697" s="10">
        <v>23</v>
      </c>
      <c r="P697" s="11">
        <v>45359</v>
      </c>
      <c r="Q697" s="10" t="s">
        <v>33</v>
      </c>
      <c r="R697" s="10" t="s">
        <v>33</v>
      </c>
      <c r="S697" s="10" t="s">
        <v>41</v>
      </c>
      <c r="T697" s="13">
        <v>17.504999999999999</v>
      </c>
      <c r="U697" s="14">
        <v>156</v>
      </c>
      <c r="V697" s="14">
        <v>2024</v>
      </c>
      <c r="W697" s="10" t="s">
        <v>35</v>
      </c>
    </row>
    <row r="698" spans="1:23" s="9" customFormat="1" ht="15.75" hidden="1" customHeight="1" x14ac:dyDescent="0.25">
      <c r="A698" s="4" t="s">
        <v>2152</v>
      </c>
      <c r="B698" s="4" t="s">
        <v>2153</v>
      </c>
      <c r="C698" s="4" t="s">
        <v>2154</v>
      </c>
      <c r="D698" s="22" t="s">
        <v>6090</v>
      </c>
      <c r="E698" s="4" t="s">
        <v>51</v>
      </c>
      <c r="F698" s="21" t="s">
        <v>6092</v>
      </c>
      <c r="G698" s="4" t="s">
        <v>57</v>
      </c>
      <c r="H698" s="4" t="s">
        <v>118</v>
      </c>
      <c r="I698" s="5">
        <v>44973</v>
      </c>
      <c r="J698" s="4" t="s">
        <v>40</v>
      </c>
      <c r="K698" s="5">
        <v>45323</v>
      </c>
      <c r="L698" s="4" t="s">
        <v>66</v>
      </c>
      <c r="M698" s="6">
        <v>55956</v>
      </c>
      <c r="N698" s="6">
        <v>8900</v>
      </c>
      <c r="O698" s="4" t="s">
        <v>32</v>
      </c>
      <c r="P698" s="4" t="s">
        <v>32</v>
      </c>
      <c r="Q698" s="4" t="s">
        <v>33</v>
      </c>
      <c r="R698" s="4" t="s">
        <v>33</v>
      </c>
      <c r="S698" s="4" t="s">
        <v>34</v>
      </c>
      <c r="T698" s="7">
        <v>6.2872000000000003</v>
      </c>
      <c r="U698" s="8">
        <v>350</v>
      </c>
      <c r="V698" s="8">
        <v>2024</v>
      </c>
      <c r="W698" s="4" t="s">
        <v>35</v>
      </c>
    </row>
    <row r="699" spans="1:23" s="9" customFormat="1" ht="15.75" hidden="1" customHeight="1" x14ac:dyDescent="0.25">
      <c r="A699" s="10" t="s">
        <v>2155</v>
      </c>
      <c r="B699" s="10" t="s">
        <v>2156</v>
      </c>
      <c r="C699" s="10" t="s">
        <v>2157</v>
      </c>
      <c r="D699" s="22" t="s">
        <v>6090</v>
      </c>
      <c r="E699" s="10" t="s">
        <v>51</v>
      </c>
      <c r="F699" s="10" t="s">
        <v>46</v>
      </c>
      <c r="G699" s="10" t="s">
        <v>57</v>
      </c>
      <c r="H699" s="10" t="s">
        <v>29</v>
      </c>
      <c r="I699" s="11">
        <v>45172</v>
      </c>
      <c r="J699" s="10" t="s">
        <v>40</v>
      </c>
      <c r="K699" s="11">
        <v>45526</v>
      </c>
      <c r="L699" s="10" t="s">
        <v>59</v>
      </c>
      <c r="M699" s="12">
        <v>52862</v>
      </c>
      <c r="N699" s="12">
        <v>4990</v>
      </c>
      <c r="O699" s="10">
        <v>42</v>
      </c>
      <c r="P699" s="11">
        <v>45568</v>
      </c>
      <c r="Q699" s="10" t="s">
        <v>33</v>
      </c>
      <c r="R699" s="10" t="s">
        <v>33</v>
      </c>
      <c r="S699" s="10" t="s">
        <v>41</v>
      </c>
      <c r="T699" s="13">
        <v>10.5936</v>
      </c>
      <c r="U699" s="14">
        <v>354</v>
      </c>
      <c r="V699" s="14">
        <v>2024</v>
      </c>
      <c r="W699" s="10" t="s">
        <v>114</v>
      </c>
    </row>
    <row r="700" spans="1:23" s="9" customFormat="1" ht="15.75" hidden="1" customHeight="1" x14ac:dyDescent="0.25">
      <c r="A700" s="4" t="s">
        <v>2158</v>
      </c>
      <c r="B700" s="4" t="s">
        <v>2159</v>
      </c>
      <c r="C700" s="4" t="s">
        <v>2160</v>
      </c>
      <c r="D700" s="21" t="s">
        <v>6089</v>
      </c>
      <c r="E700" s="4" t="s">
        <v>26</v>
      </c>
      <c r="F700" s="4" t="s">
        <v>71</v>
      </c>
      <c r="G700" s="4" t="s">
        <v>5</v>
      </c>
      <c r="H700" s="4" t="s">
        <v>29</v>
      </c>
      <c r="I700" s="5">
        <v>45289</v>
      </c>
      <c r="J700" s="4" t="s">
        <v>30</v>
      </c>
      <c r="K700" s="5">
        <v>45426</v>
      </c>
      <c r="L700" s="4" t="s">
        <v>59</v>
      </c>
      <c r="M700" s="6">
        <v>22756</v>
      </c>
      <c r="N700" s="6">
        <v>6991</v>
      </c>
      <c r="O700" s="4">
        <v>44</v>
      </c>
      <c r="P700" s="5">
        <v>45470</v>
      </c>
      <c r="Q700" s="4" t="s">
        <v>33</v>
      </c>
      <c r="R700" s="4" t="s">
        <v>33</v>
      </c>
      <c r="S700" s="4" t="s">
        <v>34</v>
      </c>
      <c r="T700" s="7">
        <v>3.2549999999999999</v>
      </c>
      <c r="U700" s="8">
        <v>137</v>
      </c>
      <c r="V700" s="8">
        <v>2024</v>
      </c>
      <c r="W700" s="4" t="s">
        <v>52</v>
      </c>
    </row>
    <row r="701" spans="1:23" s="9" customFormat="1" ht="15.75" hidden="1" customHeight="1" x14ac:dyDescent="0.25">
      <c r="A701" s="10" t="s">
        <v>2161</v>
      </c>
      <c r="B701" s="10" t="s">
        <v>2162</v>
      </c>
      <c r="C701" s="10" t="s">
        <v>2163</v>
      </c>
      <c r="D701" s="21" t="s">
        <v>6091</v>
      </c>
      <c r="E701" s="10" t="s">
        <v>51</v>
      </c>
      <c r="F701" s="10" t="s">
        <v>65</v>
      </c>
      <c r="G701" s="10" t="s">
        <v>5</v>
      </c>
      <c r="H701" s="10" t="s">
        <v>29</v>
      </c>
      <c r="I701" s="11">
        <v>45590</v>
      </c>
      <c r="J701" s="10" t="s">
        <v>30</v>
      </c>
      <c r="K701" s="11">
        <v>45626</v>
      </c>
      <c r="L701" s="10" t="s">
        <v>66</v>
      </c>
      <c r="M701" s="12">
        <v>11117</v>
      </c>
      <c r="N701" s="12">
        <v>4287</v>
      </c>
      <c r="O701" s="10" t="s">
        <v>32</v>
      </c>
      <c r="P701" s="10" t="s">
        <v>32</v>
      </c>
      <c r="Q701" s="10" t="s">
        <v>33</v>
      </c>
      <c r="R701" s="10" t="s">
        <v>33</v>
      </c>
      <c r="S701" s="10" t="s">
        <v>60</v>
      </c>
      <c r="T701" s="13">
        <v>2.5931999999999999</v>
      </c>
      <c r="U701" s="14">
        <v>36</v>
      </c>
      <c r="V701" s="14">
        <v>2024</v>
      </c>
      <c r="W701" s="10" t="s">
        <v>61</v>
      </c>
    </row>
    <row r="702" spans="1:23" s="9" customFormat="1" ht="15.75" hidden="1" customHeight="1" x14ac:dyDescent="0.25">
      <c r="A702" s="4" t="s">
        <v>2164</v>
      </c>
      <c r="B702" s="4" t="s">
        <v>2165</v>
      </c>
      <c r="C702" s="4" t="s">
        <v>2166</v>
      </c>
      <c r="D702" s="22" t="s">
        <v>6087</v>
      </c>
      <c r="E702" s="4" t="s">
        <v>26</v>
      </c>
      <c r="F702" s="4" t="s">
        <v>65</v>
      </c>
      <c r="G702" s="4" t="s">
        <v>28</v>
      </c>
      <c r="H702" s="4" t="s">
        <v>58</v>
      </c>
      <c r="I702" s="5">
        <v>45274</v>
      </c>
      <c r="J702" s="4" t="s">
        <v>30</v>
      </c>
      <c r="K702" s="5">
        <v>45505</v>
      </c>
      <c r="L702" s="4" t="s">
        <v>59</v>
      </c>
      <c r="M702" s="6">
        <v>20615</v>
      </c>
      <c r="N702" s="6">
        <v>752</v>
      </c>
      <c r="O702" s="4">
        <v>34</v>
      </c>
      <c r="P702" s="5">
        <v>45539</v>
      </c>
      <c r="Q702" s="4" t="s">
        <v>33</v>
      </c>
      <c r="R702" s="4" t="s">
        <v>33</v>
      </c>
      <c r="S702" s="4" t="s">
        <v>60</v>
      </c>
      <c r="T702" s="7">
        <v>27.413599999999999</v>
      </c>
      <c r="U702" s="8">
        <v>231</v>
      </c>
      <c r="V702" s="8">
        <v>2024</v>
      </c>
      <c r="W702" s="4" t="s">
        <v>114</v>
      </c>
    </row>
    <row r="703" spans="1:23" s="9" customFormat="1" ht="15.75" hidden="1" customHeight="1" x14ac:dyDescent="0.25">
      <c r="A703" s="10" t="s">
        <v>2167</v>
      </c>
      <c r="B703" s="10" t="s">
        <v>2168</v>
      </c>
      <c r="C703" s="10" t="s">
        <v>2169</v>
      </c>
      <c r="D703" s="22" t="s">
        <v>6090</v>
      </c>
      <c r="E703" s="10" t="s">
        <v>26</v>
      </c>
      <c r="F703" s="10" t="s">
        <v>65</v>
      </c>
      <c r="G703" s="10" t="s">
        <v>28</v>
      </c>
      <c r="H703" s="10" t="s">
        <v>118</v>
      </c>
      <c r="I703" s="11">
        <v>45256</v>
      </c>
      <c r="J703" s="10" t="s">
        <v>30</v>
      </c>
      <c r="K703" s="11">
        <v>45547</v>
      </c>
      <c r="L703" s="10" t="s">
        <v>59</v>
      </c>
      <c r="M703" s="12">
        <v>42525</v>
      </c>
      <c r="N703" s="12">
        <v>5179</v>
      </c>
      <c r="O703" s="10">
        <v>32</v>
      </c>
      <c r="P703" s="11">
        <v>45579</v>
      </c>
      <c r="Q703" s="10" t="s">
        <v>33</v>
      </c>
      <c r="R703" s="10" t="s">
        <v>33</v>
      </c>
      <c r="S703" s="10" t="s">
        <v>34</v>
      </c>
      <c r="T703" s="13">
        <v>8.2110000000000003</v>
      </c>
      <c r="U703" s="14">
        <v>291</v>
      </c>
      <c r="V703" s="14">
        <v>2024</v>
      </c>
      <c r="W703" s="10" t="s">
        <v>168</v>
      </c>
    </row>
    <row r="704" spans="1:23" s="9" customFormat="1" ht="15.75" hidden="1" customHeight="1" x14ac:dyDescent="0.25">
      <c r="A704" s="4" t="s">
        <v>2170</v>
      </c>
      <c r="B704" s="4" t="s">
        <v>2171</v>
      </c>
      <c r="C704" s="4" t="s">
        <v>2172</v>
      </c>
      <c r="D704" s="22" t="s">
        <v>6090</v>
      </c>
      <c r="E704" s="4" t="s">
        <v>87</v>
      </c>
      <c r="F704" s="21" t="s">
        <v>6092</v>
      </c>
      <c r="G704" s="4" t="s">
        <v>57</v>
      </c>
      <c r="H704" s="4" t="s">
        <v>72</v>
      </c>
      <c r="I704" s="5">
        <v>45142</v>
      </c>
      <c r="J704" s="4" t="s">
        <v>30</v>
      </c>
      <c r="K704" s="5">
        <v>45434</v>
      </c>
      <c r="L704" s="4" t="s">
        <v>31</v>
      </c>
      <c r="M704" s="6">
        <v>53097</v>
      </c>
      <c r="N704" s="6">
        <v>5265</v>
      </c>
      <c r="O704" s="4" t="s">
        <v>32</v>
      </c>
      <c r="P704" s="4" t="s">
        <v>32</v>
      </c>
      <c r="Q704" s="4" t="s">
        <v>33</v>
      </c>
      <c r="R704" s="4" t="s">
        <v>33</v>
      </c>
      <c r="S704" s="4" t="s">
        <v>41</v>
      </c>
      <c r="T704" s="7">
        <v>10.084899999999999</v>
      </c>
      <c r="U704" s="8">
        <v>292</v>
      </c>
      <c r="V704" s="8">
        <v>2024</v>
      </c>
      <c r="W704" s="4" t="s">
        <v>52</v>
      </c>
    </row>
    <row r="705" spans="1:23" s="9" customFormat="1" ht="15.75" hidden="1" customHeight="1" x14ac:dyDescent="0.25">
      <c r="A705" s="10" t="s">
        <v>2173</v>
      </c>
      <c r="B705" s="10" t="s">
        <v>2174</v>
      </c>
      <c r="C705" s="10" t="s">
        <v>2175</v>
      </c>
      <c r="D705" s="22" t="s">
        <v>6087</v>
      </c>
      <c r="E705" s="10" t="s">
        <v>87</v>
      </c>
      <c r="F705" s="10" t="s">
        <v>71</v>
      </c>
      <c r="G705" s="10" t="s">
        <v>57</v>
      </c>
      <c r="H705" s="10" t="s">
        <v>39</v>
      </c>
      <c r="I705" s="11">
        <v>45290</v>
      </c>
      <c r="J705" s="10" t="s">
        <v>30</v>
      </c>
      <c r="K705" s="11">
        <v>45321</v>
      </c>
      <c r="L705" s="10" t="s">
        <v>59</v>
      </c>
      <c r="M705" s="12">
        <v>2679</v>
      </c>
      <c r="N705" s="12">
        <v>7367</v>
      </c>
      <c r="O705" s="10">
        <v>36</v>
      </c>
      <c r="P705" s="11">
        <v>45357</v>
      </c>
      <c r="Q705" s="10" t="s">
        <v>33</v>
      </c>
      <c r="R705" s="10" t="s">
        <v>33</v>
      </c>
      <c r="S705" s="10" t="s">
        <v>34</v>
      </c>
      <c r="T705" s="13">
        <v>0.36359999999999998</v>
      </c>
      <c r="U705" s="14">
        <v>31</v>
      </c>
      <c r="V705" s="14">
        <v>2024</v>
      </c>
      <c r="W705" s="10" t="s">
        <v>73</v>
      </c>
    </row>
    <row r="706" spans="1:23" s="9" customFormat="1" ht="15.75" hidden="1" customHeight="1" x14ac:dyDescent="0.25">
      <c r="A706" s="4" t="s">
        <v>2176</v>
      </c>
      <c r="B706" s="4" t="s">
        <v>2177</v>
      </c>
      <c r="C706" s="4" t="s">
        <v>2178</v>
      </c>
      <c r="D706" s="22" t="s">
        <v>6087</v>
      </c>
      <c r="E706" s="4" t="s">
        <v>51</v>
      </c>
      <c r="F706" s="21" t="s">
        <v>6092</v>
      </c>
      <c r="G706" s="4" t="s">
        <v>28</v>
      </c>
      <c r="H706" s="4" t="s">
        <v>39</v>
      </c>
      <c r="I706" s="5">
        <v>45392</v>
      </c>
      <c r="J706" s="4" t="s">
        <v>40</v>
      </c>
      <c r="K706" s="5">
        <v>45514</v>
      </c>
      <c r="L706" s="4" t="s">
        <v>59</v>
      </c>
      <c r="M706" s="6">
        <v>12916</v>
      </c>
      <c r="N706" s="6">
        <v>3091</v>
      </c>
      <c r="O706" s="4">
        <v>38</v>
      </c>
      <c r="P706" s="5">
        <v>45552</v>
      </c>
      <c r="Q706" s="4" t="s">
        <v>33</v>
      </c>
      <c r="R706" s="4" t="s">
        <v>33</v>
      </c>
      <c r="S706" s="4" t="s">
        <v>41</v>
      </c>
      <c r="T706" s="7">
        <v>4.1786000000000003</v>
      </c>
      <c r="U706" s="8">
        <v>122</v>
      </c>
      <c r="V706" s="8">
        <v>2024</v>
      </c>
      <c r="W706" s="4" t="s">
        <v>114</v>
      </c>
    </row>
    <row r="707" spans="1:23" s="9" customFormat="1" ht="15.75" hidden="1" customHeight="1" x14ac:dyDescent="0.25">
      <c r="A707" s="10" t="s">
        <v>2179</v>
      </c>
      <c r="B707" s="10" t="s">
        <v>2180</v>
      </c>
      <c r="C707" s="10" t="s">
        <v>2181</v>
      </c>
      <c r="D707" s="22" t="s">
        <v>6090</v>
      </c>
      <c r="E707" s="10" t="s">
        <v>51</v>
      </c>
      <c r="F707" s="10" t="s">
        <v>27</v>
      </c>
      <c r="G707" s="10" t="s">
        <v>57</v>
      </c>
      <c r="H707" s="10" t="s">
        <v>93</v>
      </c>
      <c r="I707" s="11">
        <v>45202</v>
      </c>
      <c r="J707" s="10" t="s">
        <v>30</v>
      </c>
      <c r="K707" s="11">
        <v>45455</v>
      </c>
      <c r="L707" s="10" t="s">
        <v>59</v>
      </c>
      <c r="M707" s="12">
        <v>12345</v>
      </c>
      <c r="N707" s="12">
        <v>2303</v>
      </c>
      <c r="O707" s="10">
        <v>16</v>
      </c>
      <c r="P707" s="11">
        <v>45471</v>
      </c>
      <c r="Q707" s="10" t="s">
        <v>33</v>
      </c>
      <c r="R707" s="10" t="s">
        <v>33</v>
      </c>
      <c r="S707" s="10" t="s">
        <v>60</v>
      </c>
      <c r="T707" s="13">
        <v>5.3604000000000003</v>
      </c>
      <c r="U707" s="14">
        <v>253</v>
      </c>
      <c r="V707" s="14">
        <v>2024</v>
      </c>
      <c r="W707" s="10" t="s">
        <v>67</v>
      </c>
    </row>
    <row r="708" spans="1:23" s="9" customFormat="1" ht="15.75" hidden="1" customHeight="1" x14ac:dyDescent="0.25">
      <c r="A708" s="4" t="s">
        <v>2182</v>
      </c>
      <c r="B708" s="4" t="s">
        <v>2183</v>
      </c>
      <c r="C708" s="4" t="s">
        <v>2184</v>
      </c>
      <c r="D708" s="22" t="s">
        <v>6087</v>
      </c>
      <c r="E708" s="4" t="s">
        <v>26</v>
      </c>
      <c r="F708" s="4" t="s">
        <v>27</v>
      </c>
      <c r="G708" s="4" t="s">
        <v>28</v>
      </c>
      <c r="H708" s="4" t="s">
        <v>161</v>
      </c>
      <c r="I708" s="5">
        <v>45544</v>
      </c>
      <c r="J708" s="4" t="s">
        <v>30</v>
      </c>
      <c r="K708" s="5">
        <v>45578</v>
      </c>
      <c r="L708" s="4" t="s">
        <v>59</v>
      </c>
      <c r="M708" s="6">
        <v>22979</v>
      </c>
      <c r="N708" s="6">
        <v>2460</v>
      </c>
      <c r="O708" s="4">
        <v>24</v>
      </c>
      <c r="P708" s="5">
        <v>45602</v>
      </c>
      <c r="Q708" s="4" t="s">
        <v>33</v>
      </c>
      <c r="R708" s="4" t="s">
        <v>33</v>
      </c>
      <c r="S708" s="4" t="s">
        <v>41</v>
      </c>
      <c r="T708" s="7">
        <v>9.3411000000000008</v>
      </c>
      <c r="U708" s="8">
        <v>34</v>
      </c>
      <c r="V708" s="8">
        <v>2024</v>
      </c>
      <c r="W708" s="4" t="s">
        <v>95</v>
      </c>
    </row>
    <row r="709" spans="1:23" s="9" customFormat="1" ht="15.75" hidden="1" customHeight="1" x14ac:dyDescent="0.25">
      <c r="A709" s="10" t="s">
        <v>2185</v>
      </c>
      <c r="B709" s="10" t="s">
        <v>2186</v>
      </c>
      <c r="C709" s="10" t="s">
        <v>2187</v>
      </c>
      <c r="D709" s="22" t="s">
        <v>6090</v>
      </c>
      <c r="E709" s="10" t="s">
        <v>51</v>
      </c>
      <c r="F709" s="10" t="s">
        <v>65</v>
      </c>
      <c r="G709" s="10" t="s">
        <v>5</v>
      </c>
      <c r="H709" s="10" t="s">
        <v>93</v>
      </c>
      <c r="I709" s="11">
        <v>45038</v>
      </c>
      <c r="J709" s="10" t="s">
        <v>40</v>
      </c>
      <c r="K709" s="11">
        <v>45352</v>
      </c>
      <c r="L709" s="10" t="s">
        <v>59</v>
      </c>
      <c r="M709" s="12">
        <v>14404</v>
      </c>
      <c r="N709" s="12">
        <v>3356</v>
      </c>
      <c r="O709" s="10">
        <v>25</v>
      </c>
      <c r="P709" s="11">
        <v>45377</v>
      </c>
      <c r="Q709" s="10" t="s">
        <v>33</v>
      </c>
      <c r="R709" s="10" t="s">
        <v>33</v>
      </c>
      <c r="S709" s="10" t="s">
        <v>41</v>
      </c>
      <c r="T709" s="13">
        <v>4.2919999999999998</v>
      </c>
      <c r="U709" s="14">
        <v>314</v>
      </c>
      <c r="V709" s="14">
        <v>2024</v>
      </c>
      <c r="W709" s="10" t="s">
        <v>77</v>
      </c>
    </row>
    <row r="710" spans="1:23" s="9" customFormat="1" ht="15.75" hidden="1" customHeight="1" x14ac:dyDescent="0.25">
      <c r="A710" s="4" t="s">
        <v>2188</v>
      </c>
      <c r="B710" s="4" t="s">
        <v>2189</v>
      </c>
      <c r="C710" s="4" t="s">
        <v>2190</v>
      </c>
      <c r="D710" s="22" t="s">
        <v>6090</v>
      </c>
      <c r="E710" s="4" t="s">
        <v>26</v>
      </c>
      <c r="F710" s="4" t="s">
        <v>27</v>
      </c>
      <c r="G710" s="4" t="s">
        <v>28</v>
      </c>
      <c r="H710" s="4" t="s">
        <v>93</v>
      </c>
      <c r="I710" s="5">
        <v>45326</v>
      </c>
      <c r="J710" s="4" t="s">
        <v>30</v>
      </c>
      <c r="K710" s="5">
        <v>45367</v>
      </c>
      <c r="L710" s="4" t="s">
        <v>66</v>
      </c>
      <c r="M710" s="6">
        <v>46451</v>
      </c>
      <c r="N710" s="6">
        <v>6501</v>
      </c>
      <c r="O710" s="4" t="s">
        <v>32</v>
      </c>
      <c r="P710" s="4" t="s">
        <v>32</v>
      </c>
      <c r="Q710" s="4" t="s">
        <v>33</v>
      </c>
      <c r="R710" s="4" t="s">
        <v>33</v>
      </c>
      <c r="S710" s="4" t="s">
        <v>34</v>
      </c>
      <c r="T710" s="7">
        <v>7.1452</v>
      </c>
      <c r="U710" s="8">
        <v>41</v>
      </c>
      <c r="V710" s="8">
        <v>2024</v>
      </c>
      <c r="W710" s="4" t="s">
        <v>77</v>
      </c>
    </row>
    <row r="711" spans="1:23" s="9" customFormat="1" ht="15.75" hidden="1" customHeight="1" x14ac:dyDescent="0.25">
      <c r="A711" s="10" t="s">
        <v>2191</v>
      </c>
      <c r="B711" s="10" t="s">
        <v>2192</v>
      </c>
      <c r="C711" s="10" t="s">
        <v>2193</v>
      </c>
      <c r="D711" s="22" t="s">
        <v>6090</v>
      </c>
      <c r="E711" s="10" t="s">
        <v>51</v>
      </c>
      <c r="F711" s="21" t="s">
        <v>6092</v>
      </c>
      <c r="G711" s="10" t="s">
        <v>57</v>
      </c>
      <c r="H711" s="10" t="s">
        <v>39</v>
      </c>
      <c r="I711" s="11">
        <v>45064</v>
      </c>
      <c r="J711" s="10" t="s">
        <v>40</v>
      </c>
      <c r="K711" s="11">
        <v>45300</v>
      </c>
      <c r="L711" s="10" t="s">
        <v>31</v>
      </c>
      <c r="M711" s="12">
        <v>43125</v>
      </c>
      <c r="N711" s="12">
        <v>8745</v>
      </c>
      <c r="O711" s="10" t="s">
        <v>32</v>
      </c>
      <c r="P711" s="10" t="s">
        <v>32</v>
      </c>
      <c r="Q711" s="10" t="s">
        <v>33</v>
      </c>
      <c r="R711" s="10" t="s">
        <v>33</v>
      </c>
      <c r="S711" s="10" t="s">
        <v>60</v>
      </c>
      <c r="T711" s="13">
        <v>4.9314</v>
      </c>
      <c r="U711" s="14">
        <v>236</v>
      </c>
      <c r="V711" s="14">
        <v>2024</v>
      </c>
      <c r="W711" s="10" t="s">
        <v>73</v>
      </c>
    </row>
    <row r="712" spans="1:23" s="9" customFormat="1" ht="15.75" hidden="1" customHeight="1" x14ac:dyDescent="0.25">
      <c r="A712" s="4" t="s">
        <v>2194</v>
      </c>
      <c r="B712" s="4" t="s">
        <v>2195</v>
      </c>
      <c r="C712" s="4" t="s">
        <v>2196</v>
      </c>
      <c r="D712" s="22" t="s">
        <v>6090</v>
      </c>
      <c r="E712" s="4" t="s">
        <v>26</v>
      </c>
      <c r="F712" s="4" t="s">
        <v>71</v>
      </c>
      <c r="G712" s="4" t="s">
        <v>57</v>
      </c>
      <c r="H712" s="4" t="s">
        <v>39</v>
      </c>
      <c r="I712" s="5">
        <v>45246</v>
      </c>
      <c r="J712" s="4" t="s">
        <v>40</v>
      </c>
      <c r="K712" s="5">
        <v>45481</v>
      </c>
      <c r="L712" s="4" t="s">
        <v>59</v>
      </c>
      <c r="M712" s="6">
        <v>13958</v>
      </c>
      <c r="N712" s="6">
        <v>8068</v>
      </c>
      <c r="O712" s="4">
        <v>15</v>
      </c>
      <c r="P712" s="5">
        <v>45496</v>
      </c>
      <c r="Q712" s="4" t="s">
        <v>94</v>
      </c>
      <c r="R712" s="4" t="s">
        <v>94</v>
      </c>
      <c r="S712" s="4" t="s">
        <v>60</v>
      </c>
      <c r="T712" s="7">
        <v>1.73</v>
      </c>
      <c r="U712" s="8">
        <v>235</v>
      </c>
      <c r="V712" s="8">
        <v>2024</v>
      </c>
      <c r="W712" s="4" t="s">
        <v>42</v>
      </c>
    </row>
    <row r="713" spans="1:23" s="9" customFormat="1" ht="15.75" hidden="1" customHeight="1" x14ac:dyDescent="0.25">
      <c r="A713" s="10" t="s">
        <v>2197</v>
      </c>
      <c r="B713" s="10" t="s">
        <v>2198</v>
      </c>
      <c r="C713" s="10" t="s">
        <v>2199</v>
      </c>
      <c r="D713" s="21" t="s">
        <v>6089</v>
      </c>
      <c r="E713" s="10" t="s">
        <v>51</v>
      </c>
      <c r="F713" s="10" t="s">
        <v>27</v>
      </c>
      <c r="G713" s="10" t="s">
        <v>28</v>
      </c>
      <c r="H713" s="10" t="s">
        <v>29</v>
      </c>
      <c r="I713" s="11">
        <v>45288</v>
      </c>
      <c r="J713" s="10" t="s">
        <v>40</v>
      </c>
      <c r="K713" s="11">
        <v>45326</v>
      </c>
      <c r="L713" s="10" t="s">
        <v>31</v>
      </c>
      <c r="M713" s="12">
        <v>32535</v>
      </c>
      <c r="N713" s="12">
        <v>772</v>
      </c>
      <c r="O713" s="10" t="s">
        <v>32</v>
      </c>
      <c r="P713" s="10" t="s">
        <v>32</v>
      </c>
      <c r="Q713" s="10" t="s">
        <v>33</v>
      </c>
      <c r="R713" s="10" t="s">
        <v>33</v>
      </c>
      <c r="S713" s="10" t="s">
        <v>60</v>
      </c>
      <c r="T713" s="13">
        <v>42.143799999999999</v>
      </c>
      <c r="U713" s="14">
        <v>38</v>
      </c>
      <c r="V713" s="14">
        <v>2024</v>
      </c>
      <c r="W713" s="10" t="s">
        <v>35</v>
      </c>
    </row>
    <row r="714" spans="1:23" s="9" customFormat="1" ht="15.75" hidden="1" customHeight="1" x14ac:dyDescent="0.25">
      <c r="A714" s="4" t="s">
        <v>2200</v>
      </c>
      <c r="B714" s="4" t="s">
        <v>2201</v>
      </c>
      <c r="C714" s="4" t="s">
        <v>2202</v>
      </c>
      <c r="D714" s="21" t="s">
        <v>6086</v>
      </c>
      <c r="E714" s="4" t="s">
        <v>87</v>
      </c>
      <c r="F714" s="4" t="s">
        <v>71</v>
      </c>
      <c r="G714" s="4" t="s">
        <v>28</v>
      </c>
      <c r="H714" s="4" t="s">
        <v>88</v>
      </c>
      <c r="I714" s="5">
        <v>45007</v>
      </c>
      <c r="J714" s="4" t="s">
        <v>30</v>
      </c>
      <c r="K714" s="5">
        <v>45352</v>
      </c>
      <c r="L714" s="4" t="s">
        <v>59</v>
      </c>
      <c r="M714" s="6">
        <v>39397</v>
      </c>
      <c r="N714" s="6">
        <v>1297</v>
      </c>
      <c r="O714" s="4">
        <v>44</v>
      </c>
      <c r="P714" s="5">
        <v>45396</v>
      </c>
      <c r="Q714" s="4" t="s">
        <v>33</v>
      </c>
      <c r="R714" s="4" t="s">
        <v>33</v>
      </c>
      <c r="S714" s="4" t="s">
        <v>60</v>
      </c>
      <c r="T714" s="7">
        <v>30.375499999999999</v>
      </c>
      <c r="U714" s="8">
        <v>345</v>
      </c>
      <c r="V714" s="8">
        <v>2024</v>
      </c>
      <c r="W714" s="4" t="s">
        <v>77</v>
      </c>
    </row>
    <row r="715" spans="1:23" s="9" customFormat="1" ht="15.75" hidden="1" customHeight="1" x14ac:dyDescent="0.25">
      <c r="A715" s="10" t="s">
        <v>2203</v>
      </c>
      <c r="B715" s="10" t="s">
        <v>2204</v>
      </c>
      <c r="C715" s="10" t="s">
        <v>2205</v>
      </c>
      <c r="D715" s="21" t="s">
        <v>6088</v>
      </c>
      <c r="E715" s="10" t="s">
        <v>51</v>
      </c>
      <c r="F715" s="10" t="s">
        <v>46</v>
      </c>
      <c r="G715" s="10" t="s">
        <v>5</v>
      </c>
      <c r="H715" s="10" t="s">
        <v>93</v>
      </c>
      <c r="I715" s="11">
        <v>45359</v>
      </c>
      <c r="J715" s="10" t="s">
        <v>30</v>
      </c>
      <c r="K715" s="11">
        <v>45483</v>
      </c>
      <c r="L715" s="10" t="s">
        <v>59</v>
      </c>
      <c r="M715" s="12">
        <v>72628</v>
      </c>
      <c r="N715" s="12">
        <v>1014</v>
      </c>
      <c r="O715" s="10">
        <v>21</v>
      </c>
      <c r="P715" s="11">
        <v>45504</v>
      </c>
      <c r="Q715" s="10" t="s">
        <v>33</v>
      </c>
      <c r="R715" s="10" t="s">
        <v>33</v>
      </c>
      <c r="S715" s="10" t="s">
        <v>60</v>
      </c>
      <c r="T715" s="13">
        <v>71.625200000000007</v>
      </c>
      <c r="U715" s="14">
        <v>124</v>
      </c>
      <c r="V715" s="14">
        <v>2024</v>
      </c>
      <c r="W715" s="10" t="s">
        <v>42</v>
      </c>
    </row>
    <row r="716" spans="1:23" s="9" customFormat="1" ht="15.75" hidden="1" customHeight="1" x14ac:dyDescent="0.25">
      <c r="A716" s="4" t="s">
        <v>2206</v>
      </c>
      <c r="B716" s="4" t="s">
        <v>2207</v>
      </c>
      <c r="C716" s="4" t="s">
        <v>2208</v>
      </c>
      <c r="D716" s="22" t="s">
        <v>6087</v>
      </c>
      <c r="E716" s="4" t="s">
        <v>51</v>
      </c>
      <c r="F716" s="21" t="s">
        <v>6092</v>
      </c>
      <c r="G716" s="4" t="s">
        <v>28</v>
      </c>
      <c r="H716" s="4" t="s">
        <v>72</v>
      </c>
      <c r="I716" s="5">
        <v>45251</v>
      </c>
      <c r="J716" s="4" t="s">
        <v>30</v>
      </c>
      <c r="K716" s="5">
        <v>45325</v>
      </c>
      <c r="L716" s="4" t="s">
        <v>31</v>
      </c>
      <c r="M716" s="6">
        <v>3028</v>
      </c>
      <c r="N716" s="6">
        <v>8311</v>
      </c>
      <c r="O716" s="4" t="s">
        <v>32</v>
      </c>
      <c r="P716" s="4" t="s">
        <v>32</v>
      </c>
      <c r="Q716" s="4" t="s">
        <v>33</v>
      </c>
      <c r="R716" s="4" t="s">
        <v>33</v>
      </c>
      <c r="S716" s="4" t="s">
        <v>60</v>
      </c>
      <c r="T716" s="7">
        <v>0.36430000000000001</v>
      </c>
      <c r="U716" s="8">
        <v>74</v>
      </c>
      <c r="V716" s="8">
        <v>2024</v>
      </c>
      <c r="W716" s="4" t="s">
        <v>35</v>
      </c>
    </row>
    <row r="717" spans="1:23" s="9" customFormat="1" ht="15.75" hidden="1" customHeight="1" x14ac:dyDescent="0.25">
      <c r="A717" s="10" t="s">
        <v>2209</v>
      </c>
      <c r="B717" s="10" t="s">
        <v>2210</v>
      </c>
      <c r="C717" s="10" t="s">
        <v>2211</v>
      </c>
      <c r="D717" s="21" t="s">
        <v>6091</v>
      </c>
      <c r="E717" s="10" t="s">
        <v>87</v>
      </c>
      <c r="F717" s="10" t="s">
        <v>71</v>
      </c>
      <c r="G717" s="10" t="s">
        <v>5</v>
      </c>
      <c r="H717" s="10" t="s">
        <v>72</v>
      </c>
      <c r="I717" s="11">
        <v>45229</v>
      </c>
      <c r="J717" s="10" t="s">
        <v>40</v>
      </c>
      <c r="K717" s="11">
        <v>45472</v>
      </c>
      <c r="L717" s="10" t="s">
        <v>31</v>
      </c>
      <c r="M717" s="12">
        <v>12504</v>
      </c>
      <c r="N717" s="12">
        <v>2354</v>
      </c>
      <c r="O717" s="10" t="s">
        <v>32</v>
      </c>
      <c r="P717" s="10" t="s">
        <v>32</v>
      </c>
      <c r="Q717" s="10" t="s">
        <v>33</v>
      </c>
      <c r="R717" s="10" t="s">
        <v>33</v>
      </c>
      <c r="S717" s="10" t="s">
        <v>60</v>
      </c>
      <c r="T717" s="13">
        <v>5.3117999999999999</v>
      </c>
      <c r="U717" s="14">
        <v>243</v>
      </c>
      <c r="V717" s="14">
        <v>2024</v>
      </c>
      <c r="W717" s="10" t="s">
        <v>67</v>
      </c>
    </row>
    <row r="718" spans="1:23" s="9" customFormat="1" ht="15.75" hidden="1" customHeight="1" x14ac:dyDescent="0.25">
      <c r="A718" s="4" t="s">
        <v>2212</v>
      </c>
      <c r="B718" s="4" t="s">
        <v>2213</v>
      </c>
      <c r="C718" s="4" t="s">
        <v>2214</v>
      </c>
      <c r="D718" s="22" t="s">
        <v>6087</v>
      </c>
      <c r="E718" s="4" t="s">
        <v>87</v>
      </c>
      <c r="F718" s="4" t="s">
        <v>65</v>
      </c>
      <c r="G718" s="4" t="s">
        <v>28</v>
      </c>
      <c r="H718" s="4" t="s">
        <v>72</v>
      </c>
      <c r="I718" s="5">
        <v>45419</v>
      </c>
      <c r="J718" s="4" t="s">
        <v>30</v>
      </c>
      <c r="K718" s="5">
        <v>45536</v>
      </c>
      <c r="L718" s="4" t="s">
        <v>59</v>
      </c>
      <c r="M718" s="6">
        <v>22724</v>
      </c>
      <c r="N718" s="6">
        <v>8904</v>
      </c>
      <c r="O718" s="4">
        <v>12</v>
      </c>
      <c r="P718" s="5">
        <v>45548</v>
      </c>
      <c r="Q718" s="4" t="s">
        <v>33</v>
      </c>
      <c r="R718" s="4" t="s">
        <v>33</v>
      </c>
      <c r="S718" s="4" t="s">
        <v>34</v>
      </c>
      <c r="T718" s="7">
        <v>2.5520999999999998</v>
      </c>
      <c r="U718" s="8">
        <v>117</v>
      </c>
      <c r="V718" s="8">
        <v>2024</v>
      </c>
      <c r="W718" s="4" t="s">
        <v>168</v>
      </c>
    </row>
    <row r="719" spans="1:23" s="9" customFormat="1" ht="15.75" hidden="1" customHeight="1" x14ac:dyDescent="0.25">
      <c r="A719" s="10" t="s">
        <v>2215</v>
      </c>
      <c r="B719" s="10" t="s">
        <v>2216</v>
      </c>
      <c r="C719" s="10" t="s">
        <v>2217</v>
      </c>
      <c r="D719" s="22" t="s">
        <v>6090</v>
      </c>
      <c r="E719" s="10" t="s">
        <v>87</v>
      </c>
      <c r="F719" s="21" t="s">
        <v>6092</v>
      </c>
      <c r="G719" s="10" t="s">
        <v>28</v>
      </c>
      <c r="H719" s="10" t="s">
        <v>72</v>
      </c>
      <c r="I719" s="11">
        <v>45136</v>
      </c>
      <c r="J719" s="10" t="s">
        <v>30</v>
      </c>
      <c r="K719" s="11">
        <v>45434</v>
      </c>
      <c r="L719" s="10" t="s">
        <v>31</v>
      </c>
      <c r="M719" s="12">
        <v>10773</v>
      </c>
      <c r="N719" s="12">
        <v>6760</v>
      </c>
      <c r="O719" s="10" t="s">
        <v>32</v>
      </c>
      <c r="P719" s="10" t="s">
        <v>32</v>
      </c>
      <c r="Q719" s="10" t="s">
        <v>33</v>
      </c>
      <c r="R719" s="10" t="s">
        <v>33</v>
      </c>
      <c r="S719" s="10" t="s">
        <v>41</v>
      </c>
      <c r="T719" s="13">
        <v>1.5935999999999999</v>
      </c>
      <c r="U719" s="14">
        <v>298</v>
      </c>
      <c r="V719" s="14">
        <v>2024</v>
      </c>
      <c r="W719" s="10" t="s">
        <v>52</v>
      </c>
    </row>
    <row r="720" spans="1:23" s="9" customFormat="1" ht="15.75" hidden="1" customHeight="1" x14ac:dyDescent="0.25">
      <c r="A720" s="4" t="s">
        <v>2218</v>
      </c>
      <c r="B720" s="4" t="s">
        <v>2219</v>
      </c>
      <c r="C720" s="4" t="s">
        <v>2220</v>
      </c>
      <c r="D720" s="21" t="s">
        <v>6086</v>
      </c>
      <c r="E720" s="4" t="s">
        <v>26</v>
      </c>
      <c r="F720" s="4" t="s">
        <v>65</v>
      </c>
      <c r="G720" s="4" t="s">
        <v>57</v>
      </c>
      <c r="H720" s="4" t="s">
        <v>72</v>
      </c>
      <c r="I720" s="5">
        <v>45293</v>
      </c>
      <c r="J720" s="4" t="s">
        <v>30</v>
      </c>
      <c r="K720" s="5">
        <v>45480</v>
      </c>
      <c r="L720" s="4" t="s">
        <v>59</v>
      </c>
      <c r="M720" s="6">
        <v>78193</v>
      </c>
      <c r="N720" s="6">
        <v>1937</v>
      </c>
      <c r="O720" s="4">
        <v>4</v>
      </c>
      <c r="P720" s="5">
        <v>45484</v>
      </c>
      <c r="Q720" s="4" t="s">
        <v>33</v>
      </c>
      <c r="R720" s="4" t="s">
        <v>33</v>
      </c>
      <c r="S720" s="4" t="s">
        <v>60</v>
      </c>
      <c r="T720" s="7">
        <v>40.368099999999998</v>
      </c>
      <c r="U720" s="8">
        <v>187</v>
      </c>
      <c r="V720" s="8">
        <v>2024</v>
      </c>
      <c r="W720" s="4" t="s">
        <v>42</v>
      </c>
    </row>
    <row r="721" spans="1:23" s="9" customFormat="1" ht="15.75" hidden="1" customHeight="1" x14ac:dyDescent="0.25">
      <c r="A721" s="10" t="s">
        <v>2221</v>
      </c>
      <c r="B721" s="10" t="s">
        <v>2222</v>
      </c>
      <c r="C721" s="10" t="s">
        <v>2223</v>
      </c>
      <c r="D721" s="22" t="s">
        <v>6090</v>
      </c>
      <c r="E721" s="10" t="s">
        <v>26</v>
      </c>
      <c r="F721" s="10" t="s">
        <v>56</v>
      </c>
      <c r="G721" s="10" t="s">
        <v>5</v>
      </c>
      <c r="H721" s="10" t="s">
        <v>88</v>
      </c>
      <c r="I721" s="11">
        <v>45150</v>
      </c>
      <c r="J721" s="10" t="s">
        <v>40</v>
      </c>
      <c r="K721" s="11">
        <v>45422</v>
      </c>
      <c r="L721" s="10" t="s">
        <v>59</v>
      </c>
      <c r="M721" s="12">
        <v>56898</v>
      </c>
      <c r="N721" s="12">
        <v>905</v>
      </c>
      <c r="O721" s="10">
        <v>6</v>
      </c>
      <c r="P721" s="11">
        <v>45428</v>
      </c>
      <c r="Q721" s="10" t="s">
        <v>33</v>
      </c>
      <c r="R721" s="10" t="s">
        <v>33</v>
      </c>
      <c r="S721" s="10" t="s">
        <v>60</v>
      </c>
      <c r="T721" s="13">
        <v>62.870699999999999</v>
      </c>
      <c r="U721" s="14">
        <v>272</v>
      </c>
      <c r="V721" s="14">
        <v>2024</v>
      </c>
      <c r="W721" s="10" t="s">
        <v>52</v>
      </c>
    </row>
    <row r="722" spans="1:23" s="9" customFormat="1" ht="15.75" hidden="1" customHeight="1" x14ac:dyDescent="0.25">
      <c r="A722" s="4" t="s">
        <v>2224</v>
      </c>
      <c r="B722" s="4" t="s">
        <v>2225</v>
      </c>
      <c r="C722" s="4" t="s">
        <v>2226</v>
      </c>
      <c r="D722" s="22" t="s">
        <v>6090</v>
      </c>
      <c r="E722" s="4" t="s">
        <v>87</v>
      </c>
      <c r="F722" s="4" t="s">
        <v>27</v>
      </c>
      <c r="G722" s="4" t="s">
        <v>57</v>
      </c>
      <c r="H722" s="4" t="s">
        <v>58</v>
      </c>
      <c r="I722" s="5">
        <v>45230</v>
      </c>
      <c r="J722" s="4" t="s">
        <v>30</v>
      </c>
      <c r="K722" s="5">
        <v>45444</v>
      </c>
      <c r="L722" s="4" t="s">
        <v>31</v>
      </c>
      <c r="M722" s="6">
        <v>54130</v>
      </c>
      <c r="N722" s="6">
        <v>3301</v>
      </c>
      <c r="O722" s="4" t="s">
        <v>32</v>
      </c>
      <c r="P722" s="4" t="s">
        <v>32</v>
      </c>
      <c r="Q722" s="4" t="s">
        <v>33</v>
      </c>
      <c r="R722" s="4" t="s">
        <v>33</v>
      </c>
      <c r="S722" s="4" t="s">
        <v>60</v>
      </c>
      <c r="T722" s="7">
        <v>16.398099999999999</v>
      </c>
      <c r="U722" s="8">
        <v>214</v>
      </c>
      <c r="V722" s="8">
        <v>2024</v>
      </c>
      <c r="W722" s="4" t="s">
        <v>67</v>
      </c>
    </row>
    <row r="723" spans="1:23" s="9" customFormat="1" ht="15.75" hidden="1" customHeight="1" x14ac:dyDescent="0.25">
      <c r="A723" s="10" t="s">
        <v>2227</v>
      </c>
      <c r="B723" s="10" t="s">
        <v>2228</v>
      </c>
      <c r="C723" s="10" t="s">
        <v>2229</v>
      </c>
      <c r="D723" s="22" t="s">
        <v>6090</v>
      </c>
      <c r="E723" s="10" t="s">
        <v>26</v>
      </c>
      <c r="F723" s="10" t="s">
        <v>56</v>
      </c>
      <c r="G723" s="10" t="s">
        <v>5</v>
      </c>
      <c r="H723" s="10" t="s">
        <v>29</v>
      </c>
      <c r="I723" s="11">
        <v>45370</v>
      </c>
      <c r="J723" s="10" t="s">
        <v>40</v>
      </c>
      <c r="K723" s="11">
        <v>45408</v>
      </c>
      <c r="L723" s="10" t="s">
        <v>31</v>
      </c>
      <c r="M723" s="12">
        <v>11557</v>
      </c>
      <c r="N723" s="12">
        <v>1327</v>
      </c>
      <c r="O723" s="10" t="s">
        <v>32</v>
      </c>
      <c r="P723" s="10" t="s">
        <v>32</v>
      </c>
      <c r="Q723" s="10" t="s">
        <v>94</v>
      </c>
      <c r="R723" s="10" t="s">
        <v>94</v>
      </c>
      <c r="S723" s="10" t="s">
        <v>60</v>
      </c>
      <c r="T723" s="13">
        <v>8.7090999999999994</v>
      </c>
      <c r="U723" s="14">
        <v>38</v>
      </c>
      <c r="V723" s="14">
        <v>2024</v>
      </c>
      <c r="W723" s="10" t="s">
        <v>47</v>
      </c>
    </row>
    <row r="724" spans="1:23" s="9" customFormat="1" ht="15.75" hidden="1" customHeight="1" x14ac:dyDescent="0.25">
      <c r="A724" s="4" t="s">
        <v>2230</v>
      </c>
      <c r="B724" s="4" t="s">
        <v>2231</v>
      </c>
      <c r="C724" s="4" t="s">
        <v>2232</v>
      </c>
      <c r="D724" s="21" t="s">
        <v>6086</v>
      </c>
      <c r="E724" s="4" t="s">
        <v>26</v>
      </c>
      <c r="F724" s="4" t="s">
        <v>46</v>
      </c>
      <c r="G724" s="4" t="s">
        <v>57</v>
      </c>
      <c r="H724" s="4" t="s">
        <v>88</v>
      </c>
      <c r="I724" s="5">
        <v>45225</v>
      </c>
      <c r="J724" s="4" t="s">
        <v>30</v>
      </c>
      <c r="K724" s="5">
        <v>45583</v>
      </c>
      <c r="L724" s="4" t="s">
        <v>59</v>
      </c>
      <c r="M724" s="6">
        <v>84520</v>
      </c>
      <c r="N724" s="6">
        <v>2589</v>
      </c>
      <c r="O724" s="4">
        <v>29</v>
      </c>
      <c r="P724" s="5">
        <v>45612</v>
      </c>
      <c r="Q724" s="4" t="s">
        <v>94</v>
      </c>
      <c r="R724" s="4" t="s">
        <v>94</v>
      </c>
      <c r="S724" s="4" t="s">
        <v>41</v>
      </c>
      <c r="T724" s="7">
        <v>32.645800000000001</v>
      </c>
      <c r="U724" s="8">
        <v>358</v>
      </c>
      <c r="V724" s="8">
        <v>2024</v>
      </c>
      <c r="W724" s="4" t="s">
        <v>95</v>
      </c>
    </row>
    <row r="725" spans="1:23" s="9" customFormat="1" ht="15.75" hidden="1" customHeight="1" x14ac:dyDescent="0.25">
      <c r="A725" s="10" t="s">
        <v>2233</v>
      </c>
      <c r="B725" s="10" t="s">
        <v>2234</v>
      </c>
      <c r="C725" s="10" t="s">
        <v>2235</v>
      </c>
      <c r="D725" s="22" t="s">
        <v>6090</v>
      </c>
      <c r="E725" s="10" t="s">
        <v>87</v>
      </c>
      <c r="F725" s="10" t="s">
        <v>65</v>
      </c>
      <c r="G725" s="10" t="s">
        <v>5</v>
      </c>
      <c r="H725" s="10" t="s">
        <v>88</v>
      </c>
      <c r="I725" s="11">
        <v>45091</v>
      </c>
      <c r="J725" s="10" t="s">
        <v>40</v>
      </c>
      <c r="K725" s="11">
        <v>45319</v>
      </c>
      <c r="L725" s="10" t="s">
        <v>59</v>
      </c>
      <c r="M725" s="12">
        <v>20951</v>
      </c>
      <c r="N725" s="12">
        <v>6287</v>
      </c>
      <c r="O725" s="10">
        <v>44</v>
      </c>
      <c r="P725" s="11">
        <v>45363</v>
      </c>
      <c r="Q725" s="10" t="s">
        <v>33</v>
      </c>
      <c r="R725" s="10" t="s">
        <v>33</v>
      </c>
      <c r="S725" s="10" t="s">
        <v>60</v>
      </c>
      <c r="T725" s="13">
        <v>3.3323999999999998</v>
      </c>
      <c r="U725" s="14">
        <v>228</v>
      </c>
      <c r="V725" s="14">
        <v>2024</v>
      </c>
      <c r="W725" s="10" t="s">
        <v>73</v>
      </c>
    </row>
    <row r="726" spans="1:23" s="9" customFormat="1" ht="15.75" hidden="1" customHeight="1" x14ac:dyDescent="0.25">
      <c r="A726" s="4" t="s">
        <v>2236</v>
      </c>
      <c r="B726" s="4" t="s">
        <v>2237</v>
      </c>
      <c r="C726" s="4" t="s">
        <v>2238</v>
      </c>
      <c r="D726" s="21" t="s">
        <v>6086</v>
      </c>
      <c r="E726" s="4" t="s">
        <v>26</v>
      </c>
      <c r="F726" s="4" t="s">
        <v>71</v>
      </c>
      <c r="G726" s="4" t="s">
        <v>28</v>
      </c>
      <c r="H726" s="4" t="s">
        <v>58</v>
      </c>
      <c r="I726" s="5">
        <v>45102</v>
      </c>
      <c r="J726" s="4" t="s">
        <v>40</v>
      </c>
      <c r="K726" s="5">
        <v>45466</v>
      </c>
      <c r="L726" s="4" t="s">
        <v>59</v>
      </c>
      <c r="M726" s="6">
        <v>50052</v>
      </c>
      <c r="N726" s="6">
        <v>5809</v>
      </c>
      <c r="O726" s="4">
        <v>10</v>
      </c>
      <c r="P726" s="5">
        <v>45476</v>
      </c>
      <c r="Q726" s="4" t="s">
        <v>33</v>
      </c>
      <c r="R726" s="4" t="s">
        <v>33</v>
      </c>
      <c r="S726" s="4" t="s">
        <v>60</v>
      </c>
      <c r="T726" s="7">
        <v>8.6163000000000007</v>
      </c>
      <c r="U726" s="8">
        <v>364</v>
      </c>
      <c r="V726" s="8">
        <v>2024</v>
      </c>
      <c r="W726" s="4" t="s">
        <v>67</v>
      </c>
    </row>
    <row r="727" spans="1:23" s="9" customFormat="1" ht="15.75" hidden="1" customHeight="1" x14ac:dyDescent="0.25">
      <c r="A727" s="10" t="s">
        <v>2239</v>
      </c>
      <c r="B727" s="10" t="s">
        <v>2240</v>
      </c>
      <c r="C727" s="10" t="s">
        <v>2241</v>
      </c>
      <c r="D727" s="22" t="s">
        <v>6090</v>
      </c>
      <c r="E727" s="10" t="s">
        <v>26</v>
      </c>
      <c r="F727" s="10" t="s">
        <v>56</v>
      </c>
      <c r="G727" s="10" t="s">
        <v>57</v>
      </c>
      <c r="H727" s="10" t="s">
        <v>93</v>
      </c>
      <c r="I727" s="11">
        <v>45252</v>
      </c>
      <c r="J727" s="10" t="s">
        <v>40</v>
      </c>
      <c r="K727" s="11">
        <v>45363</v>
      </c>
      <c r="L727" s="10" t="s">
        <v>66</v>
      </c>
      <c r="M727" s="12">
        <v>58956</v>
      </c>
      <c r="N727" s="12">
        <v>7543</v>
      </c>
      <c r="O727" s="10" t="s">
        <v>32</v>
      </c>
      <c r="P727" s="10" t="s">
        <v>32</v>
      </c>
      <c r="Q727" s="10" t="s">
        <v>33</v>
      </c>
      <c r="R727" s="10" t="s">
        <v>33</v>
      </c>
      <c r="S727" s="10" t="s">
        <v>34</v>
      </c>
      <c r="T727" s="13">
        <v>7.8159999999999998</v>
      </c>
      <c r="U727" s="14">
        <v>111</v>
      </c>
      <c r="V727" s="14">
        <v>2024</v>
      </c>
      <c r="W727" s="10" t="s">
        <v>77</v>
      </c>
    </row>
    <row r="728" spans="1:23" s="9" customFormat="1" ht="15.75" hidden="1" customHeight="1" x14ac:dyDescent="0.25">
      <c r="A728" s="4" t="s">
        <v>2242</v>
      </c>
      <c r="B728" s="4" t="s">
        <v>2243</v>
      </c>
      <c r="C728" s="4" t="s">
        <v>2244</v>
      </c>
      <c r="D728" s="22" t="s">
        <v>6087</v>
      </c>
      <c r="E728" s="4" t="s">
        <v>26</v>
      </c>
      <c r="F728" s="4" t="s">
        <v>71</v>
      </c>
      <c r="G728" s="4" t="s">
        <v>5</v>
      </c>
      <c r="H728" s="4" t="s">
        <v>88</v>
      </c>
      <c r="I728" s="5">
        <v>45320</v>
      </c>
      <c r="J728" s="4" t="s">
        <v>30</v>
      </c>
      <c r="K728" s="5">
        <v>45428</v>
      </c>
      <c r="L728" s="4" t="s">
        <v>59</v>
      </c>
      <c r="M728" s="6">
        <v>4749</v>
      </c>
      <c r="N728" s="6">
        <v>4363</v>
      </c>
      <c r="O728" s="4">
        <v>22</v>
      </c>
      <c r="P728" s="5">
        <v>45450</v>
      </c>
      <c r="Q728" s="4" t="s">
        <v>33</v>
      </c>
      <c r="R728" s="4" t="s">
        <v>33</v>
      </c>
      <c r="S728" s="4" t="s">
        <v>34</v>
      </c>
      <c r="T728" s="7">
        <v>1.0885</v>
      </c>
      <c r="U728" s="8">
        <v>108</v>
      </c>
      <c r="V728" s="8">
        <v>2024</v>
      </c>
      <c r="W728" s="4" t="s">
        <v>52</v>
      </c>
    </row>
    <row r="729" spans="1:23" s="9" customFormat="1" ht="15.75" hidden="1" customHeight="1" x14ac:dyDescent="0.25">
      <c r="A729" s="10" t="s">
        <v>2245</v>
      </c>
      <c r="B729" s="10" t="s">
        <v>2246</v>
      </c>
      <c r="C729" s="10" t="s">
        <v>2247</v>
      </c>
      <c r="D729" s="22" t="s">
        <v>6090</v>
      </c>
      <c r="E729" s="10" t="s">
        <v>87</v>
      </c>
      <c r="F729" s="10" t="s">
        <v>71</v>
      </c>
      <c r="G729" s="10" t="s">
        <v>57</v>
      </c>
      <c r="H729" s="10" t="s">
        <v>39</v>
      </c>
      <c r="I729" s="11">
        <v>45306</v>
      </c>
      <c r="J729" s="10" t="s">
        <v>30</v>
      </c>
      <c r="K729" s="11">
        <v>45372</v>
      </c>
      <c r="L729" s="10" t="s">
        <v>59</v>
      </c>
      <c r="M729" s="12">
        <v>46231</v>
      </c>
      <c r="N729" s="12">
        <v>6803</v>
      </c>
      <c r="O729" s="10">
        <v>42</v>
      </c>
      <c r="P729" s="11">
        <v>45414</v>
      </c>
      <c r="Q729" s="10" t="s">
        <v>33</v>
      </c>
      <c r="R729" s="10" t="s">
        <v>33</v>
      </c>
      <c r="S729" s="10" t="s">
        <v>34</v>
      </c>
      <c r="T729" s="13">
        <v>6.7957000000000001</v>
      </c>
      <c r="U729" s="14">
        <v>66</v>
      </c>
      <c r="V729" s="14">
        <v>2024</v>
      </c>
      <c r="W729" s="10" t="s">
        <v>77</v>
      </c>
    </row>
    <row r="730" spans="1:23" s="9" customFormat="1" ht="15.75" hidden="1" customHeight="1" x14ac:dyDescent="0.25">
      <c r="A730" s="4" t="s">
        <v>2248</v>
      </c>
      <c r="B730" s="4" t="s">
        <v>2249</v>
      </c>
      <c r="C730" s="4" t="s">
        <v>2250</v>
      </c>
      <c r="D730" s="22" t="s">
        <v>6087</v>
      </c>
      <c r="E730" s="4" t="s">
        <v>26</v>
      </c>
      <c r="F730" s="4" t="s">
        <v>27</v>
      </c>
      <c r="G730" s="4" t="s">
        <v>57</v>
      </c>
      <c r="H730" s="4" t="s">
        <v>161</v>
      </c>
      <c r="I730" s="5">
        <v>45423</v>
      </c>
      <c r="J730" s="4" t="s">
        <v>30</v>
      </c>
      <c r="K730" s="5">
        <v>45515</v>
      </c>
      <c r="L730" s="4" t="s">
        <v>59</v>
      </c>
      <c r="M730" s="6">
        <v>2939</v>
      </c>
      <c r="N730" s="6">
        <v>1704</v>
      </c>
      <c r="O730" s="4">
        <v>18</v>
      </c>
      <c r="P730" s="5">
        <v>45533</v>
      </c>
      <c r="Q730" s="4" t="s">
        <v>33</v>
      </c>
      <c r="R730" s="4" t="s">
        <v>33</v>
      </c>
      <c r="S730" s="4" t="s">
        <v>60</v>
      </c>
      <c r="T730" s="7">
        <v>1.7248000000000001</v>
      </c>
      <c r="U730" s="8">
        <v>92</v>
      </c>
      <c r="V730" s="8">
        <v>2024</v>
      </c>
      <c r="W730" s="4" t="s">
        <v>114</v>
      </c>
    </row>
    <row r="731" spans="1:23" s="9" customFormat="1" ht="15.75" hidden="1" customHeight="1" x14ac:dyDescent="0.25">
      <c r="A731" s="10" t="s">
        <v>2251</v>
      </c>
      <c r="B731" s="10" t="s">
        <v>2252</v>
      </c>
      <c r="C731" s="10" t="s">
        <v>2253</v>
      </c>
      <c r="D731" s="21" t="s">
        <v>6086</v>
      </c>
      <c r="E731" s="10" t="s">
        <v>87</v>
      </c>
      <c r="F731" s="10" t="s">
        <v>71</v>
      </c>
      <c r="G731" s="10" t="s">
        <v>57</v>
      </c>
      <c r="H731" s="10" t="s">
        <v>93</v>
      </c>
      <c r="I731" s="11">
        <v>45077</v>
      </c>
      <c r="J731" s="10" t="s">
        <v>40</v>
      </c>
      <c r="K731" s="11">
        <v>45437</v>
      </c>
      <c r="L731" s="10" t="s">
        <v>59</v>
      </c>
      <c r="M731" s="12">
        <v>23718</v>
      </c>
      <c r="N731" s="12">
        <v>6271</v>
      </c>
      <c r="O731" s="10">
        <v>37</v>
      </c>
      <c r="P731" s="11">
        <v>45474</v>
      </c>
      <c r="Q731" s="10" t="s">
        <v>33</v>
      </c>
      <c r="R731" s="10" t="s">
        <v>33</v>
      </c>
      <c r="S731" s="10" t="s">
        <v>41</v>
      </c>
      <c r="T731" s="13">
        <v>3.7822</v>
      </c>
      <c r="U731" s="14">
        <v>360</v>
      </c>
      <c r="V731" s="14">
        <v>2024</v>
      </c>
      <c r="W731" s="10" t="s">
        <v>52</v>
      </c>
    </row>
    <row r="732" spans="1:23" s="9" customFormat="1" ht="15.75" hidden="1" customHeight="1" x14ac:dyDescent="0.25">
      <c r="A732" s="4" t="s">
        <v>2254</v>
      </c>
      <c r="B732" s="4" t="s">
        <v>2255</v>
      </c>
      <c r="C732" s="4" t="s">
        <v>2256</v>
      </c>
      <c r="D732" s="21" t="s">
        <v>6088</v>
      </c>
      <c r="E732" s="4" t="s">
        <v>51</v>
      </c>
      <c r="F732" s="21" t="s">
        <v>6092</v>
      </c>
      <c r="G732" s="4" t="s">
        <v>28</v>
      </c>
      <c r="H732" s="4" t="s">
        <v>58</v>
      </c>
      <c r="I732" s="5">
        <v>45424</v>
      </c>
      <c r="J732" s="4" t="s">
        <v>30</v>
      </c>
      <c r="K732" s="5">
        <v>45494</v>
      </c>
      <c r="L732" s="4" t="s">
        <v>59</v>
      </c>
      <c r="M732" s="6">
        <v>20540</v>
      </c>
      <c r="N732" s="6">
        <v>605</v>
      </c>
      <c r="O732" s="4">
        <v>4</v>
      </c>
      <c r="P732" s="5">
        <v>45498</v>
      </c>
      <c r="Q732" s="4" t="s">
        <v>33</v>
      </c>
      <c r="R732" s="4" t="s">
        <v>33</v>
      </c>
      <c r="S732" s="4" t="s">
        <v>41</v>
      </c>
      <c r="T732" s="7">
        <v>33.950400000000002</v>
      </c>
      <c r="U732" s="8">
        <v>70</v>
      </c>
      <c r="V732" s="8">
        <v>2024</v>
      </c>
      <c r="W732" s="4" t="s">
        <v>42</v>
      </c>
    </row>
    <row r="733" spans="1:23" s="9" customFormat="1" ht="15.75" hidden="1" customHeight="1" x14ac:dyDescent="0.25">
      <c r="A733" s="10" t="s">
        <v>2257</v>
      </c>
      <c r="B733" s="10" t="s">
        <v>2258</v>
      </c>
      <c r="C733" s="10" t="s">
        <v>2259</v>
      </c>
      <c r="D733" s="21" t="s">
        <v>6088</v>
      </c>
      <c r="E733" s="10" t="s">
        <v>51</v>
      </c>
      <c r="F733" s="10" t="s">
        <v>56</v>
      </c>
      <c r="G733" s="10" t="s">
        <v>57</v>
      </c>
      <c r="H733" s="10" t="s">
        <v>29</v>
      </c>
      <c r="I733" s="11">
        <v>45100</v>
      </c>
      <c r="J733" s="10" t="s">
        <v>40</v>
      </c>
      <c r="K733" s="11">
        <v>45409</v>
      </c>
      <c r="L733" s="10" t="s">
        <v>59</v>
      </c>
      <c r="M733" s="12">
        <v>40624</v>
      </c>
      <c r="N733" s="12">
        <v>6733</v>
      </c>
      <c r="O733" s="10">
        <v>37</v>
      </c>
      <c r="P733" s="11">
        <v>45446</v>
      </c>
      <c r="Q733" s="10" t="s">
        <v>33</v>
      </c>
      <c r="R733" s="10" t="s">
        <v>33</v>
      </c>
      <c r="S733" s="10" t="s">
        <v>41</v>
      </c>
      <c r="T733" s="13">
        <v>6.0335999999999999</v>
      </c>
      <c r="U733" s="14">
        <v>309</v>
      </c>
      <c r="V733" s="14">
        <v>2024</v>
      </c>
      <c r="W733" s="10" t="s">
        <v>47</v>
      </c>
    </row>
    <row r="734" spans="1:23" s="9" customFormat="1" ht="15.75" hidden="1" customHeight="1" x14ac:dyDescent="0.25">
      <c r="A734" s="4" t="s">
        <v>2260</v>
      </c>
      <c r="B734" s="4" t="s">
        <v>2261</v>
      </c>
      <c r="C734" s="4" t="s">
        <v>2262</v>
      </c>
      <c r="D734" s="21" t="s">
        <v>6089</v>
      </c>
      <c r="E734" s="4" t="s">
        <v>26</v>
      </c>
      <c r="F734" s="4" t="s">
        <v>27</v>
      </c>
      <c r="G734" s="4" t="s">
        <v>57</v>
      </c>
      <c r="H734" s="4" t="s">
        <v>58</v>
      </c>
      <c r="I734" s="5">
        <v>45185</v>
      </c>
      <c r="J734" s="4" t="s">
        <v>30</v>
      </c>
      <c r="K734" s="5">
        <v>45492</v>
      </c>
      <c r="L734" s="4" t="s">
        <v>59</v>
      </c>
      <c r="M734" s="6">
        <v>41333</v>
      </c>
      <c r="N734" s="6">
        <v>5519</v>
      </c>
      <c r="O734" s="4">
        <v>3</v>
      </c>
      <c r="P734" s="5">
        <v>45495</v>
      </c>
      <c r="Q734" s="4" t="s">
        <v>94</v>
      </c>
      <c r="R734" s="4" t="s">
        <v>33</v>
      </c>
      <c r="S734" s="4" t="s">
        <v>34</v>
      </c>
      <c r="T734" s="7">
        <v>7.4892000000000003</v>
      </c>
      <c r="U734" s="8">
        <v>307</v>
      </c>
      <c r="V734" s="8">
        <v>2024</v>
      </c>
      <c r="W734" s="4" t="s">
        <v>42</v>
      </c>
    </row>
    <row r="735" spans="1:23" s="9" customFormat="1" ht="15.75" hidden="1" customHeight="1" x14ac:dyDescent="0.25">
      <c r="A735" s="10" t="s">
        <v>2263</v>
      </c>
      <c r="B735" s="10" t="s">
        <v>2264</v>
      </c>
      <c r="C735" s="10" t="s">
        <v>2265</v>
      </c>
      <c r="D735" s="22" t="s">
        <v>6090</v>
      </c>
      <c r="E735" s="10" t="s">
        <v>51</v>
      </c>
      <c r="F735" s="10" t="s">
        <v>56</v>
      </c>
      <c r="G735" s="10" t="s">
        <v>28</v>
      </c>
      <c r="H735" s="10" t="s">
        <v>39</v>
      </c>
      <c r="I735" s="11">
        <v>45434</v>
      </c>
      <c r="J735" s="10" t="s">
        <v>30</v>
      </c>
      <c r="K735" s="11">
        <v>45586</v>
      </c>
      <c r="L735" s="10" t="s">
        <v>59</v>
      </c>
      <c r="M735" s="12">
        <v>10574</v>
      </c>
      <c r="N735" s="12">
        <v>4938</v>
      </c>
      <c r="O735" s="10">
        <v>43</v>
      </c>
      <c r="P735" s="11">
        <v>45629</v>
      </c>
      <c r="Q735" s="10" t="s">
        <v>94</v>
      </c>
      <c r="R735" s="10" t="s">
        <v>33</v>
      </c>
      <c r="S735" s="10" t="s">
        <v>34</v>
      </c>
      <c r="T735" s="13">
        <v>2.1414</v>
      </c>
      <c r="U735" s="14">
        <v>152</v>
      </c>
      <c r="V735" s="14">
        <v>2024</v>
      </c>
      <c r="W735" s="10" t="s">
        <v>95</v>
      </c>
    </row>
    <row r="736" spans="1:23" s="9" customFormat="1" ht="15.75" hidden="1" customHeight="1" x14ac:dyDescent="0.25">
      <c r="A736" s="4" t="s">
        <v>2266</v>
      </c>
      <c r="B736" s="4" t="s">
        <v>2267</v>
      </c>
      <c r="C736" s="4" t="s">
        <v>2268</v>
      </c>
      <c r="D736" s="22" t="s">
        <v>6087</v>
      </c>
      <c r="E736" s="4" t="s">
        <v>51</v>
      </c>
      <c r="F736" s="21" t="s">
        <v>6092</v>
      </c>
      <c r="G736" s="4" t="s">
        <v>5</v>
      </c>
      <c r="H736" s="4" t="s">
        <v>161</v>
      </c>
      <c r="I736" s="5">
        <v>45378</v>
      </c>
      <c r="J736" s="4" t="s">
        <v>30</v>
      </c>
      <c r="K736" s="5">
        <v>45458</v>
      </c>
      <c r="L736" s="4" t="s">
        <v>31</v>
      </c>
      <c r="M736" s="6">
        <v>36863</v>
      </c>
      <c r="N736" s="6">
        <v>845</v>
      </c>
      <c r="O736" s="4" t="s">
        <v>32</v>
      </c>
      <c r="P736" s="4" t="s">
        <v>32</v>
      </c>
      <c r="Q736" s="4" t="s">
        <v>33</v>
      </c>
      <c r="R736" s="4" t="s">
        <v>33</v>
      </c>
      <c r="S736" s="4" t="s">
        <v>34</v>
      </c>
      <c r="T736" s="7">
        <v>43.624899999999997</v>
      </c>
      <c r="U736" s="8">
        <v>80</v>
      </c>
      <c r="V736" s="8">
        <v>2024</v>
      </c>
      <c r="W736" s="4" t="s">
        <v>67</v>
      </c>
    </row>
    <row r="737" spans="1:23" s="9" customFormat="1" ht="15.75" hidden="1" customHeight="1" x14ac:dyDescent="0.25">
      <c r="A737" s="10" t="s">
        <v>2269</v>
      </c>
      <c r="B737" s="10" t="s">
        <v>2270</v>
      </c>
      <c r="C737" s="10" t="s">
        <v>2271</v>
      </c>
      <c r="D737" s="21" t="s">
        <v>6089</v>
      </c>
      <c r="E737" s="10" t="s">
        <v>51</v>
      </c>
      <c r="F737" s="10" t="s">
        <v>56</v>
      </c>
      <c r="G737" s="10" t="s">
        <v>5</v>
      </c>
      <c r="H737" s="10" t="s">
        <v>161</v>
      </c>
      <c r="I737" s="11">
        <v>45305</v>
      </c>
      <c r="J737" s="10" t="s">
        <v>40</v>
      </c>
      <c r="K737" s="11">
        <v>45657</v>
      </c>
      <c r="L737" s="10" t="s">
        <v>59</v>
      </c>
      <c r="M737" s="12">
        <v>27952</v>
      </c>
      <c r="N737" s="12">
        <v>3690</v>
      </c>
      <c r="O737" s="10">
        <v>12</v>
      </c>
      <c r="P737" s="11">
        <v>45669</v>
      </c>
      <c r="Q737" s="10" t="s">
        <v>33</v>
      </c>
      <c r="R737" s="10" t="s">
        <v>33</v>
      </c>
      <c r="S737" s="10" t="s">
        <v>41</v>
      </c>
      <c r="T737" s="13">
        <v>7.5750999999999999</v>
      </c>
      <c r="U737" s="14">
        <v>352</v>
      </c>
      <c r="V737" s="14">
        <v>2024</v>
      </c>
      <c r="W737" s="10" t="s">
        <v>89</v>
      </c>
    </row>
    <row r="738" spans="1:23" s="9" customFormat="1" ht="15.75" hidden="1" customHeight="1" x14ac:dyDescent="0.25">
      <c r="A738" s="4" t="s">
        <v>2272</v>
      </c>
      <c r="B738" s="4" t="s">
        <v>2273</v>
      </c>
      <c r="C738" s="4" t="s">
        <v>2274</v>
      </c>
      <c r="D738" s="22" t="s">
        <v>6090</v>
      </c>
      <c r="E738" s="4" t="s">
        <v>87</v>
      </c>
      <c r="F738" s="4" t="s">
        <v>71</v>
      </c>
      <c r="G738" s="4" t="s">
        <v>5</v>
      </c>
      <c r="H738" s="4" t="s">
        <v>39</v>
      </c>
      <c r="I738" s="5">
        <v>45363</v>
      </c>
      <c r="J738" s="4" t="s">
        <v>40</v>
      </c>
      <c r="K738" s="5">
        <v>45624</v>
      </c>
      <c r="L738" s="4" t="s">
        <v>31</v>
      </c>
      <c r="M738" s="6">
        <v>38946</v>
      </c>
      <c r="N738" s="6">
        <v>4762</v>
      </c>
      <c r="O738" s="4" t="s">
        <v>32</v>
      </c>
      <c r="P738" s="4" t="s">
        <v>32</v>
      </c>
      <c r="Q738" s="4" t="s">
        <v>33</v>
      </c>
      <c r="R738" s="4" t="s">
        <v>33</v>
      </c>
      <c r="S738" s="4" t="s">
        <v>34</v>
      </c>
      <c r="T738" s="7">
        <v>8.1784999999999997</v>
      </c>
      <c r="U738" s="8">
        <v>261</v>
      </c>
      <c r="V738" s="8">
        <v>2024</v>
      </c>
      <c r="W738" s="4" t="s">
        <v>61</v>
      </c>
    </row>
    <row r="739" spans="1:23" s="9" customFormat="1" ht="15.75" hidden="1" customHeight="1" x14ac:dyDescent="0.25">
      <c r="A739" s="10" t="s">
        <v>2275</v>
      </c>
      <c r="B739" s="10" t="s">
        <v>2276</v>
      </c>
      <c r="C739" s="10" t="s">
        <v>2277</v>
      </c>
      <c r="D739" s="22" t="s">
        <v>6090</v>
      </c>
      <c r="E739" s="10" t="s">
        <v>26</v>
      </c>
      <c r="F739" s="10" t="s">
        <v>27</v>
      </c>
      <c r="G739" s="10" t="s">
        <v>28</v>
      </c>
      <c r="H739" s="10" t="s">
        <v>161</v>
      </c>
      <c r="I739" s="11">
        <v>45139</v>
      </c>
      <c r="J739" s="10" t="s">
        <v>30</v>
      </c>
      <c r="K739" s="11">
        <v>45473</v>
      </c>
      <c r="L739" s="10" t="s">
        <v>66</v>
      </c>
      <c r="M739" s="12">
        <v>9228</v>
      </c>
      <c r="N739" s="12">
        <v>1084</v>
      </c>
      <c r="O739" s="10" t="s">
        <v>32</v>
      </c>
      <c r="P739" s="10" t="s">
        <v>32</v>
      </c>
      <c r="Q739" s="10" t="s">
        <v>94</v>
      </c>
      <c r="R739" s="10" t="s">
        <v>33</v>
      </c>
      <c r="S739" s="10" t="s">
        <v>41</v>
      </c>
      <c r="T739" s="13">
        <v>8.5129000000000001</v>
      </c>
      <c r="U739" s="14">
        <v>334</v>
      </c>
      <c r="V739" s="14">
        <v>2024</v>
      </c>
      <c r="W739" s="10" t="s">
        <v>67</v>
      </c>
    </row>
    <row r="740" spans="1:23" s="9" customFormat="1" ht="15.75" hidden="1" customHeight="1" x14ac:dyDescent="0.25">
      <c r="A740" s="4" t="s">
        <v>2278</v>
      </c>
      <c r="B740" s="4" t="s">
        <v>2279</v>
      </c>
      <c r="C740" s="4" t="s">
        <v>2280</v>
      </c>
      <c r="D740" s="22" t="s">
        <v>6087</v>
      </c>
      <c r="E740" s="4" t="s">
        <v>51</v>
      </c>
      <c r="F740" s="4" t="s">
        <v>71</v>
      </c>
      <c r="G740" s="4" t="s">
        <v>5</v>
      </c>
      <c r="H740" s="4" t="s">
        <v>72</v>
      </c>
      <c r="I740" s="5">
        <v>45469</v>
      </c>
      <c r="J740" s="4" t="s">
        <v>30</v>
      </c>
      <c r="K740" s="5">
        <v>45561</v>
      </c>
      <c r="L740" s="4" t="s">
        <v>59</v>
      </c>
      <c r="M740" s="6">
        <v>11986</v>
      </c>
      <c r="N740" s="6">
        <v>936</v>
      </c>
      <c r="O740" s="4">
        <v>3</v>
      </c>
      <c r="P740" s="5">
        <v>45564</v>
      </c>
      <c r="Q740" s="4" t="s">
        <v>94</v>
      </c>
      <c r="R740" s="4" t="s">
        <v>94</v>
      </c>
      <c r="S740" s="4" t="s">
        <v>41</v>
      </c>
      <c r="T740" s="7">
        <v>12.8056</v>
      </c>
      <c r="U740" s="8">
        <v>92</v>
      </c>
      <c r="V740" s="8">
        <v>2024</v>
      </c>
      <c r="W740" s="4" t="s">
        <v>168</v>
      </c>
    </row>
    <row r="741" spans="1:23" s="9" customFormat="1" ht="15.75" hidden="1" customHeight="1" x14ac:dyDescent="0.25">
      <c r="A741" s="10" t="s">
        <v>2281</v>
      </c>
      <c r="B741" s="10" t="s">
        <v>2282</v>
      </c>
      <c r="C741" s="10" t="s">
        <v>2283</v>
      </c>
      <c r="D741" s="21" t="s">
        <v>6091</v>
      </c>
      <c r="E741" s="10" t="s">
        <v>87</v>
      </c>
      <c r="F741" s="10" t="s">
        <v>46</v>
      </c>
      <c r="G741" s="10" t="s">
        <v>5</v>
      </c>
      <c r="H741" s="10" t="s">
        <v>58</v>
      </c>
      <c r="I741" s="11">
        <v>45325</v>
      </c>
      <c r="J741" s="10" t="s">
        <v>30</v>
      </c>
      <c r="K741" s="11">
        <v>45637</v>
      </c>
      <c r="L741" s="10" t="s">
        <v>66</v>
      </c>
      <c r="M741" s="12">
        <v>11202</v>
      </c>
      <c r="N741" s="12">
        <v>6701</v>
      </c>
      <c r="O741" s="10" t="s">
        <v>32</v>
      </c>
      <c r="P741" s="10" t="s">
        <v>32</v>
      </c>
      <c r="Q741" s="10" t="s">
        <v>33</v>
      </c>
      <c r="R741" s="10" t="s">
        <v>33</v>
      </c>
      <c r="S741" s="10" t="s">
        <v>41</v>
      </c>
      <c r="T741" s="13">
        <v>1.6717</v>
      </c>
      <c r="U741" s="14">
        <v>312</v>
      </c>
      <c r="V741" s="14">
        <v>2024</v>
      </c>
      <c r="W741" s="10" t="s">
        <v>89</v>
      </c>
    </row>
    <row r="742" spans="1:23" s="9" customFormat="1" ht="15.75" hidden="1" customHeight="1" x14ac:dyDescent="0.25">
      <c r="A742" s="4" t="s">
        <v>2284</v>
      </c>
      <c r="B742" s="4" t="s">
        <v>2285</v>
      </c>
      <c r="C742" s="4" t="s">
        <v>2286</v>
      </c>
      <c r="D742" s="21" t="s">
        <v>6086</v>
      </c>
      <c r="E742" s="4" t="s">
        <v>26</v>
      </c>
      <c r="F742" s="4" t="s">
        <v>56</v>
      </c>
      <c r="G742" s="4" t="s">
        <v>28</v>
      </c>
      <c r="H742" s="4" t="s">
        <v>118</v>
      </c>
      <c r="I742" s="5">
        <v>45511</v>
      </c>
      <c r="J742" s="4" t="s">
        <v>30</v>
      </c>
      <c r="K742" s="5">
        <v>45634</v>
      </c>
      <c r="L742" s="4" t="s">
        <v>31</v>
      </c>
      <c r="M742" s="6">
        <v>43646</v>
      </c>
      <c r="N742" s="6">
        <v>6056</v>
      </c>
      <c r="O742" s="4" t="s">
        <v>32</v>
      </c>
      <c r="P742" s="4" t="s">
        <v>32</v>
      </c>
      <c r="Q742" s="4" t="s">
        <v>33</v>
      </c>
      <c r="R742" s="4" t="s">
        <v>33</v>
      </c>
      <c r="S742" s="4" t="s">
        <v>34</v>
      </c>
      <c r="T742" s="7">
        <v>7.2070999999999996</v>
      </c>
      <c r="U742" s="8">
        <v>123</v>
      </c>
      <c r="V742" s="8">
        <v>2024</v>
      </c>
      <c r="W742" s="4" t="s">
        <v>89</v>
      </c>
    </row>
    <row r="743" spans="1:23" s="9" customFormat="1" ht="15.75" hidden="1" customHeight="1" x14ac:dyDescent="0.25">
      <c r="A743" s="10" t="s">
        <v>2287</v>
      </c>
      <c r="B743" s="10" t="s">
        <v>2288</v>
      </c>
      <c r="C743" s="10" t="s">
        <v>2289</v>
      </c>
      <c r="D743" s="21" t="s">
        <v>6088</v>
      </c>
      <c r="E743" s="10" t="s">
        <v>87</v>
      </c>
      <c r="F743" s="10" t="s">
        <v>27</v>
      </c>
      <c r="G743" s="10" t="s">
        <v>28</v>
      </c>
      <c r="H743" s="10" t="s">
        <v>58</v>
      </c>
      <c r="I743" s="11">
        <v>45036</v>
      </c>
      <c r="J743" s="10" t="s">
        <v>30</v>
      </c>
      <c r="K743" s="11">
        <v>45393</v>
      </c>
      <c r="L743" s="10" t="s">
        <v>66</v>
      </c>
      <c r="M743" s="12">
        <v>73559</v>
      </c>
      <c r="N743" s="12">
        <v>8545</v>
      </c>
      <c r="O743" s="10" t="s">
        <v>32</v>
      </c>
      <c r="P743" s="10" t="s">
        <v>32</v>
      </c>
      <c r="Q743" s="10" t="s">
        <v>33</v>
      </c>
      <c r="R743" s="10" t="s">
        <v>33</v>
      </c>
      <c r="S743" s="10" t="s">
        <v>60</v>
      </c>
      <c r="T743" s="13">
        <v>8.6083999999999996</v>
      </c>
      <c r="U743" s="14">
        <v>357</v>
      </c>
      <c r="V743" s="14">
        <v>2024</v>
      </c>
      <c r="W743" s="10" t="s">
        <v>47</v>
      </c>
    </row>
    <row r="744" spans="1:23" s="9" customFormat="1" ht="15.75" hidden="1" customHeight="1" x14ac:dyDescent="0.25">
      <c r="A744" s="4" t="s">
        <v>2290</v>
      </c>
      <c r="B744" s="4" t="s">
        <v>2291</v>
      </c>
      <c r="C744" s="4" t="s">
        <v>2292</v>
      </c>
      <c r="D744" s="21" t="s">
        <v>6086</v>
      </c>
      <c r="E744" s="4" t="s">
        <v>26</v>
      </c>
      <c r="F744" s="4" t="s">
        <v>46</v>
      </c>
      <c r="G744" s="4" t="s">
        <v>5</v>
      </c>
      <c r="H744" s="4" t="s">
        <v>118</v>
      </c>
      <c r="I744" s="5">
        <v>45363</v>
      </c>
      <c r="J744" s="4" t="s">
        <v>40</v>
      </c>
      <c r="K744" s="5">
        <v>45426</v>
      </c>
      <c r="L744" s="4" t="s">
        <v>59</v>
      </c>
      <c r="M744" s="6">
        <v>54624</v>
      </c>
      <c r="N744" s="6">
        <v>1487</v>
      </c>
      <c r="O744" s="4">
        <v>44</v>
      </c>
      <c r="P744" s="5">
        <v>45470</v>
      </c>
      <c r="Q744" s="4" t="s">
        <v>33</v>
      </c>
      <c r="R744" s="4" t="s">
        <v>33</v>
      </c>
      <c r="S744" s="4" t="s">
        <v>34</v>
      </c>
      <c r="T744" s="7">
        <v>36.734400000000001</v>
      </c>
      <c r="U744" s="8">
        <v>63</v>
      </c>
      <c r="V744" s="8">
        <v>2024</v>
      </c>
      <c r="W744" s="4" t="s">
        <v>52</v>
      </c>
    </row>
    <row r="745" spans="1:23" s="9" customFormat="1" ht="15.75" hidden="1" customHeight="1" x14ac:dyDescent="0.25">
      <c r="A745" s="10" t="s">
        <v>2293</v>
      </c>
      <c r="B745" s="10" t="s">
        <v>2294</v>
      </c>
      <c r="C745" s="10" t="s">
        <v>2295</v>
      </c>
      <c r="D745" s="22" t="s">
        <v>6087</v>
      </c>
      <c r="E745" s="10" t="s">
        <v>87</v>
      </c>
      <c r="F745" s="10" t="s">
        <v>27</v>
      </c>
      <c r="G745" s="10" t="s">
        <v>5</v>
      </c>
      <c r="H745" s="10" t="s">
        <v>29</v>
      </c>
      <c r="I745" s="11">
        <v>45356</v>
      </c>
      <c r="J745" s="10" t="s">
        <v>40</v>
      </c>
      <c r="K745" s="11">
        <v>45430</v>
      </c>
      <c r="L745" s="10" t="s">
        <v>59</v>
      </c>
      <c r="M745" s="12">
        <v>16948</v>
      </c>
      <c r="N745" s="12">
        <v>5230</v>
      </c>
      <c r="O745" s="10">
        <v>45</v>
      </c>
      <c r="P745" s="11">
        <v>45475</v>
      </c>
      <c r="Q745" s="10" t="s">
        <v>33</v>
      </c>
      <c r="R745" s="10" t="s">
        <v>33</v>
      </c>
      <c r="S745" s="10" t="s">
        <v>41</v>
      </c>
      <c r="T745" s="13">
        <v>3.2404999999999999</v>
      </c>
      <c r="U745" s="14">
        <v>74</v>
      </c>
      <c r="V745" s="14">
        <v>2024</v>
      </c>
      <c r="W745" s="10" t="s">
        <v>52</v>
      </c>
    </row>
    <row r="746" spans="1:23" s="9" customFormat="1" ht="15.75" hidden="1" customHeight="1" x14ac:dyDescent="0.25">
      <c r="A746" s="4" t="s">
        <v>2296</v>
      </c>
      <c r="B746" s="4" t="s">
        <v>2297</v>
      </c>
      <c r="C746" s="4" t="s">
        <v>2298</v>
      </c>
      <c r="D746" s="22" t="s">
        <v>6087</v>
      </c>
      <c r="E746" s="4" t="s">
        <v>87</v>
      </c>
      <c r="F746" s="4" t="s">
        <v>56</v>
      </c>
      <c r="G746" s="4" t="s">
        <v>57</v>
      </c>
      <c r="H746" s="4" t="s">
        <v>88</v>
      </c>
      <c r="I746" s="5">
        <v>45357</v>
      </c>
      <c r="J746" s="4" t="s">
        <v>40</v>
      </c>
      <c r="K746" s="5">
        <v>45521</v>
      </c>
      <c r="L746" s="4" t="s">
        <v>59</v>
      </c>
      <c r="M746" s="6">
        <v>2108</v>
      </c>
      <c r="N746" s="6">
        <v>8493</v>
      </c>
      <c r="O746" s="4">
        <v>18</v>
      </c>
      <c r="P746" s="5">
        <v>45539</v>
      </c>
      <c r="Q746" s="4" t="s">
        <v>33</v>
      </c>
      <c r="R746" s="4" t="s">
        <v>33</v>
      </c>
      <c r="S746" s="4" t="s">
        <v>41</v>
      </c>
      <c r="T746" s="7">
        <v>0.2482</v>
      </c>
      <c r="U746" s="8">
        <v>164</v>
      </c>
      <c r="V746" s="8">
        <v>2024</v>
      </c>
      <c r="W746" s="4" t="s">
        <v>114</v>
      </c>
    </row>
    <row r="747" spans="1:23" s="9" customFormat="1" ht="15.75" hidden="1" customHeight="1" x14ac:dyDescent="0.25">
      <c r="A747" s="10" t="s">
        <v>2299</v>
      </c>
      <c r="B747" s="10" t="s">
        <v>2300</v>
      </c>
      <c r="C747" s="10" t="s">
        <v>2301</v>
      </c>
      <c r="D747" s="21" t="s">
        <v>6091</v>
      </c>
      <c r="E747" s="10" t="s">
        <v>87</v>
      </c>
      <c r="F747" s="10" t="s">
        <v>27</v>
      </c>
      <c r="G747" s="10" t="s">
        <v>57</v>
      </c>
      <c r="H747" s="10" t="s">
        <v>118</v>
      </c>
      <c r="I747" s="11">
        <v>45209</v>
      </c>
      <c r="J747" s="10" t="s">
        <v>30</v>
      </c>
      <c r="K747" s="11">
        <v>45363</v>
      </c>
      <c r="L747" s="10" t="s">
        <v>31</v>
      </c>
      <c r="M747" s="12">
        <v>2647</v>
      </c>
      <c r="N747" s="12">
        <v>1509</v>
      </c>
      <c r="O747" s="10" t="s">
        <v>32</v>
      </c>
      <c r="P747" s="10" t="s">
        <v>32</v>
      </c>
      <c r="Q747" s="10" t="s">
        <v>33</v>
      </c>
      <c r="R747" s="10" t="s">
        <v>33</v>
      </c>
      <c r="S747" s="10" t="s">
        <v>34</v>
      </c>
      <c r="T747" s="13">
        <v>1.7541</v>
      </c>
      <c r="U747" s="14">
        <v>154</v>
      </c>
      <c r="V747" s="14">
        <v>2024</v>
      </c>
      <c r="W747" s="10" t="s">
        <v>77</v>
      </c>
    </row>
    <row r="748" spans="1:23" s="9" customFormat="1" ht="15.75" hidden="1" customHeight="1" x14ac:dyDescent="0.25">
      <c r="A748" s="4" t="s">
        <v>2302</v>
      </c>
      <c r="B748" s="4" t="s">
        <v>2303</v>
      </c>
      <c r="C748" s="4" t="s">
        <v>2304</v>
      </c>
      <c r="D748" s="22" t="s">
        <v>6087</v>
      </c>
      <c r="E748" s="4" t="s">
        <v>26</v>
      </c>
      <c r="F748" s="4" t="s">
        <v>71</v>
      </c>
      <c r="G748" s="4" t="s">
        <v>28</v>
      </c>
      <c r="H748" s="4" t="s">
        <v>39</v>
      </c>
      <c r="I748" s="5">
        <v>45218</v>
      </c>
      <c r="J748" s="4" t="s">
        <v>40</v>
      </c>
      <c r="K748" s="5">
        <v>45537</v>
      </c>
      <c r="L748" s="4" t="s">
        <v>59</v>
      </c>
      <c r="M748" s="6">
        <v>6126</v>
      </c>
      <c r="N748" s="6">
        <v>1974</v>
      </c>
      <c r="O748" s="4">
        <v>35</v>
      </c>
      <c r="P748" s="5">
        <v>45572</v>
      </c>
      <c r="Q748" s="4" t="s">
        <v>33</v>
      </c>
      <c r="R748" s="4" t="s">
        <v>33</v>
      </c>
      <c r="S748" s="4" t="s">
        <v>34</v>
      </c>
      <c r="T748" s="7">
        <v>3.1032999999999999</v>
      </c>
      <c r="U748" s="8">
        <v>319</v>
      </c>
      <c r="V748" s="8">
        <v>2024</v>
      </c>
      <c r="W748" s="4" t="s">
        <v>168</v>
      </c>
    </row>
    <row r="749" spans="1:23" s="9" customFormat="1" ht="15.75" hidden="1" customHeight="1" x14ac:dyDescent="0.25">
      <c r="A749" s="10" t="s">
        <v>2305</v>
      </c>
      <c r="B749" s="10" t="s">
        <v>2306</v>
      </c>
      <c r="C749" s="10" t="s">
        <v>2307</v>
      </c>
      <c r="D749" s="22" t="s">
        <v>6087</v>
      </c>
      <c r="E749" s="10" t="s">
        <v>26</v>
      </c>
      <c r="F749" s="10" t="s">
        <v>27</v>
      </c>
      <c r="G749" s="10" t="s">
        <v>57</v>
      </c>
      <c r="H749" s="10" t="s">
        <v>72</v>
      </c>
      <c r="I749" s="11">
        <v>45394</v>
      </c>
      <c r="J749" s="10" t="s">
        <v>40</v>
      </c>
      <c r="K749" s="11">
        <v>45518</v>
      </c>
      <c r="L749" s="10" t="s">
        <v>59</v>
      </c>
      <c r="M749" s="12">
        <v>27002</v>
      </c>
      <c r="N749" s="12">
        <v>725</v>
      </c>
      <c r="O749" s="10">
        <v>9</v>
      </c>
      <c r="P749" s="11">
        <v>45527</v>
      </c>
      <c r="Q749" s="10" t="s">
        <v>33</v>
      </c>
      <c r="R749" s="10" t="s">
        <v>33</v>
      </c>
      <c r="S749" s="10" t="s">
        <v>41</v>
      </c>
      <c r="T749" s="13">
        <v>37.244100000000003</v>
      </c>
      <c r="U749" s="14">
        <v>124</v>
      </c>
      <c r="V749" s="14">
        <v>2024</v>
      </c>
      <c r="W749" s="10" t="s">
        <v>114</v>
      </c>
    </row>
    <row r="750" spans="1:23" s="9" customFormat="1" ht="15.75" hidden="1" customHeight="1" x14ac:dyDescent="0.25">
      <c r="A750" s="4" t="s">
        <v>2308</v>
      </c>
      <c r="B750" s="4" t="s">
        <v>2309</v>
      </c>
      <c r="C750" s="4" t="s">
        <v>2310</v>
      </c>
      <c r="D750" s="21" t="s">
        <v>6086</v>
      </c>
      <c r="E750" s="4" t="s">
        <v>26</v>
      </c>
      <c r="F750" s="4" t="s">
        <v>65</v>
      </c>
      <c r="G750" s="4" t="s">
        <v>5</v>
      </c>
      <c r="H750" s="4" t="s">
        <v>58</v>
      </c>
      <c r="I750" s="5">
        <v>45454</v>
      </c>
      <c r="J750" s="4" t="s">
        <v>40</v>
      </c>
      <c r="K750" s="5">
        <v>45616</v>
      </c>
      <c r="L750" s="4" t="s">
        <v>31</v>
      </c>
      <c r="M750" s="6">
        <v>85348</v>
      </c>
      <c r="N750" s="6">
        <v>887</v>
      </c>
      <c r="O750" s="4" t="s">
        <v>32</v>
      </c>
      <c r="P750" s="4" t="s">
        <v>32</v>
      </c>
      <c r="Q750" s="4" t="s">
        <v>94</v>
      </c>
      <c r="R750" s="4" t="s">
        <v>33</v>
      </c>
      <c r="S750" s="4" t="s">
        <v>41</v>
      </c>
      <c r="T750" s="7">
        <v>96.221000000000004</v>
      </c>
      <c r="U750" s="8">
        <v>162</v>
      </c>
      <c r="V750" s="8">
        <v>2024</v>
      </c>
      <c r="W750" s="4" t="s">
        <v>61</v>
      </c>
    </row>
    <row r="751" spans="1:23" s="9" customFormat="1" ht="15.75" hidden="1" customHeight="1" x14ac:dyDescent="0.25">
      <c r="A751" s="10" t="s">
        <v>2311</v>
      </c>
      <c r="B751" s="10" t="s">
        <v>2312</v>
      </c>
      <c r="C751" s="10" t="s">
        <v>2313</v>
      </c>
      <c r="D751" s="22" t="s">
        <v>6090</v>
      </c>
      <c r="E751" s="10" t="s">
        <v>26</v>
      </c>
      <c r="F751" s="10" t="s">
        <v>27</v>
      </c>
      <c r="G751" s="10" t="s">
        <v>5</v>
      </c>
      <c r="H751" s="10" t="s">
        <v>88</v>
      </c>
      <c r="I751" s="11">
        <v>45312</v>
      </c>
      <c r="J751" s="10" t="s">
        <v>30</v>
      </c>
      <c r="K751" s="11">
        <v>45397</v>
      </c>
      <c r="L751" s="10" t="s">
        <v>59</v>
      </c>
      <c r="M751" s="12">
        <v>8479</v>
      </c>
      <c r="N751" s="12">
        <v>5919</v>
      </c>
      <c r="O751" s="10">
        <v>33</v>
      </c>
      <c r="P751" s="11">
        <v>45430</v>
      </c>
      <c r="Q751" s="10" t="s">
        <v>33</v>
      </c>
      <c r="R751" s="10" t="s">
        <v>33</v>
      </c>
      <c r="S751" s="10" t="s">
        <v>41</v>
      </c>
      <c r="T751" s="13">
        <v>1.4325000000000001</v>
      </c>
      <c r="U751" s="14">
        <v>85</v>
      </c>
      <c r="V751" s="14">
        <v>2024</v>
      </c>
      <c r="W751" s="10" t="s">
        <v>47</v>
      </c>
    </row>
    <row r="752" spans="1:23" s="9" customFormat="1" ht="15.75" hidden="1" customHeight="1" x14ac:dyDescent="0.25">
      <c r="A752" s="4" t="s">
        <v>2314</v>
      </c>
      <c r="B752" s="4" t="s">
        <v>2315</v>
      </c>
      <c r="C752" s="4" t="s">
        <v>2316</v>
      </c>
      <c r="D752" s="22" t="s">
        <v>6087</v>
      </c>
      <c r="E752" s="4" t="s">
        <v>26</v>
      </c>
      <c r="F752" s="4" t="s">
        <v>71</v>
      </c>
      <c r="G752" s="4" t="s">
        <v>57</v>
      </c>
      <c r="H752" s="4" t="s">
        <v>93</v>
      </c>
      <c r="I752" s="5">
        <v>45339</v>
      </c>
      <c r="J752" s="4" t="s">
        <v>30</v>
      </c>
      <c r="K752" s="5">
        <v>45400</v>
      </c>
      <c r="L752" s="4" t="s">
        <v>66</v>
      </c>
      <c r="M752" s="6">
        <v>9248</v>
      </c>
      <c r="N752" s="6">
        <v>1823</v>
      </c>
      <c r="O752" s="4" t="s">
        <v>32</v>
      </c>
      <c r="P752" s="4" t="s">
        <v>32</v>
      </c>
      <c r="Q752" s="4" t="s">
        <v>33</v>
      </c>
      <c r="R752" s="4" t="s">
        <v>33</v>
      </c>
      <c r="S752" s="4" t="s">
        <v>34</v>
      </c>
      <c r="T752" s="7">
        <v>5.0730000000000004</v>
      </c>
      <c r="U752" s="8">
        <v>61</v>
      </c>
      <c r="V752" s="8">
        <v>2024</v>
      </c>
      <c r="W752" s="4" t="s">
        <v>47</v>
      </c>
    </row>
    <row r="753" spans="1:23" s="9" customFormat="1" ht="15.75" hidden="1" customHeight="1" x14ac:dyDescent="0.25">
      <c r="A753" s="10" t="s">
        <v>2317</v>
      </c>
      <c r="B753" s="10" t="s">
        <v>2318</v>
      </c>
      <c r="C753" s="10" t="s">
        <v>2319</v>
      </c>
      <c r="D753" s="21" t="s">
        <v>6086</v>
      </c>
      <c r="E753" s="10" t="s">
        <v>26</v>
      </c>
      <c r="F753" s="10" t="s">
        <v>46</v>
      </c>
      <c r="G753" s="10" t="s">
        <v>28</v>
      </c>
      <c r="H753" s="10" t="s">
        <v>161</v>
      </c>
      <c r="I753" s="11">
        <v>45476</v>
      </c>
      <c r="J753" s="10" t="s">
        <v>30</v>
      </c>
      <c r="K753" s="11">
        <v>45536</v>
      </c>
      <c r="L753" s="10" t="s">
        <v>59</v>
      </c>
      <c r="M753" s="12">
        <v>63081</v>
      </c>
      <c r="N753" s="12">
        <v>8272</v>
      </c>
      <c r="O753" s="10">
        <v>25</v>
      </c>
      <c r="P753" s="11">
        <v>45561</v>
      </c>
      <c r="Q753" s="10" t="s">
        <v>33</v>
      </c>
      <c r="R753" s="10" t="s">
        <v>33</v>
      </c>
      <c r="S753" s="10" t="s">
        <v>34</v>
      </c>
      <c r="T753" s="13">
        <v>7.6257999999999999</v>
      </c>
      <c r="U753" s="14">
        <v>60</v>
      </c>
      <c r="V753" s="14">
        <v>2024</v>
      </c>
      <c r="W753" s="10" t="s">
        <v>168</v>
      </c>
    </row>
    <row r="754" spans="1:23" s="9" customFormat="1" ht="15.75" hidden="1" customHeight="1" x14ac:dyDescent="0.25">
      <c r="A754" s="4" t="s">
        <v>2320</v>
      </c>
      <c r="B754" s="4" t="s">
        <v>2321</v>
      </c>
      <c r="C754" s="4" t="s">
        <v>2322</v>
      </c>
      <c r="D754" s="21" t="s">
        <v>6089</v>
      </c>
      <c r="E754" s="4" t="s">
        <v>26</v>
      </c>
      <c r="F754" s="21" t="s">
        <v>6092</v>
      </c>
      <c r="G754" s="4" t="s">
        <v>5</v>
      </c>
      <c r="H754" s="4" t="s">
        <v>39</v>
      </c>
      <c r="I754" s="5">
        <v>45443</v>
      </c>
      <c r="J754" s="4" t="s">
        <v>30</v>
      </c>
      <c r="K754" s="5">
        <v>45578</v>
      </c>
      <c r="L754" s="4" t="s">
        <v>31</v>
      </c>
      <c r="M754" s="6">
        <v>51899</v>
      </c>
      <c r="N754" s="6">
        <v>8729</v>
      </c>
      <c r="O754" s="4" t="s">
        <v>32</v>
      </c>
      <c r="P754" s="4" t="s">
        <v>32</v>
      </c>
      <c r="Q754" s="4" t="s">
        <v>33</v>
      </c>
      <c r="R754" s="4" t="s">
        <v>33</v>
      </c>
      <c r="S754" s="4" t="s">
        <v>60</v>
      </c>
      <c r="T754" s="7">
        <v>5.9455999999999998</v>
      </c>
      <c r="U754" s="8">
        <v>135</v>
      </c>
      <c r="V754" s="8">
        <v>2024</v>
      </c>
      <c r="W754" s="4" t="s">
        <v>95</v>
      </c>
    </row>
    <row r="755" spans="1:23" s="9" customFormat="1" ht="15.75" hidden="1" customHeight="1" x14ac:dyDescent="0.25">
      <c r="A755" s="10" t="s">
        <v>2323</v>
      </c>
      <c r="B755" s="10" t="s">
        <v>2324</v>
      </c>
      <c r="C755" s="10" t="s">
        <v>2325</v>
      </c>
      <c r="D755" s="21" t="s">
        <v>6086</v>
      </c>
      <c r="E755" s="10" t="s">
        <v>87</v>
      </c>
      <c r="F755" s="10" t="s">
        <v>71</v>
      </c>
      <c r="G755" s="10" t="s">
        <v>5</v>
      </c>
      <c r="H755" s="10" t="s">
        <v>161</v>
      </c>
      <c r="I755" s="11">
        <v>45089</v>
      </c>
      <c r="J755" s="10" t="s">
        <v>30</v>
      </c>
      <c r="K755" s="11">
        <v>45306</v>
      </c>
      <c r="L755" s="10" t="s">
        <v>59</v>
      </c>
      <c r="M755" s="12">
        <v>88363</v>
      </c>
      <c r="N755" s="12">
        <v>3363</v>
      </c>
      <c r="O755" s="10">
        <v>22</v>
      </c>
      <c r="P755" s="11">
        <v>45328</v>
      </c>
      <c r="Q755" s="10" t="s">
        <v>94</v>
      </c>
      <c r="R755" s="10" t="s">
        <v>94</v>
      </c>
      <c r="S755" s="10" t="s">
        <v>34</v>
      </c>
      <c r="T755" s="13">
        <v>26.275099999999998</v>
      </c>
      <c r="U755" s="14">
        <v>217</v>
      </c>
      <c r="V755" s="14">
        <v>2024</v>
      </c>
      <c r="W755" s="10" t="s">
        <v>73</v>
      </c>
    </row>
    <row r="756" spans="1:23" s="9" customFormat="1" ht="15.75" hidden="1" customHeight="1" x14ac:dyDescent="0.25">
      <c r="A756" s="4" t="s">
        <v>2326</v>
      </c>
      <c r="B756" s="4" t="s">
        <v>2327</v>
      </c>
      <c r="C756" s="4" t="s">
        <v>2328</v>
      </c>
      <c r="D756" s="21" t="s">
        <v>6089</v>
      </c>
      <c r="E756" s="4" t="s">
        <v>26</v>
      </c>
      <c r="F756" s="4" t="s">
        <v>65</v>
      </c>
      <c r="G756" s="4" t="s">
        <v>5</v>
      </c>
      <c r="H756" s="4" t="s">
        <v>161</v>
      </c>
      <c r="I756" s="5">
        <v>45269</v>
      </c>
      <c r="J756" s="4" t="s">
        <v>30</v>
      </c>
      <c r="K756" s="5">
        <v>45490</v>
      </c>
      <c r="L756" s="4" t="s">
        <v>59</v>
      </c>
      <c r="M756" s="6">
        <v>38776</v>
      </c>
      <c r="N756" s="6">
        <v>7633</v>
      </c>
      <c r="O756" s="4">
        <v>41</v>
      </c>
      <c r="P756" s="5">
        <v>45531</v>
      </c>
      <c r="Q756" s="4" t="s">
        <v>33</v>
      </c>
      <c r="R756" s="4" t="s">
        <v>33</v>
      </c>
      <c r="S756" s="4" t="s">
        <v>60</v>
      </c>
      <c r="T756" s="7">
        <v>5.08</v>
      </c>
      <c r="U756" s="8">
        <v>221</v>
      </c>
      <c r="V756" s="8">
        <v>2024</v>
      </c>
      <c r="W756" s="4" t="s">
        <v>42</v>
      </c>
    </row>
    <row r="757" spans="1:23" s="9" customFormat="1" ht="15.75" hidden="1" customHeight="1" x14ac:dyDescent="0.25">
      <c r="A757" s="10" t="s">
        <v>2329</v>
      </c>
      <c r="B757" s="10" t="s">
        <v>2330</v>
      </c>
      <c r="C757" s="10" t="s">
        <v>2331</v>
      </c>
      <c r="D757" s="21" t="s">
        <v>6091</v>
      </c>
      <c r="E757" s="10" t="s">
        <v>26</v>
      </c>
      <c r="F757" s="10" t="s">
        <v>65</v>
      </c>
      <c r="G757" s="10" t="s">
        <v>5</v>
      </c>
      <c r="H757" s="10" t="s">
        <v>118</v>
      </c>
      <c r="I757" s="11">
        <v>45259</v>
      </c>
      <c r="J757" s="10" t="s">
        <v>40</v>
      </c>
      <c r="K757" s="11">
        <v>45563</v>
      </c>
      <c r="L757" s="10" t="s">
        <v>59</v>
      </c>
      <c r="M757" s="12">
        <v>6479</v>
      </c>
      <c r="N757" s="12">
        <v>4796</v>
      </c>
      <c r="O757" s="10">
        <v>8</v>
      </c>
      <c r="P757" s="11">
        <v>45571</v>
      </c>
      <c r="Q757" s="10" t="s">
        <v>33</v>
      </c>
      <c r="R757" s="10" t="s">
        <v>33</v>
      </c>
      <c r="S757" s="10" t="s">
        <v>34</v>
      </c>
      <c r="T757" s="13">
        <v>1.3509</v>
      </c>
      <c r="U757" s="14">
        <v>304</v>
      </c>
      <c r="V757" s="14">
        <v>2024</v>
      </c>
      <c r="W757" s="10" t="s">
        <v>168</v>
      </c>
    </row>
    <row r="758" spans="1:23" s="9" customFormat="1" ht="15.75" hidden="1" customHeight="1" x14ac:dyDescent="0.25">
      <c r="A758" s="4" t="s">
        <v>2332</v>
      </c>
      <c r="B758" s="4" t="s">
        <v>2333</v>
      </c>
      <c r="C758" s="4" t="s">
        <v>2334</v>
      </c>
      <c r="D758" s="22" t="s">
        <v>6090</v>
      </c>
      <c r="E758" s="4" t="s">
        <v>87</v>
      </c>
      <c r="F758" s="4" t="s">
        <v>65</v>
      </c>
      <c r="G758" s="4" t="s">
        <v>57</v>
      </c>
      <c r="H758" s="4" t="s">
        <v>161</v>
      </c>
      <c r="I758" s="5">
        <v>45206</v>
      </c>
      <c r="J758" s="4" t="s">
        <v>30</v>
      </c>
      <c r="K758" s="5">
        <v>45367</v>
      </c>
      <c r="L758" s="4" t="s">
        <v>66</v>
      </c>
      <c r="M758" s="6">
        <v>47130</v>
      </c>
      <c r="N758" s="6">
        <v>2080</v>
      </c>
      <c r="O758" s="4" t="s">
        <v>32</v>
      </c>
      <c r="P758" s="4" t="s">
        <v>32</v>
      </c>
      <c r="Q758" s="4" t="s">
        <v>33</v>
      </c>
      <c r="R758" s="4" t="s">
        <v>33</v>
      </c>
      <c r="S758" s="4" t="s">
        <v>60</v>
      </c>
      <c r="T758" s="7">
        <v>22.6587</v>
      </c>
      <c r="U758" s="8">
        <v>161</v>
      </c>
      <c r="V758" s="8">
        <v>2024</v>
      </c>
      <c r="W758" s="4" t="s">
        <v>77</v>
      </c>
    </row>
    <row r="759" spans="1:23" s="9" customFormat="1" ht="15.75" hidden="1" customHeight="1" x14ac:dyDescent="0.25">
      <c r="A759" s="10" t="s">
        <v>2335</v>
      </c>
      <c r="B759" s="10" t="s">
        <v>2336</v>
      </c>
      <c r="C759" s="10" t="s">
        <v>2337</v>
      </c>
      <c r="D759" s="22" t="s">
        <v>6087</v>
      </c>
      <c r="E759" s="10" t="s">
        <v>87</v>
      </c>
      <c r="F759" s="21" t="s">
        <v>6092</v>
      </c>
      <c r="G759" s="10" t="s">
        <v>5</v>
      </c>
      <c r="H759" s="10" t="s">
        <v>93</v>
      </c>
      <c r="I759" s="11">
        <v>45466</v>
      </c>
      <c r="J759" s="10" t="s">
        <v>30</v>
      </c>
      <c r="K759" s="11">
        <v>45550</v>
      </c>
      <c r="L759" s="10" t="s">
        <v>59</v>
      </c>
      <c r="M759" s="12">
        <v>15096</v>
      </c>
      <c r="N759" s="12">
        <v>5265</v>
      </c>
      <c r="O759" s="10">
        <v>38</v>
      </c>
      <c r="P759" s="11">
        <v>45588</v>
      </c>
      <c r="Q759" s="10" t="s">
        <v>33</v>
      </c>
      <c r="R759" s="10" t="s">
        <v>33</v>
      </c>
      <c r="S759" s="10" t="s">
        <v>60</v>
      </c>
      <c r="T759" s="13">
        <v>2.8672</v>
      </c>
      <c r="U759" s="14">
        <v>84</v>
      </c>
      <c r="V759" s="14">
        <v>2024</v>
      </c>
      <c r="W759" s="10" t="s">
        <v>168</v>
      </c>
    </row>
    <row r="760" spans="1:23" s="9" customFormat="1" ht="15.75" hidden="1" customHeight="1" x14ac:dyDescent="0.25">
      <c r="A760" s="4" t="s">
        <v>2338</v>
      </c>
      <c r="B760" s="4" t="s">
        <v>2339</v>
      </c>
      <c r="C760" s="4" t="s">
        <v>2340</v>
      </c>
      <c r="D760" s="21" t="s">
        <v>6086</v>
      </c>
      <c r="E760" s="4" t="s">
        <v>87</v>
      </c>
      <c r="F760" s="4" t="s">
        <v>27</v>
      </c>
      <c r="G760" s="4" t="s">
        <v>57</v>
      </c>
      <c r="H760" s="4" t="s">
        <v>72</v>
      </c>
      <c r="I760" s="5">
        <v>45309</v>
      </c>
      <c r="J760" s="4" t="s">
        <v>40</v>
      </c>
      <c r="K760" s="5">
        <v>45617</v>
      </c>
      <c r="L760" s="4" t="s">
        <v>59</v>
      </c>
      <c r="M760" s="6">
        <v>96397</v>
      </c>
      <c r="N760" s="6">
        <v>1892</v>
      </c>
      <c r="O760" s="4">
        <v>7</v>
      </c>
      <c r="P760" s="5">
        <v>45624</v>
      </c>
      <c r="Q760" s="4" t="s">
        <v>33</v>
      </c>
      <c r="R760" s="4" t="s">
        <v>33</v>
      </c>
      <c r="S760" s="4" t="s">
        <v>41</v>
      </c>
      <c r="T760" s="7">
        <v>50.949800000000003</v>
      </c>
      <c r="U760" s="8">
        <v>308</v>
      </c>
      <c r="V760" s="8">
        <v>2024</v>
      </c>
      <c r="W760" s="4" t="s">
        <v>61</v>
      </c>
    </row>
    <row r="761" spans="1:23" s="9" customFormat="1" ht="15.75" hidden="1" customHeight="1" x14ac:dyDescent="0.25">
      <c r="A761" s="10" t="s">
        <v>2341</v>
      </c>
      <c r="B761" s="10" t="s">
        <v>2342</v>
      </c>
      <c r="C761" s="10" t="s">
        <v>2343</v>
      </c>
      <c r="D761" s="21" t="s">
        <v>6089</v>
      </c>
      <c r="E761" s="10" t="s">
        <v>26</v>
      </c>
      <c r="F761" s="21" t="s">
        <v>6092</v>
      </c>
      <c r="G761" s="10" t="s">
        <v>57</v>
      </c>
      <c r="H761" s="10" t="s">
        <v>88</v>
      </c>
      <c r="I761" s="11">
        <v>45148</v>
      </c>
      <c r="J761" s="10" t="s">
        <v>30</v>
      </c>
      <c r="K761" s="11">
        <v>45389</v>
      </c>
      <c r="L761" s="10" t="s">
        <v>59</v>
      </c>
      <c r="M761" s="12">
        <v>42628</v>
      </c>
      <c r="N761" s="12">
        <v>5513</v>
      </c>
      <c r="O761" s="10">
        <v>9</v>
      </c>
      <c r="P761" s="11">
        <v>45398</v>
      </c>
      <c r="Q761" s="10" t="s">
        <v>33</v>
      </c>
      <c r="R761" s="10" t="s">
        <v>33</v>
      </c>
      <c r="S761" s="10" t="s">
        <v>60</v>
      </c>
      <c r="T761" s="13">
        <v>7.7323000000000004</v>
      </c>
      <c r="U761" s="14">
        <v>241</v>
      </c>
      <c r="V761" s="14">
        <v>2024</v>
      </c>
      <c r="W761" s="10" t="s">
        <v>47</v>
      </c>
    </row>
    <row r="762" spans="1:23" s="9" customFormat="1" ht="15.75" hidden="1" customHeight="1" x14ac:dyDescent="0.25">
      <c r="A762" s="4" t="s">
        <v>2344</v>
      </c>
      <c r="B762" s="4" t="s">
        <v>2345</v>
      </c>
      <c r="C762" s="4" t="s">
        <v>2346</v>
      </c>
      <c r="D762" s="21" t="s">
        <v>6086</v>
      </c>
      <c r="E762" s="4" t="s">
        <v>26</v>
      </c>
      <c r="F762" s="4" t="s">
        <v>46</v>
      </c>
      <c r="G762" s="4" t="s">
        <v>5</v>
      </c>
      <c r="H762" s="4" t="s">
        <v>118</v>
      </c>
      <c r="I762" s="5">
        <v>45331</v>
      </c>
      <c r="J762" s="4" t="s">
        <v>40</v>
      </c>
      <c r="K762" s="5">
        <v>45439</v>
      </c>
      <c r="L762" s="4" t="s">
        <v>59</v>
      </c>
      <c r="M762" s="6">
        <v>68866</v>
      </c>
      <c r="N762" s="6">
        <v>7690</v>
      </c>
      <c r="O762" s="4">
        <v>4</v>
      </c>
      <c r="P762" s="5">
        <v>45443</v>
      </c>
      <c r="Q762" s="4" t="s">
        <v>94</v>
      </c>
      <c r="R762" s="4" t="s">
        <v>33</v>
      </c>
      <c r="S762" s="4" t="s">
        <v>41</v>
      </c>
      <c r="T762" s="7">
        <v>8.9552999999999994</v>
      </c>
      <c r="U762" s="8">
        <v>108</v>
      </c>
      <c r="V762" s="8">
        <v>2024</v>
      </c>
      <c r="W762" s="4" t="s">
        <v>52</v>
      </c>
    </row>
    <row r="763" spans="1:23" s="9" customFormat="1" ht="15.75" hidden="1" customHeight="1" x14ac:dyDescent="0.25">
      <c r="A763" s="10" t="s">
        <v>2347</v>
      </c>
      <c r="B763" s="10" t="s">
        <v>2348</v>
      </c>
      <c r="C763" s="10" t="s">
        <v>2349</v>
      </c>
      <c r="D763" s="22" t="s">
        <v>6087</v>
      </c>
      <c r="E763" s="10" t="s">
        <v>51</v>
      </c>
      <c r="F763" s="10" t="s">
        <v>56</v>
      </c>
      <c r="G763" s="10" t="s">
        <v>28</v>
      </c>
      <c r="H763" s="10" t="s">
        <v>29</v>
      </c>
      <c r="I763" s="11">
        <v>45346</v>
      </c>
      <c r="J763" s="10" t="s">
        <v>30</v>
      </c>
      <c r="K763" s="11">
        <v>45403</v>
      </c>
      <c r="L763" s="10" t="s">
        <v>59</v>
      </c>
      <c r="M763" s="12">
        <v>18590</v>
      </c>
      <c r="N763" s="12">
        <v>5243</v>
      </c>
      <c r="O763" s="10">
        <v>43</v>
      </c>
      <c r="P763" s="11">
        <v>45446</v>
      </c>
      <c r="Q763" s="10" t="s">
        <v>33</v>
      </c>
      <c r="R763" s="10" t="s">
        <v>33</v>
      </c>
      <c r="S763" s="10" t="s">
        <v>41</v>
      </c>
      <c r="T763" s="13">
        <v>3.5457000000000001</v>
      </c>
      <c r="U763" s="14">
        <v>57</v>
      </c>
      <c r="V763" s="14">
        <v>2024</v>
      </c>
      <c r="W763" s="10" t="s">
        <v>47</v>
      </c>
    </row>
    <row r="764" spans="1:23" s="9" customFormat="1" ht="15.75" hidden="1" customHeight="1" x14ac:dyDescent="0.25">
      <c r="A764" s="4" t="s">
        <v>2350</v>
      </c>
      <c r="B764" s="4" t="s">
        <v>2351</v>
      </c>
      <c r="C764" s="4" t="s">
        <v>2352</v>
      </c>
      <c r="D764" s="22" t="s">
        <v>6087</v>
      </c>
      <c r="E764" s="4" t="s">
        <v>26</v>
      </c>
      <c r="F764" s="4" t="s">
        <v>56</v>
      </c>
      <c r="G764" s="4" t="s">
        <v>28</v>
      </c>
      <c r="H764" s="4" t="s">
        <v>29</v>
      </c>
      <c r="I764" s="5">
        <v>45260</v>
      </c>
      <c r="J764" s="4" t="s">
        <v>40</v>
      </c>
      <c r="K764" s="5">
        <v>45491</v>
      </c>
      <c r="L764" s="4" t="s">
        <v>59</v>
      </c>
      <c r="M764" s="6">
        <v>39627</v>
      </c>
      <c r="N764" s="6">
        <v>2029</v>
      </c>
      <c r="O764" s="4">
        <v>34</v>
      </c>
      <c r="P764" s="5">
        <v>45525</v>
      </c>
      <c r="Q764" s="4" t="s">
        <v>33</v>
      </c>
      <c r="R764" s="4" t="s">
        <v>33</v>
      </c>
      <c r="S764" s="4" t="s">
        <v>60</v>
      </c>
      <c r="T764" s="7">
        <v>19.5303</v>
      </c>
      <c r="U764" s="8">
        <v>231</v>
      </c>
      <c r="V764" s="8">
        <v>2024</v>
      </c>
      <c r="W764" s="4" t="s">
        <v>42</v>
      </c>
    </row>
    <row r="765" spans="1:23" s="9" customFormat="1" ht="15.75" hidden="1" customHeight="1" x14ac:dyDescent="0.25">
      <c r="A765" s="10" t="s">
        <v>2353</v>
      </c>
      <c r="B765" s="10" t="s">
        <v>2354</v>
      </c>
      <c r="C765" s="10" t="s">
        <v>2355</v>
      </c>
      <c r="D765" s="21" t="s">
        <v>6088</v>
      </c>
      <c r="E765" s="10" t="s">
        <v>26</v>
      </c>
      <c r="F765" s="10" t="s">
        <v>71</v>
      </c>
      <c r="G765" s="10" t="s">
        <v>28</v>
      </c>
      <c r="H765" s="10" t="s">
        <v>72</v>
      </c>
      <c r="I765" s="11">
        <v>45399</v>
      </c>
      <c r="J765" s="10" t="s">
        <v>40</v>
      </c>
      <c r="K765" s="11">
        <v>45608</v>
      </c>
      <c r="L765" s="10" t="s">
        <v>59</v>
      </c>
      <c r="M765" s="12">
        <v>40529</v>
      </c>
      <c r="N765" s="12">
        <v>6499</v>
      </c>
      <c r="O765" s="10">
        <v>43</v>
      </c>
      <c r="P765" s="11">
        <v>45651</v>
      </c>
      <c r="Q765" s="10" t="s">
        <v>33</v>
      </c>
      <c r="R765" s="10" t="s">
        <v>33</v>
      </c>
      <c r="S765" s="10" t="s">
        <v>60</v>
      </c>
      <c r="T765" s="13">
        <v>6.2362000000000002</v>
      </c>
      <c r="U765" s="14">
        <v>209</v>
      </c>
      <c r="V765" s="14">
        <v>2024</v>
      </c>
      <c r="W765" s="10" t="s">
        <v>61</v>
      </c>
    </row>
    <row r="766" spans="1:23" s="9" customFormat="1" ht="15.75" hidden="1" customHeight="1" x14ac:dyDescent="0.25">
      <c r="A766" s="4" t="s">
        <v>2356</v>
      </c>
      <c r="B766" s="4" t="s">
        <v>2357</v>
      </c>
      <c r="C766" s="4" t="s">
        <v>2358</v>
      </c>
      <c r="D766" s="21" t="s">
        <v>6086</v>
      </c>
      <c r="E766" s="4" t="s">
        <v>26</v>
      </c>
      <c r="F766" s="4" t="s">
        <v>27</v>
      </c>
      <c r="G766" s="4" t="s">
        <v>5</v>
      </c>
      <c r="H766" s="4" t="s">
        <v>58</v>
      </c>
      <c r="I766" s="5">
        <v>45577</v>
      </c>
      <c r="J766" s="4" t="s">
        <v>30</v>
      </c>
      <c r="K766" s="5">
        <v>45626</v>
      </c>
      <c r="L766" s="4" t="s">
        <v>59</v>
      </c>
      <c r="M766" s="6">
        <v>37534</v>
      </c>
      <c r="N766" s="6">
        <v>3725</v>
      </c>
      <c r="O766" s="4">
        <v>30</v>
      </c>
      <c r="P766" s="5">
        <v>45656</v>
      </c>
      <c r="Q766" s="4" t="s">
        <v>94</v>
      </c>
      <c r="R766" s="4" t="s">
        <v>33</v>
      </c>
      <c r="S766" s="4" t="s">
        <v>60</v>
      </c>
      <c r="T766" s="7">
        <v>10.0762</v>
      </c>
      <c r="U766" s="8">
        <v>49</v>
      </c>
      <c r="V766" s="8">
        <v>2024</v>
      </c>
      <c r="W766" s="4" t="s">
        <v>61</v>
      </c>
    </row>
    <row r="767" spans="1:23" s="9" customFormat="1" ht="15.75" hidden="1" customHeight="1" x14ac:dyDescent="0.25">
      <c r="A767" s="10" t="s">
        <v>2359</v>
      </c>
      <c r="B767" s="10" t="s">
        <v>2360</v>
      </c>
      <c r="C767" s="10" t="s">
        <v>2361</v>
      </c>
      <c r="D767" s="21" t="s">
        <v>6086</v>
      </c>
      <c r="E767" s="10" t="s">
        <v>26</v>
      </c>
      <c r="F767" s="10" t="s">
        <v>71</v>
      </c>
      <c r="G767" s="10" t="s">
        <v>5</v>
      </c>
      <c r="H767" s="10" t="s">
        <v>88</v>
      </c>
      <c r="I767" s="11">
        <v>45425</v>
      </c>
      <c r="J767" s="10" t="s">
        <v>30</v>
      </c>
      <c r="K767" s="11">
        <v>45655</v>
      </c>
      <c r="L767" s="10" t="s">
        <v>59</v>
      </c>
      <c r="M767" s="12">
        <v>23417</v>
      </c>
      <c r="N767" s="12">
        <v>953</v>
      </c>
      <c r="O767" s="10">
        <v>35</v>
      </c>
      <c r="P767" s="11">
        <v>45690</v>
      </c>
      <c r="Q767" s="10" t="s">
        <v>94</v>
      </c>
      <c r="R767" s="10" t="s">
        <v>33</v>
      </c>
      <c r="S767" s="10" t="s">
        <v>60</v>
      </c>
      <c r="T767" s="13">
        <v>24.571899999999999</v>
      </c>
      <c r="U767" s="14">
        <v>230</v>
      </c>
      <c r="V767" s="14">
        <v>2024</v>
      </c>
      <c r="W767" s="10" t="s">
        <v>89</v>
      </c>
    </row>
    <row r="768" spans="1:23" s="9" customFormat="1" ht="15.75" hidden="1" customHeight="1" x14ac:dyDescent="0.25">
      <c r="A768" s="4" t="s">
        <v>2362</v>
      </c>
      <c r="B768" s="4" t="s">
        <v>2363</v>
      </c>
      <c r="C768" s="4" t="s">
        <v>2364</v>
      </c>
      <c r="D768" s="22" t="s">
        <v>6087</v>
      </c>
      <c r="E768" s="4" t="s">
        <v>51</v>
      </c>
      <c r="F768" s="4" t="s">
        <v>65</v>
      </c>
      <c r="G768" s="4" t="s">
        <v>28</v>
      </c>
      <c r="H768" s="4" t="s">
        <v>29</v>
      </c>
      <c r="I768" s="5">
        <v>45161</v>
      </c>
      <c r="J768" s="4" t="s">
        <v>30</v>
      </c>
      <c r="K768" s="5">
        <v>45343</v>
      </c>
      <c r="L768" s="4" t="s">
        <v>59</v>
      </c>
      <c r="M768" s="6">
        <v>6224</v>
      </c>
      <c r="N768" s="6">
        <v>7465</v>
      </c>
      <c r="O768" s="4">
        <v>12</v>
      </c>
      <c r="P768" s="5">
        <v>45355</v>
      </c>
      <c r="Q768" s="4" t="s">
        <v>33</v>
      </c>
      <c r="R768" s="4" t="s">
        <v>33</v>
      </c>
      <c r="S768" s="4" t="s">
        <v>34</v>
      </c>
      <c r="T768" s="7">
        <v>0.83379999999999999</v>
      </c>
      <c r="U768" s="8">
        <v>182</v>
      </c>
      <c r="V768" s="8">
        <v>2024</v>
      </c>
      <c r="W768" s="4" t="s">
        <v>35</v>
      </c>
    </row>
    <row r="769" spans="1:23" s="9" customFormat="1" ht="15.75" hidden="1" customHeight="1" x14ac:dyDescent="0.25">
      <c r="A769" s="10" t="s">
        <v>2365</v>
      </c>
      <c r="B769" s="10" t="s">
        <v>2366</v>
      </c>
      <c r="C769" s="10" t="s">
        <v>2367</v>
      </c>
      <c r="D769" s="21" t="s">
        <v>6091</v>
      </c>
      <c r="E769" s="10" t="s">
        <v>26</v>
      </c>
      <c r="F769" s="21" t="s">
        <v>6092</v>
      </c>
      <c r="G769" s="10" t="s">
        <v>5</v>
      </c>
      <c r="H769" s="10" t="s">
        <v>72</v>
      </c>
      <c r="I769" s="11">
        <v>45150</v>
      </c>
      <c r="J769" s="10" t="s">
        <v>40</v>
      </c>
      <c r="K769" s="11">
        <v>45325</v>
      </c>
      <c r="L769" s="10" t="s">
        <v>59</v>
      </c>
      <c r="M769" s="12">
        <v>4411</v>
      </c>
      <c r="N769" s="12">
        <v>8058</v>
      </c>
      <c r="O769" s="10">
        <v>33</v>
      </c>
      <c r="P769" s="11">
        <v>45358</v>
      </c>
      <c r="Q769" s="10" t="s">
        <v>33</v>
      </c>
      <c r="R769" s="10" t="s">
        <v>33</v>
      </c>
      <c r="S769" s="10" t="s">
        <v>34</v>
      </c>
      <c r="T769" s="13">
        <v>0.5474</v>
      </c>
      <c r="U769" s="14">
        <v>175</v>
      </c>
      <c r="V769" s="14">
        <v>2024</v>
      </c>
      <c r="W769" s="10" t="s">
        <v>35</v>
      </c>
    </row>
    <row r="770" spans="1:23" s="9" customFormat="1" ht="15.75" hidden="1" customHeight="1" x14ac:dyDescent="0.25">
      <c r="A770" s="4" t="s">
        <v>2368</v>
      </c>
      <c r="B770" s="4" t="s">
        <v>2369</v>
      </c>
      <c r="C770" s="4" t="s">
        <v>2370</v>
      </c>
      <c r="D770" s="22" t="s">
        <v>6087</v>
      </c>
      <c r="E770" s="4" t="s">
        <v>87</v>
      </c>
      <c r="F770" s="4" t="s">
        <v>65</v>
      </c>
      <c r="G770" s="4" t="s">
        <v>28</v>
      </c>
      <c r="H770" s="4" t="s">
        <v>72</v>
      </c>
      <c r="I770" s="5">
        <v>45095</v>
      </c>
      <c r="J770" s="4" t="s">
        <v>40</v>
      </c>
      <c r="K770" s="5">
        <v>45418</v>
      </c>
      <c r="L770" s="4" t="s">
        <v>59</v>
      </c>
      <c r="M770" s="6">
        <v>33021</v>
      </c>
      <c r="N770" s="6">
        <v>7032</v>
      </c>
      <c r="O770" s="4">
        <v>30</v>
      </c>
      <c r="P770" s="5">
        <v>45448</v>
      </c>
      <c r="Q770" s="4" t="s">
        <v>33</v>
      </c>
      <c r="R770" s="4" t="s">
        <v>33</v>
      </c>
      <c r="S770" s="4" t="s">
        <v>34</v>
      </c>
      <c r="T770" s="7">
        <v>4.6958000000000002</v>
      </c>
      <c r="U770" s="8">
        <v>323</v>
      </c>
      <c r="V770" s="8">
        <v>2024</v>
      </c>
      <c r="W770" s="4" t="s">
        <v>52</v>
      </c>
    </row>
    <row r="771" spans="1:23" s="9" customFormat="1" ht="15.75" hidden="1" customHeight="1" x14ac:dyDescent="0.25">
      <c r="A771" s="10" t="s">
        <v>2371</v>
      </c>
      <c r="B771" s="10" t="s">
        <v>2372</v>
      </c>
      <c r="C771" s="10" t="s">
        <v>2373</v>
      </c>
      <c r="D771" s="22" t="s">
        <v>6087</v>
      </c>
      <c r="E771" s="10" t="s">
        <v>87</v>
      </c>
      <c r="F771" s="10" t="s">
        <v>65</v>
      </c>
      <c r="G771" s="10" t="s">
        <v>5</v>
      </c>
      <c r="H771" s="10" t="s">
        <v>29</v>
      </c>
      <c r="I771" s="11">
        <v>45068</v>
      </c>
      <c r="J771" s="10" t="s">
        <v>40</v>
      </c>
      <c r="K771" s="11">
        <v>45421</v>
      </c>
      <c r="L771" s="10" t="s">
        <v>59</v>
      </c>
      <c r="M771" s="12">
        <v>19700</v>
      </c>
      <c r="N771" s="12">
        <v>4242</v>
      </c>
      <c r="O771" s="10">
        <v>26</v>
      </c>
      <c r="P771" s="11">
        <v>45447</v>
      </c>
      <c r="Q771" s="10" t="s">
        <v>33</v>
      </c>
      <c r="R771" s="10" t="s">
        <v>33</v>
      </c>
      <c r="S771" s="10" t="s">
        <v>60</v>
      </c>
      <c r="T771" s="13">
        <v>4.6440000000000001</v>
      </c>
      <c r="U771" s="14">
        <v>353</v>
      </c>
      <c r="V771" s="14">
        <v>2024</v>
      </c>
      <c r="W771" s="10" t="s">
        <v>52</v>
      </c>
    </row>
    <row r="772" spans="1:23" s="9" customFormat="1" ht="15.75" hidden="1" customHeight="1" x14ac:dyDescent="0.25">
      <c r="A772" s="4" t="s">
        <v>2374</v>
      </c>
      <c r="B772" s="4" t="s">
        <v>2375</v>
      </c>
      <c r="C772" s="4" t="s">
        <v>2376</v>
      </c>
      <c r="D772" s="22" t="s">
        <v>6087</v>
      </c>
      <c r="E772" s="4" t="s">
        <v>51</v>
      </c>
      <c r="F772" s="4" t="s">
        <v>27</v>
      </c>
      <c r="G772" s="4" t="s">
        <v>57</v>
      </c>
      <c r="H772" s="4" t="s">
        <v>118</v>
      </c>
      <c r="I772" s="5">
        <v>45146</v>
      </c>
      <c r="J772" s="4" t="s">
        <v>40</v>
      </c>
      <c r="K772" s="5">
        <v>45314</v>
      </c>
      <c r="L772" s="4" t="s">
        <v>59</v>
      </c>
      <c r="M772" s="6">
        <v>10589</v>
      </c>
      <c r="N772" s="6">
        <v>7245</v>
      </c>
      <c r="O772" s="4">
        <v>39</v>
      </c>
      <c r="P772" s="5">
        <v>45353</v>
      </c>
      <c r="Q772" s="4" t="s">
        <v>33</v>
      </c>
      <c r="R772" s="4" t="s">
        <v>33</v>
      </c>
      <c r="S772" s="4" t="s">
        <v>34</v>
      </c>
      <c r="T772" s="7">
        <v>1.4616</v>
      </c>
      <c r="U772" s="8">
        <v>168</v>
      </c>
      <c r="V772" s="8">
        <v>2024</v>
      </c>
      <c r="W772" s="4" t="s">
        <v>73</v>
      </c>
    </row>
    <row r="773" spans="1:23" s="9" customFormat="1" ht="15.75" hidden="1" customHeight="1" x14ac:dyDescent="0.25">
      <c r="A773" s="10" t="s">
        <v>2377</v>
      </c>
      <c r="B773" s="10" t="s">
        <v>2378</v>
      </c>
      <c r="C773" s="10" t="s">
        <v>2379</v>
      </c>
      <c r="D773" s="22" t="s">
        <v>6087</v>
      </c>
      <c r="E773" s="10" t="s">
        <v>87</v>
      </c>
      <c r="F773" s="10" t="s">
        <v>56</v>
      </c>
      <c r="G773" s="10" t="s">
        <v>5</v>
      </c>
      <c r="H773" s="10" t="s">
        <v>39</v>
      </c>
      <c r="I773" s="11">
        <v>45212</v>
      </c>
      <c r="J773" s="10" t="s">
        <v>30</v>
      </c>
      <c r="K773" s="11">
        <v>45538</v>
      </c>
      <c r="L773" s="10" t="s">
        <v>59</v>
      </c>
      <c r="M773" s="12">
        <v>10203</v>
      </c>
      <c r="N773" s="12">
        <v>7643</v>
      </c>
      <c r="O773" s="10">
        <v>3</v>
      </c>
      <c r="P773" s="11">
        <v>45541</v>
      </c>
      <c r="Q773" s="10" t="s">
        <v>33</v>
      </c>
      <c r="R773" s="10" t="s">
        <v>33</v>
      </c>
      <c r="S773" s="10" t="s">
        <v>41</v>
      </c>
      <c r="T773" s="13">
        <v>1.3349</v>
      </c>
      <c r="U773" s="14">
        <v>326</v>
      </c>
      <c r="V773" s="14">
        <v>2024</v>
      </c>
      <c r="W773" s="10" t="s">
        <v>168</v>
      </c>
    </row>
    <row r="774" spans="1:23" s="9" customFormat="1" ht="15.75" hidden="1" customHeight="1" x14ac:dyDescent="0.25">
      <c r="A774" s="4" t="s">
        <v>2380</v>
      </c>
      <c r="B774" s="4" t="s">
        <v>2381</v>
      </c>
      <c r="C774" s="4" t="s">
        <v>2382</v>
      </c>
      <c r="D774" s="22" t="s">
        <v>6087</v>
      </c>
      <c r="E774" s="4" t="s">
        <v>87</v>
      </c>
      <c r="F774" s="4" t="s">
        <v>56</v>
      </c>
      <c r="G774" s="4" t="s">
        <v>5</v>
      </c>
      <c r="H774" s="4" t="s">
        <v>118</v>
      </c>
      <c r="I774" s="5">
        <v>45114</v>
      </c>
      <c r="J774" s="4" t="s">
        <v>30</v>
      </c>
      <c r="K774" s="5">
        <v>45415</v>
      </c>
      <c r="L774" s="4" t="s">
        <v>59</v>
      </c>
      <c r="M774" s="6">
        <v>20906</v>
      </c>
      <c r="N774" s="6">
        <v>2859</v>
      </c>
      <c r="O774" s="4">
        <v>27</v>
      </c>
      <c r="P774" s="5">
        <v>45442</v>
      </c>
      <c r="Q774" s="4" t="s">
        <v>33</v>
      </c>
      <c r="R774" s="4" t="s">
        <v>33</v>
      </c>
      <c r="S774" s="4" t="s">
        <v>60</v>
      </c>
      <c r="T774" s="7">
        <v>7.3122999999999996</v>
      </c>
      <c r="U774" s="8">
        <v>301</v>
      </c>
      <c r="V774" s="8">
        <v>2024</v>
      </c>
      <c r="W774" s="4" t="s">
        <v>52</v>
      </c>
    </row>
    <row r="775" spans="1:23" s="9" customFormat="1" ht="15.75" hidden="1" customHeight="1" x14ac:dyDescent="0.25">
      <c r="A775" s="10" t="s">
        <v>2383</v>
      </c>
      <c r="B775" s="10" t="s">
        <v>2384</v>
      </c>
      <c r="C775" s="10" t="s">
        <v>2385</v>
      </c>
      <c r="D775" s="21" t="s">
        <v>6089</v>
      </c>
      <c r="E775" s="10" t="s">
        <v>26</v>
      </c>
      <c r="F775" s="10" t="s">
        <v>56</v>
      </c>
      <c r="G775" s="10" t="s">
        <v>57</v>
      </c>
      <c r="H775" s="10" t="s">
        <v>161</v>
      </c>
      <c r="I775" s="11">
        <v>45285</v>
      </c>
      <c r="J775" s="10" t="s">
        <v>40</v>
      </c>
      <c r="K775" s="11">
        <v>45389</v>
      </c>
      <c r="L775" s="10" t="s">
        <v>59</v>
      </c>
      <c r="M775" s="12">
        <v>25252</v>
      </c>
      <c r="N775" s="12">
        <v>6614</v>
      </c>
      <c r="O775" s="10">
        <v>6</v>
      </c>
      <c r="P775" s="11">
        <v>45395</v>
      </c>
      <c r="Q775" s="10" t="s">
        <v>94</v>
      </c>
      <c r="R775" s="10" t="s">
        <v>33</v>
      </c>
      <c r="S775" s="10" t="s">
        <v>41</v>
      </c>
      <c r="T775" s="13">
        <v>3.8180000000000001</v>
      </c>
      <c r="U775" s="14">
        <v>104</v>
      </c>
      <c r="V775" s="14">
        <v>2024</v>
      </c>
      <c r="W775" s="10" t="s">
        <v>47</v>
      </c>
    </row>
    <row r="776" spans="1:23" s="9" customFormat="1" ht="15.75" hidden="1" customHeight="1" x14ac:dyDescent="0.25">
      <c r="A776" s="4" t="s">
        <v>2386</v>
      </c>
      <c r="B776" s="4" t="s">
        <v>2387</v>
      </c>
      <c r="C776" s="4" t="s">
        <v>2388</v>
      </c>
      <c r="D776" s="22" t="s">
        <v>6087</v>
      </c>
      <c r="E776" s="4" t="s">
        <v>87</v>
      </c>
      <c r="F776" s="4" t="s">
        <v>46</v>
      </c>
      <c r="G776" s="4" t="s">
        <v>57</v>
      </c>
      <c r="H776" s="4" t="s">
        <v>161</v>
      </c>
      <c r="I776" s="5">
        <v>45219</v>
      </c>
      <c r="J776" s="4" t="s">
        <v>30</v>
      </c>
      <c r="K776" s="5">
        <v>45349</v>
      </c>
      <c r="L776" s="4" t="s">
        <v>59</v>
      </c>
      <c r="M776" s="6">
        <v>7984</v>
      </c>
      <c r="N776" s="6">
        <v>3893</v>
      </c>
      <c r="O776" s="4">
        <v>34</v>
      </c>
      <c r="P776" s="5">
        <v>45383</v>
      </c>
      <c r="Q776" s="4" t="s">
        <v>33</v>
      </c>
      <c r="R776" s="4" t="s">
        <v>33</v>
      </c>
      <c r="S776" s="4" t="s">
        <v>60</v>
      </c>
      <c r="T776" s="7">
        <v>2.0508999999999999</v>
      </c>
      <c r="U776" s="8">
        <v>130</v>
      </c>
      <c r="V776" s="8">
        <v>2024</v>
      </c>
      <c r="W776" s="4" t="s">
        <v>35</v>
      </c>
    </row>
    <row r="777" spans="1:23" s="9" customFormat="1" ht="15.75" hidden="1" customHeight="1" x14ac:dyDescent="0.25">
      <c r="A777" s="10" t="s">
        <v>2389</v>
      </c>
      <c r="B777" s="10" t="s">
        <v>2390</v>
      </c>
      <c r="C777" s="10" t="s">
        <v>2391</v>
      </c>
      <c r="D777" s="21" t="s">
        <v>6086</v>
      </c>
      <c r="E777" s="10" t="s">
        <v>26</v>
      </c>
      <c r="F777" s="21" t="s">
        <v>6092</v>
      </c>
      <c r="G777" s="10" t="s">
        <v>28</v>
      </c>
      <c r="H777" s="10" t="s">
        <v>58</v>
      </c>
      <c r="I777" s="11">
        <v>45365</v>
      </c>
      <c r="J777" s="10" t="s">
        <v>30</v>
      </c>
      <c r="K777" s="11">
        <v>45415</v>
      </c>
      <c r="L777" s="10" t="s">
        <v>59</v>
      </c>
      <c r="M777" s="12">
        <v>55362</v>
      </c>
      <c r="N777" s="12">
        <v>4506</v>
      </c>
      <c r="O777" s="10">
        <v>21</v>
      </c>
      <c r="P777" s="11">
        <v>45436</v>
      </c>
      <c r="Q777" s="10" t="s">
        <v>33</v>
      </c>
      <c r="R777" s="10" t="s">
        <v>33</v>
      </c>
      <c r="S777" s="10" t="s">
        <v>41</v>
      </c>
      <c r="T777" s="13">
        <v>12.286300000000001</v>
      </c>
      <c r="U777" s="14">
        <v>50</v>
      </c>
      <c r="V777" s="14">
        <v>2024</v>
      </c>
      <c r="W777" s="10" t="s">
        <v>52</v>
      </c>
    </row>
    <row r="778" spans="1:23" s="9" customFormat="1" ht="15.75" hidden="1" customHeight="1" x14ac:dyDescent="0.25">
      <c r="A778" s="4" t="s">
        <v>2392</v>
      </c>
      <c r="B778" s="4" t="s">
        <v>2393</v>
      </c>
      <c r="C778" s="4" t="s">
        <v>2394</v>
      </c>
      <c r="D778" s="22" t="s">
        <v>6087</v>
      </c>
      <c r="E778" s="4" t="s">
        <v>26</v>
      </c>
      <c r="F778" s="4" t="s">
        <v>46</v>
      </c>
      <c r="G778" s="4" t="s">
        <v>5</v>
      </c>
      <c r="H778" s="4" t="s">
        <v>58</v>
      </c>
      <c r="I778" s="5">
        <v>45289</v>
      </c>
      <c r="J778" s="4" t="s">
        <v>30</v>
      </c>
      <c r="K778" s="5">
        <v>45360</v>
      </c>
      <c r="L778" s="4" t="s">
        <v>31</v>
      </c>
      <c r="M778" s="6">
        <v>22048</v>
      </c>
      <c r="N778" s="6">
        <v>6538</v>
      </c>
      <c r="O778" s="4" t="s">
        <v>32</v>
      </c>
      <c r="P778" s="4" t="s">
        <v>32</v>
      </c>
      <c r="Q778" s="4" t="s">
        <v>33</v>
      </c>
      <c r="R778" s="4" t="s">
        <v>33</v>
      </c>
      <c r="S778" s="4" t="s">
        <v>60</v>
      </c>
      <c r="T778" s="7">
        <v>3.3723000000000001</v>
      </c>
      <c r="U778" s="8">
        <v>71</v>
      </c>
      <c r="V778" s="8">
        <v>2024</v>
      </c>
      <c r="W778" s="4" t="s">
        <v>77</v>
      </c>
    </row>
    <row r="779" spans="1:23" s="9" customFormat="1" ht="15.75" hidden="1" customHeight="1" x14ac:dyDescent="0.25">
      <c r="A779" s="10" t="s">
        <v>2395</v>
      </c>
      <c r="B779" s="10" t="s">
        <v>2396</v>
      </c>
      <c r="C779" s="10" t="s">
        <v>2397</v>
      </c>
      <c r="D779" s="21" t="s">
        <v>6088</v>
      </c>
      <c r="E779" s="10" t="s">
        <v>87</v>
      </c>
      <c r="F779" s="10" t="s">
        <v>65</v>
      </c>
      <c r="G779" s="10" t="s">
        <v>28</v>
      </c>
      <c r="H779" s="10" t="s">
        <v>161</v>
      </c>
      <c r="I779" s="11">
        <v>45350</v>
      </c>
      <c r="J779" s="10" t="s">
        <v>30</v>
      </c>
      <c r="K779" s="11">
        <v>45620</v>
      </c>
      <c r="L779" s="10" t="s">
        <v>59</v>
      </c>
      <c r="M779" s="12">
        <v>69237</v>
      </c>
      <c r="N779" s="12">
        <v>5908</v>
      </c>
      <c r="O779" s="10">
        <v>44</v>
      </c>
      <c r="P779" s="11">
        <v>45664</v>
      </c>
      <c r="Q779" s="10" t="s">
        <v>33</v>
      </c>
      <c r="R779" s="10" t="s">
        <v>33</v>
      </c>
      <c r="S779" s="10" t="s">
        <v>41</v>
      </c>
      <c r="T779" s="13">
        <v>11.719200000000001</v>
      </c>
      <c r="U779" s="14">
        <v>270</v>
      </c>
      <c r="V779" s="14">
        <v>2024</v>
      </c>
      <c r="W779" s="10" t="s">
        <v>61</v>
      </c>
    </row>
    <row r="780" spans="1:23" s="9" customFormat="1" ht="15.75" hidden="1" customHeight="1" x14ac:dyDescent="0.25">
      <c r="A780" s="4" t="s">
        <v>2398</v>
      </c>
      <c r="B780" s="4" t="s">
        <v>2399</v>
      </c>
      <c r="C780" s="4" t="s">
        <v>2400</v>
      </c>
      <c r="D780" s="21" t="s">
        <v>6091</v>
      </c>
      <c r="E780" s="4" t="s">
        <v>26</v>
      </c>
      <c r="F780" s="21" t="s">
        <v>6092</v>
      </c>
      <c r="G780" s="4" t="s">
        <v>28</v>
      </c>
      <c r="H780" s="4" t="s">
        <v>118</v>
      </c>
      <c r="I780" s="5">
        <v>45346</v>
      </c>
      <c r="J780" s="4" t="s">
        <v>30</v>
      </c>
      <c r="K780" s="5">
        <v>45567</v>
      </c>
      <c r="L780" s="4" t="s">
        <v>66</v>
      </c>
      <c r="M780" s="6">
        <v>10105</v>
      </c>
      <c r="N780" s="6">
        <v>3905</v>
      </c>
      <c r="O780" s="4" t="s">
        <v>32</v>
      </c>
      <c r="P780" s="4" t="s">
        <v>32</v>
      </c>
      <c r="Q780" s="4" t="s">
        <v>33</v>
      </c>
      <c r="R780" s="4" t="s">
        <v>33</v>
      </c>
      <c r="S780" s="4" t="s">
        <v>60</v>
      </c>
      <c r="T780" s="7">
        <v>2.5876999999999999</v>
      </c>
      <c r="U780" s="8">
        <v>221</v>
      </c>
      <c r="V780" s="8">
        <v>2024</v>
      </c>
      <c r="W780" s="4" t="s">
        <v>95</v>
      </c>
    </row>
    <row r="781" spans="1:23" s="9" customFormat="1" ht="15.75" hidden="1" customHeight="1" x14ac:dyDescent="0.25">
      <c r="A781" s="10" t="s">
        <v>2401</v>
      </c>
      <c r="B781" s="10" t="s">
        <v>2402</v>
      </c>
      <c r="C781" s="10" t="s">
        <v>2403</v>
      </c>
      <c r="D781" s="21" t="s">
        <v>6091</v>
      </c>
      <c r="E781" s="10" t="s">
        <v>51</v>
      </c>
      <c r="F781" s="10" t="s">
        <v>46</v>
      </c>
      <c r="G781" s="10" t="s">
        <v>57</v>
      </c>
      <c r="H781" s="10" t="s">
        <v>161</v>
      </c>
      <c r="I781" s="11">
        <v>45380</v>
      </c>
      <c r="J781" s="10" t="s">
        <v>40</v>
      </c>
      <c r="K781" s="11">
        <v>45426</v>
      </c>
      <c r="L781" s="10" t="s">
        <v>31</v>
      </c>
      <c r="M781" s="12">
        <v>5280</v>
      </c>
      <c r="N781" s="12">
        <v>5249</v>
      </c>
      <c r="O781" s="10" t="s">
        <v>32</v>
      </c>
      <c r="P781" s="10" t="s">
        <v>32</v>
      </c>
      <c r="Q781" s="10" t="s">
        <v>33</v>
      </c>
      <c r="R781" s="10" t="s">
        <v>33</v>
      </c>
      <c r="S781" s="10" t="s">
        <v>34</v>
      </c>
      <c r="T781" s="13">
        <v>1.0059</v>
      </c>
      <c r="U781" s="14">
        <v>46</v>
      </c>
      <c r="V781" s="14">
        <v>2024</v>
      </c>
      <c r="W781" s="10" t="s">
        <v>52</v>
      </c>
    </row>
    <row r="782" spans="1:23" s="9" customFormat="1" ht="15.75" hidden="1" customHeight="1" x14ac:dyDescent="0.25">
      <c r="A782" s="4" t="s">
        <v>2404</v>
      </c>
      <c r="B782" s="4" t="s">
        <v>2405</v>
      </c>
      <c r="C782" s="4" t="s">
        <v>2406</v>
      </c>
      <c r="D782" s="21" t="s">
        <v>6088</v>
      </c>
      <c r="E782" s="4" t="s">
        <v>51</v>
      </c>
      <c r="F782" s="4" t="s">
        <v>71</v>
      </c>
      <c r="G782" s="4" t="s">
        <v>57</v>
      </c>
      <c r="H782" s="4" t="s">
        <v>88</v>
      </c>
      <c r="I782" s="5">
        <v>45148</v>
      </c>
      <c r="J782" s="4" t="s">
        <v>30</v>
      </c>
      <c r="K782" s="5">
        <v>45337</v>
      </c>
      <c r="L782" s="4" t="s">
        <v>59</v>
      </c>
      <c r="M782" s="6">
        <v>16510</v>
      </c>
      <c r="N782" s="6">
        <v>5916</v>
      </c>
      <c r="O782" s="4">
        <v>8</v>
      </c>
      <c r="P782" s="5">
        <v>45345</v>
      </c>
      <c r="Q782" s="4" t="s">
        <v>33</v>
      </c>
      <c r="R782" s="4" t="s">
        <v>33</v>
      </c>
      <c r="S782" s="4" t="s">
        <v>41</v>
      </c>
      <c r="T782" s="7">
        <v>2.7907000000000002</v>
      </c>
      <c r="U782" s="8">
        <v>189</v>
      </c>
      <c r="V782" s="8">
        <v>2024</v>
      </c>
      <c r="W782" s="4" t="s">
        <v>35</v>
      </c>
    </row>
    <row r="783" spans="1:23" s="9" customFormat="1" ht="15.75" hidden="1" customHeight="1" x14ac:dyDescent="0.25">
      <c r="A783" s="10" t="s">
        <v>2407</v>
      </c>
      <c r="B783" s="10" t="s">
        <v>2408</v>
      </c>
      <c r="C783" s="10" t="s">
        <v>2409</v>
      </c>
      <c r="D783" s="22" t="s">
        <v>6087</v>
      </c>
      <c r="E783" s="10" t="s">
        <v>87</v>
      </c>
      <c r="F783" s="21" t="s">
        <v>6092</v>
      </c>
      <c r="G783" s="10" t="s">
        <v>57</v>
      </c>
      <c r="H783" s="10" t="s">
        <v>39</v>
      </c>
      <c r="I783" s="11">
        <v>45230</v>
      </c>
      <c r="J783" s="10" t="s">
        <v>40</v>
      </c>
      <c r="K783" s="11">
        <v>45343</v>
      </c>
      <c r="L783" s="10" t="s">
        <v>31</v>
      </c>
      <c r="M783" s="12">
        <v>7211</v>
      </c>
      <c r="N783" s="12">
        <v>778</v>
      </c>
      <c r="O783" s="10" t="s">
        <v>32</v>
      </c>
      <c r="P783" s="10" t="s">
        <v>32</v>
      </c>
      <c r="Q783" s="10" t="s">
        <v>33</v>
      </c>
      <c r="R783" s="10" t="s">
        <v>33</v>
      </c>
      <c r="S783" s="10" t="s">
        <v>60</v>
      </c>
      <c r="T783" s="13">
        <v>9.2685999999999993</v>
      </c>
      <c r="U783" s="14">
        <v>113</v>
      </c>
      <c r="V783" s="14">
        <v>2024</v>
      </c>
      <c r="W783" s="10" t="s">
        <v>35</v>
      </c>
    </row>
    <row r="784" spans="1:23" s="9" customFormat="1" ht="15.75" hidden="1" customHeight="1" x14ac:dyDescent="0.25">
      <c r="A784" s="4" t="s">
        <v>2410</v>
      </c>
      <c r="B784" s="4" t="s">
        <v>2411</v>
      </c>
      <c r="C784" s="4" t="s">
        <v>2412</v>
      </c>
      <c r="D784" s="21" t="s">
        <v>6091</v>
      </c>
      <c r="E784" s="4" t="s">
        <v>87</v>
      </c>
      <c r="F784" s="4" t="s">
        <v>27</v>
      </c>
      <c r="G784" s="4" t="s">
        <v>5</v>
      </c>
      <c r="H784" s="4" t="s">
        <v>161</v>
      </c>
      <c r="I784" s="5">
        <v>45357</v>
      </c>
      <c r="J784" s="4" t="s">
        <v>30</v>
      </c>
      <c r="K784" s="5">
        <v>45557</v>
      </c>
      <c r="L784" s="4" t="s">
        <v>66</v>
      </c>
      <c r="M784" s="6">
        <v>19217</v>
      </c>
      <c r="N784" s="6">
        <v>1344</v>
      </c>
      <c r="O784" s="4" t="s">
        <v>32</v>
      </c>
      <c r="P784" s="4" t="s">
        <v>32</v>
      </c>
      <c r="Q784" s="4" t="s">
        <v>33</v>
      </c>
      <c r="R784" s="4" t="s">
        <v>33</v>
      </c>
      <c r="S784" s="4" t="s">
        <v>34</v>
      </c>
      <c r="T784" s="7">
        <v>14.298400000000001</v>
      </c>
      <c r="U784" s="8">
        <v>200</v>
      </c>
      <c r="V784" s="8">
        <v>2024</v>
      </c>
      <c r="W784" s="4" t="s">
        <v>168</v>
      </c>
    </row>
    <row r="785" spans="1:23" s="9" customFormat="1" ht="15.75" hidden="1" customHeight="1" x14ac:dyDescent="0.25">
      <c r="A785" s="10" t="s">
        <v>2413</v>
      </c>
      <c r="B785" s="10" t="s">
        <v>2414</v>
      </c>
      <c r="C785" s="10" t="s">
        <v>2415</v>
      </c>
      <c r="D785" s="22" t="s">
        <v>6090</v>
      </c>
      <c r="E785" s="10" t="s">
        <v>87</v>
      </c>
      <c r="F785" s="10" t="s">
        <v>27</v>
      </c>
      <c r="G785" s="10" t="s">
        <v>57</v>
      </c>
      <c r="H785" s="10" t="s">
        <v>58</v>
      </c>
      <c r="I785" s="11">
        <v>44975</v>
      </c>
      <c r="J785" s="10" t="s">
        <v>30</v>
      </c>
      <c r="K785" s="11">
        <v>45307</v>
      </c>
      <c r="L785" s="10" t="s">
        <v>59</v>
      </c>
      <c r="M785" s="12">
        <v>49643</v>
      </c>
      <c r="N785" s="12">
        <v>3192</v>
      </c>
      <c r="O785" s="10">
        <v>35</v>
      </c>
      <c r="P785" s="11">
        <v>45342</v>
      </c>
      <c r="Q785" s="10" t="s">
        <v>33</v>
      </c>
      <c r="R785" s="10" t="s">
        <v>33</v>
      </c>
      <c r="S785" s="10" t="s">
        <v>41</v>
      </c>
      <c r="T785" s="13">
        <v>15.552300000000001</v>
      </c>
      <c r="U785" s="14">
        <v>332</v>
      </c>
      <c r="V785" s="14">
        <v>2024</v>
      </c>
      <c r="W785" s="10" t="s">
        <v>73</v>
      </c>
    </row>
    <row r="786" spans="1:23" s="9" customFormat="1" ht="15.75" hidden="1" customHeight="1" x14ac:dyDescent="0.25">
      <c r="A786" s="4" t="s">
        <v>2416</v>
      </c>
      <c r="B786" s="4" t="s">
        <v>2417</v>
      </c>
      <c r="C786" s="4" t="s">
        <v>2418</v>
      </c>
      <c r="D786" s="21" t="s">
        <v>6091</v>
      </c>
      <c r="E786" s="4" t="s">
        <v>87</v>
      </c>
      <c r="F786" s="4" t="s">
        <v>46</v>
      </c>
      <c r="G786" s="4" t="s">
        <v>28</v>
      </c>
      <c r="H786" s="4" t="s">
        <v>93</v>
      </c>
      <c r="I786" s="5">
        <v>45088</v>
      </c>
      <c r="J786" s="4" t="s">
        <v>30</v>
      </c>
      <c r="K786" s="5">
        <v>45429</v>
      </c>
      <c r="L786" s="4" t="s">
        <v>59</v>
      </c>
      <c r="M786" s="6">
        <v>9099</v>
      </c>
      <c r="N786" s="6">
        <v>6164</v>
      </c>
      <c r="O786" s="4">
        <v>11</v>
      </c>
      <c r="P786" s="5">
        <v>45440</v>
      </c>
      <c r="Q786" s="4" t="s">
        <v>33</v>
      </c>
      <c r="R786" s="4" t="s">
        <v>33</v>
      </c>
      <c r="S786" s="4" t="s">
        <v>41</v>
      </c>
      <c r="T786" s="7">
        <v>1.4762</v>
      </c>
      <c r="U786" s="8">
        <v>341</v>
      </c>
      <c r="V786" s="8">
        <v>2024</v>
      </c>
      <c r="W786" s="4" t="s">
        <v>52</v>
      </c>
    </row>
    <row r="787" spans="1:23" s="9" customFormat="1" ht="15.75" hidden="1" customHeight="1" x14ac:dyDescent="0.25">
      <c r="A787" s="10" t="s">
        <v>2419</v>
      </c>
      <c r="B787" s="10" t="s">
        <v>2420</v>
      </c>
      <c r="C787" s="10" t="s">
        <v>2421</v>
      </c>
      <c r="D787" s="21" t="s">
        <v>6086</v>
      </c>
      <c r="E787" s="10" t="s">
        <v>26</v>
      </c>
      <c r="F787" s="10" t="s">
        <v>71</v>
      </c>
      <c r="G787" s="10" t="s">
        <v>28</v>
      </c>
      <c r="H787" s="10" t="s">
        <v>39</v>
      </c>
      <c r="I787" s="11">
        <v>45257</v>
      </c>
      <c r="J787" s="10" t="s">
        <v>40</v>
      </c>
      <c r="K787" s="11">
        <v>45558</v>
      </c>
      <c r="L787" s="10" t="s">
        <v>59</v>
      </c>
      <c r="M787" s="12">
        <v>71973</v>
      </c>
      <c r="N787" s="12">
        <v>5888</v>
      </c>
      <c r="O787" s="10">
        <v>10</v>
      </c>
      <c r="P787" s="11">
        <v>45568</v>
      </c>
      <c r="Q787" s="10" t="s">
        <v>33</v>
      </c>
      <c r="R787" s="10" t="s">
        <v>33</v>
      </c>
      <c r="S787" s="10" t="s">
        <v>34</v>
      </c>
      <c r="T787" s="13">
        <v>12.223699999999999</v>
      </c>
      <c r="U787" s="14">
        <v>301</v>
      </c>
      <c r="V787" s="14">
        <v>2024</v>
      </c>
      <c r="W787" s="10" t="s">
        <v>168</v>
      </c>
    </row>
    <row r="788" spans="1:23" s="9" customFormat="1" ht="15.75" hidden="1" customHeight="1" x14ac:dyDescent="0.25">
      <c r="A788" s="4" t="s">
        <v>2422</v>
      </c>
      <c r="B788" s="4" t="s">
        <v>2423</v>
      </c>
      <c r="C788" s="4" t="s">
        <v>2424</v>
      </c>
      <c r="D788" s="22" t="s">
        <v>6087</v>
      </c>
      <c r="E788" s="4" t="s">
        <v>87</v>
      </c>
      <c r="F788" s="4" t="s">
        <v>46</v>
      </c>
      <c r="G788" s="4" t="s">
        <v>5</v>
      </c>
      <c r="H788" s="4" t="s">
        <v>88</v>
      </c>
      <c r="I788" s="5">
        <v>45064</v>
      </c>
      <c r="J788" s="4" t="s">
        <v>40</v>
      </c>
      <c r="K788" s="5">
        <v>45411</v>
      </c>
      <c r="L788" s="4" t="s">
        <v>59</v>
      </c>
      <c r="M788" s="6">
        <v>17682</v>
      </c>
      <c r="N788" s="6">
        <v>6535</v>
      </c>
      <c r="O788" s="4">
        <v>27</v>
      </c>
      <c r="P788" s="5">
        <v>45438</v>
      </c>
      <c r="Q788" s="4" t="s">
        <v>33</v>
      </c>
      <c r="R788" s="4" t="s">
        <v>33</v>
      </c>
      <c r="S788" s="4" t="s">
        <v>60</v>
      </c>
      <c r="T788" s="7">
        <v>2.7057000000000002</v>
      </c>
      <c r="U788" s="8">
        <v>347</v>
      </c>
      <c r="V788" s="8">
        <v>2024</v>
      </c>
      <c r="W788" s="4" t="s">
        <v>47</v>
      </c>
    </row>
    <row r="789" spans="1:23" s="9" customFormat="1" ht="15.75" hidden="1" customHeight="1" x14ac:dyDescent="0.25">
      <c r="A789" s="10" t="s">
        <v>2425</v>
      </c>
      <c r="B789" s="10" t="s">
        <v>2426</v>
      </c>
      <c r="C789" s="10" t="s">
        <v>2427</v>
      </c>
      <c r="D789" s="21" t="s">
        <v>6091</v>
      </c>
      <c r="E789" s="10" t="s">
        <v>87</v>
      </c>
      <c r="F789" s="10" t="s">
        <v>56</v>
      </c>
      <c r="G789" s="10" t="s">
        <v>5</v>
      </c>
      <c r="H789" s="10" t="s">
        <v>39</v>
      </c>
      <c r="I789" s="11">
        <v>45272</v>
      </c>
      <c r="J789" s="10" t="s">
        <v>40</v>
      </c>
      <c r="K789" s="11">
        <v>45400</v>
      </c>
      <c r="L789" s="10" t="s">
        <v>59</v>
      </c>
      <c r="M789" s="12">
        <v>19820</v>
      </c>
      <c r="N789" s="12">
        <v>4001</v>
      </c>
      <c r="O789" s="10">
        <v>15</v>
      </c>
      <c r="P789" s="11">
        <v>45415</v>
      </c>
      <c r="Q789" s="10" t="s">
        <v>33</v>
      </c>
      <c r="R789" s="10" t="s">
        <v>33</v>
      </c>
      <c r="S789" s="10" t="s">
        <v>41</v>
      </c>
      <c r="T789" s="13">
        <v>4.9538000000000002</v>
      </c>
      <c r="U789" s="14">
        <v>128</v>
      </c>
      <c r="V789" s="14">
        <v>2024</v>
      </c>
      <c r="W789" s="10" t="s">
        <v>47</v>
      </c>
    </row>
    <row r="790" spans="1:23" s="9" customFormat="1" ht="15.75" hidden="1" customHeight="1" x14ac:dyDescent="0.25">
      <c r="A790" s="4" t="s">
        <v>2428</v>
      </c>
      <c r="B790" s="4" t="s">
        <v>2429</v>
      </c>
      <c r="C790" s="4" t="s">
        <v>2430</v>
      </c>
      <c r="D790" s="21" t="s">
        <v>6091</v>
      </c>
      <c r="E790" s="4" t="s">
        <v>87</v>
      </c>
      <c r="F790" s="4" t="s">
        <v>65</v>
      </c>
      <c r="G790" s="4" t="s">
        <v>5</v>
      </c>
      <c r="H790" s="4" t="s">
        <v>93</v>
      </c>
      <c r="I790" s="5">
        <v>45428</v>
      </c>
      <c r="J790" s="4" t="s">
        <v>40</v>
      </c>
      <c r="K790" s="5">
        <v>45591</v>
      </c>
      <c r="L790" s="4" t="s">
        <v>31</v>
      </c>
      <c r="M790" s="6">
        <v>19784</v>
      </c>
      <c r="N790" s="6">
        <v>6346</v>
      </c>
      <c r="O790" s="4" t="s">
        <v>32</v>
      </c>
      <c r="P790" s="4" t="s">
        <v>32</v>
      </c>
      <c r="Q790" s="4" t="s">
        <v>33</v>
      </c>
      <c r="R790" s="4" t="s">
        <v>33</v>
      </c>
      <c r="S790" s="4" t="s">
        <v>60</v>
      </c>
      <c r="T790" s="7">
        <v>3.1175999999999999</v>
      </c>
      <c r="U790" s="8">
        <v>163</v>
      </c>
      <c r="V790" s="8">
        <v>2024</v>
      </c>
      <c r="W790" s="4" t="s">
        <v>95</v>
      </c>
    </row>
    <row r="791" spans="1:23" s="9" customFormat="1" ht="15.75" hidden="1" customHeight="1" x14ac:dyDescent="0.25">
      <c r="A791" s="10" t="s">
        <v>2431</v>
      </c>
      <c r="B791" s="10" t="s">
        <v>2432</v>
      </c>
      <c r="C791" s="10" t="s">
        <v>2433</v>
      </c>
      <c r="D791" s="21" t="s">
        <v>6089</v>
      </c>
      <c r="E791" s="10" t="s">
        <v>26</v>
      </c>
      <c r="F791" s="21" t="s">
        <v>6092</v>
      </c>
      <c r="G791" s="10" t="s">
        <v>28</v>
      </c>
      <c r="H791" s="10" t="s">
        <v>118</v>
      </c>
      <c r="I791" s="11">
        <v>45272</v>
      </c>
      <c r="J791" s="10" t="s">
        <v>40</v>
      </c>
      <c r="K791" s="11">
        <v>45339</v>
      </c>
      <c r="L791" s="10" t="s">
        <v>59</v>
      </c>
      <c r="M791" s="12">
        <v>55292</v>
      </c>
      <c r="N791" s="12">
        <v>3478</v>
      </c>
      <c r="O791" s="10">
        <v>14</v>
      </c>
      <c r="P791" s="11">
        <v>45353</v>
      </c>
      <c r="Q791" s="10" t="s">
        <v>33</v>
      </c>
      <c r="R791" s="10" t="s">
        <v>33</v>
      </c>
      <c r="S791" s="10" t="s">
        <v>60</v>
      </c>
      <c r="T791" s="13">
        <v>15.897600000000001</v>
      </c>
      <c r="U791" s="14">
        <v>67</v>
      </c>
      <c r="V791" s="14">
        <v>2024</v>
      </c>
      <c r="W791" s="10" t="s">
        <v>35</v>
      </c>
    </row>
    <row r="792" spans="1:23" s="9" customFormat="1" ht="15.75" hidden="1" customHeight="1" x14ac:dyDescent="0.25">
      <c r="A792" s="4" t="s">
        <v>2434</v>
      </c>
      <c r="B792" s="4" t="s">
        <v>2435</v>
      </c>
      <c r="C792" s="4" t="s">
        <v>2436</v>
      </c>
      <c r="D792" s="22" t="s">
        <v>6087</v>
      </c>
      <c r="E792" s="4" t="s">
        <v>26</v>
      </c>
      <c r="F792" s="4" t="s">
        <v>71</v>
      </c>
      <c r="G792" s="4" t="s">
        <v>57</v>
      </c>
      <c r="H792" s="4" t="s">
        <v>58</v>
      </c>
      <c r="I792" s="5">
        <v>45008</v>
      </c>
      <c r="J792" s="4" t="s">
        <v>40</v>
      </c>
      <c r="K792" s="5">
        <v>45326</v>
      </c>
      <c r="L792" s="4" t="s">
        <v>31</v>
      </c>
      <c r="M792" s="6">
        <v>20332</v>
      </c>
      <c r="N792" s="6">
        <v>3182</v>
      </c>
      <c r="O792" s="4" t="s">
        <v>32</v>
      </c>
      <c r="P792" s="4" t="s">
        <v>32</v>
      </c>
      <c r="Q792" s="4" t="s">
        <v>33</v>
      </c>
      <c r="R792" s="4" t="s">
        <v>33</v>
      </c>
      <c r="S792" s="4" t="s">
        <v>41</v>
      </c>
      <c r="T792" s="7">
        <v>6.3897000000000004</v>
      </c>
      <c r="U792" s="8">
        <v>318</v>
      </c>
      <c r="V792" s="8">
        <v>2024</v>
      </c>
      <c r="W792" s="4" t="s">
        <v>35</v>
      </c>
    </row>
    <row r="793" spans="1:23" s="9" customFormat="1" ht="15.75" hidden="1" customHeight="1" x14ac:dyDescent="0.25">
      <c r="A793" s="10" t="s">
        <v>2437</v>
      </c>
      <c r="B793" s="10" t="s">
        <v>2438</v>
      </c>
      <c r="C793" s="10" t="s">
        <v>2439</v>
      </c>
      <c r="D793" s="21" t="s">
        <v>6091</v>
      </c>
      <c r="E793" s="10" t="s">
        <v>87</v>
      </c>
      <c r="F793" s="10" t="s">
        <v>56</v>
      </c>
      <c r="G793" s="10" t="s">
        <v>57</v>
      </c>
      <c r="H793" s="10" t="s">
        <v>29</v>
      </c>
      <c r="I793" s="11">
        <v>45253</v>
      </c>
      <c r="J793" s="10" t="s">
        <v>40</v>
      </c>
      <c r="K793" s="11">
        <v>45345</v>
      </c>
      <c r="L793" s="10" t="s">
        <v>59</v>
      </c>
      <c r="M793" s="12">
        <v>4325</v>
      </c>
      <c r="N793" s="12">
        <v>7440</v>
      </c>
      <c r="O793" s="10">
        <v>19</v>
      </c>
      <c r="P793" s="11">
        <v>45364</v>
      </c>
      <c r="Q793" s="10" t="s">
        <v>33</v>
      </c>
      <c r="R793" s="10" t="s">
        <v>33</v>
      </c>
      <c r="S793" s="10" t="s">
        <v>41</v>
      </c>
      <c r="T793" s="13">
        <v>0.58130000000000004</v>
      </c>
      <c r="U793" s="14">
        <v>92</v>
      </c>
      <c r="V793" s="14">
        <v>2024</v>
      </c>
      <c r="W793" s="10" t="s">
        <v>35</v>
      </c>
    </row>
    <row r="794" spans="1:23" s="9" customFormat="1" ht="15.75" hidden="1" customHeight="1" x14ac:dyDescent="0.25">
      <c r="A794" s="4" t="s">
        <v>2440</v>
      </c>
      <c r="B794" s="4" t="s">
        <v>2441</v>
      </c>
      <c r="C794" s="4" t="s">
        <v>2442</v>
      </c>
      <c r="D794" s="21" t="s">
        <v>6091</v>
      </c>
      <c r="E794" s="4" t="s">
        <v>87</v>
      </c>
      <c r="F794" s="4" t="s">
        <v>71</v>
      </c>
      <c r="G794" s="4" t="s">
        <v>57</v>
      </c>
      <c r="H794" s="4" t="s">
        <v>58</v>
      </c>
      <c r="I794" s="5">
        <v>45460</v>
      </c>
      <c r="J794" s="4" t="s">
        <v>40</v>
      </c>
      <c r="K794" s="5">
        <v>45634</v>
      </c>
      <c r="L794" s="4" t="s">
        <v>59</v>
      </c>
      <c r="M794" s="6">
        <v>14858</v>
      </c>
      <c r="N794" s="6">
        <v>2463</v>
      </c>
      <c r="O794" s="4">
        <v>18</v>
      </c>
      <c r="P794" s="5">
        <v>45652</v>
      </c>
      <c r="Q794" s="4" t="s">
        <v>33</v>
      </c>
      <c r="R794" s="4" t="s">
        <v>33</v>
      </c>
      <c r="S794" s="4" t="s">
        <v>34</v>
      </c>
      <c r="T794" s="7">
        <v>6.0324999999999998</v>
      </c>
      <c r="U794" s="8">
        <v>174</v>
      </c>
      <c r="V794" s="8">
        <v>2024</v>
      </c>
      <c r="W794" s="4" t="s">
        <v>89</v>
      </c>
    </row>
    <row r="795" spans="1:23" s="9" customFormat="1" ht="15.75" hidden="1" customHeight="1" x14ac:dyDescent="0.25">
      <c r="A795" s="10" t="s">
        <v>2443</v>
      </c>
      <c r="B795" s="10" t="s">
        <v>2444</v>
      </c>
      <c r="C795" s="10" t="s">
        <v>2445</v>
      </c>
      <c r="D795" s="22" t="s">
        <v>6090</v>
      </c>
      <c r="E795" s="10" t="s">
        <v>51</v>
      </c>
      <c r="F795" s="21" t="s">
        <v>6092</v>
      </c>
      <c r="G795" s="10" t="s">
        <v>57</v>
      </c>
      <c r="H795" s="10" t="s">
        <v>161</v>
      </c>
      <c r="I795" s="11">
        <v>45001</v>
      </c>
      <c r="J795" s="10" t="s">
        <v>40</v>
      </c>
      <c r="K795" s="11">
        <v>45341</v>
      </c>
      <c r="L795" s="10" t="s">
        <v>66</v>
      </c>
      <c r="M795" s="12">
        <v>26011</v>
      </c>
      <c r="N795" s="12">
        <v>969</v>
      </c>
      <c r="O795" s="10" t="s">
        <v>32</v>
      </c>
      <c r="P795" s="10" t="s">
        <v>32</v>
      </c>
      <c r="Q795" s="10" t="s">
        <v>33</v>
      </c>
      <c r="R795" s="10" t="s">
        <v>33</v>
      </c>
      <c r="S795" s="10" t="s">
        <v>41</v>
      </c>
      <c r="T795" s="13">
        <v>26.8431</v>
      </c>
      <c r="U795" s="14">
        <v>340</v>
      </c>
      <c r="V795" s="14">
        <v>2024</v>
      </c>
      <c r="W795" s="10" t="s">
        <v>35</v>
      </c>
    </row>
    <row r="796" spans="1:23" s="9" customFormat="1" ht="15.75" hidden="1" customHeight="1" x14ac:dyDescent="0.25">
      <c r="A796" s="4" t="s">
        <v>2446</v>
      </c>
      <c r="B796" s="4" t="s">
        <v>2447</v>
      </c>
      <c r="C796" s="4" t="s">
        <v>2448</v>
      </c>
      <c r="D796" s="21" t="s">
        <v>6089</v>
      </c>
      <c r="E796" s="4" t="s">
        <v>51</v>
      </c>
      <c r="F796" s="4" t="s">
        <v>27</v>
      </c>
      <c r="G796" s="4" t="s">
        <v>5</v>
      </c>
      <c r="H796" s="4" t="s">
        <v>72</v>
      </c>
      <c r="I796" s="5">
        <v>45302</v>
      </c>
      <c r="J796" s="4" t="s">
        <v>30</v>
      </c>
      <c r="K796" s="5">
        <v>45456</v>
      </c>
      <c r="L796" s="4" t="s">
        <v>31</v>
      </c>
      <c r="M796" s="6">
        <v>32161</v>
      </c>
      <c r="N796" s="6">
        <v>1292</v>
      </c>
      <c r="O796" s="4" t="s">
        <v>32</v>
      </c>
      <c r="P796" s="4" t="s">
        <v>32</v>
      </c>
      <c r="Q796" s="4" t="s">
        <v>33</v>
      </c>
      <c r="R796" s="4" t="s">
        <v>33</v>
      </c>
      <c r="S796" s="4" t="s">
        <v>34</v>
      </c>
      <c r="T796" s="7">
        <v>24.892399999999999</v>
      </c>
      <c r="U796" s="8">
        <v>154</v>
      </c>
      <c r="V796" s="8">
        <v>2024</v>
      </c>
      <c r="W796" s="4" t="s">
        <v>67</v>
      </c>
    </row>
    <row r="797" spans="1:23" s="9" customFormat="1" ht="15.75" hidden="1" customHeight="1" x14ac:dyDescent="0.25">
      <c r="A797" s="10" t="s">
        <v>2449</v>
      </c>
      <c r="B797" s="10" t="s">
        <v>2450</v>
      </c>
      <c r="C797" s="10" t="s">
        <v>2451</v>
      </c>
      <c r="D797" s="22" t="s">
        <v>6090</v>
      </c>
      <c r="E797" s="10" t="s">
        <v>51</v>
      </c>
      <c r="F797" s="10" t="s">
        <v>27</v>
      </c>
      <c r="G797" s="10" t="s">
        <v>5</v>
      </c>
      <c r="H797" s="10" t="s">
        <v>29</v>
      </c>
      <c r="I797" s="11">
        <v>45319</v>
      </c>
      <c r="J797" s="10" t="s">
        <v>30</v>
      </c>
      <c r="K797" s="11">
        <v>45422</v>
      </c>
      <c r="L797" s="10" t="s">
        <v>66</v>
      </c>
      <c r="M797" s="12">
        <v>27064</v>
      </c>
      <c r="N797" s="12">
        <v>597</v>
      </c>
      <c r="O797" s="10" t="s">
        <v>32</v>
      </c>
      <c r="P797" s="10" t="s">
        <v>32</v>
      </c>
      <c r="Q797" s="10" t="s">
        <v>33</v>
      </c>
      <c r="R797" s="10" t="s">
        <v>33</v>
      </c>
      <c r="S797" s="10" t="s">
        <v>41</v>
      </c>
      <c r="T797" s="13">
        <v>45.333300000000001</v>
      </c>
      <c r="U797" s="14">
        <v>103</v>
      </c>
      <c r="V797" s="14">
        <v>2024</v>
      </c>
      <c r="W797" s="10" t="s">
        <v>52</v>
      </c>
    </row>
    <row r="798" spans="1:23" s="9" customFormat="1" ht="15.75" hidden="1" customHeight="1" x14ac:dyDescent="0.25">
      <c r="A798" s="4" t="s">
        <v>2452</v>
      </c>
      <c r="B798" s="4" t="s">
        <v>2453</v>
      </c>
      <c r="C798" s="4" t="s">
        <v>2454</v>
      </c>
      <c r="D798" s="21" t="s">
        <v>6086</v>
      </c>
      <c r="E798" s="4" t="s">
        <v>51</v>
      </c>
      <c r="F798" s="21" t="s">
        <v>6092</v>
      </c>
      <c r="G798" s="4" t="s">
        <v>57</v>
      </c>
      <c r="H798" s="4" t="s">
        <v>161</v>
      </c>
      <c r="I798" s="5">
        <v>45212</v>
      </c>
      <c r="J798" s="4" t="s">
        <v>40</v>
      </c>
      <c r="K798" s="5">
        <v>45469</v>
      </c>
      <c r="L798" s="4" t="s">
        <v>59</v>
      </c>
      <c r="M798" s="6">
        <v>38745</v>
      </c>
      <c r="N798" s="6">
        <v>1656</v>
      </c>
      <c r="O798" s="4">
        <v>5</v>
      </c>
      <c r="P798" s="5">
        <v>45474</v>
      </c>
      <c r="Q798" s="4" t="s">
        <v>33</v>
      </c>
      <c r="R798" s="4" t="s">
        <v>33</v>
      </c>
      <c r="S798" s="4" t="s">
        <v>34</v>
      </c>
      <c r="T798" s="7">
        <v>23.396699999999999</v>
      </c>
      <c r="U798" s="8">
        <v>257</v>
      </c>
      <c r="V798" s="8">
        <v>2024</v>
      </c>
      <c r="W798" s="4" t="s">
        <v>67</v>
      </c>
    </row>
    <row r="799" spans="1:23" s="9" customFormat="1" ht="15.75" hidden="1" customHeight="1" x14ac:dyDescent="0.25">
      <c r="A799" s="10" t="s">
        <v>2455</v>
      </c>
      <c r="B799" s="10" t="s">
        <v>2456</v>
      </c>
      <c r="C799" s="10" t="s">
        <v>2457</v>
      </c>
      <c r="D799" s="22" t="s">
        <v>6087</v>
      </c>
      <c r="E799" s="10" t="s">
        <v>87</v>
      </c>
      <c r="F799" s="10" t="s">
        <v>65</v>
      </c>
      <c r="G799" s="10" t="s">
        <v>57</v>
      </c>
      <c r="H799" s="10" t="s">
        <v>161</v>
      </c>
      <c r="I799" s="11">
        <v>45124</v>
      </c>
      <c r="J799" s="10" t="s">
        <v>40</v>
      </c>
      <c r="K799" s="11">
        <v>45414</v>
      </c>
      <c r="L799" s="10" t="s">
        <v>59</v>
      </c>
      <c r="M799" s="12">
        <v>6862</v>
      </c>
      <c r="N799" s="12">
        <v>1472</v>
      </c>
      <c r="O799" s="10">
        <v>44</v>
      </c>
      <c r="P799" s="11">
        <v>45458</v>
      </c>
      <c r="Q799" s="10" t="s">
        <v>33</v>
      </c>
      <c r="R799" s="10" t="s">
        <v>33</v>
      </c>
      <c r="S799" s="10" t="s">
        <v>41</v>
      </c>
      <c r="T799" s="13">
        <v>4.6616999999999997</v>
      </c>
      <c r="U799" s="14">
        <v>290</v>
      </c>
      <c r="V799" s="14">
        <v>2024</v>
      </c>
      <c r="W799" s="10" t="s">
        <v>52</v>
      </c>
    </row>
    <row r="800" spans="1:23" s="9" customFormat="1" ht="15.75" hidden="1" customHeight="1" x14ac:dyDescent="0.25">
      <c r="A800" s="4" t="s">
        <v>2458</v>
      </c>
      <c r="B800" s="4" t="s">
        <v>2459</v>
      </c>
      <c r="C800" s="4" t="s">
        <v>2460</v>
      </c>
      <c r="D800" s="21" t="s">
        <v>6088</v>
      </c>
      <c r="E800" s="4" t="s">
        <v>87</v>
      </c>
      <c r="F800" s="4" t="s">
        <v>71</v>
      </c>
      <c r="G800" s="4" t="s">
        <v>57</v>
      </c>
      <c r="H800" s="4" t="s">
        <v>29</v>
      </c>
      <c r="I800" s="5">
        <v>45409</v>
      </c>
      <c r="J800" s="4" t="s">
        <v>30</v>
      </c>
      <c r="K800" s="5">
        <v>45484</v>
      </c>
      <c r="L800" s="4" t="s">
        <v>31</v>
      </c>
      <c r="M800" s="6">
        <v>32223</v>
      </c>
      <c r="N800" s="6">
        <v>1884</v>
      </c>
      <c r="O800" s="4" t="s">
        <v>32</v>
      </c>
      <c r="P800" s="4" t="s">
        <v>32</v>
      </c>
      <c r="Q800" s="4" t="s">
        <v>33</v>
      </c>
      <c r="R800" s="4" t="s">
        <v>33</v>
      </c>
      <c r="S800" s="4" t="s">
        <v>41</v>
      </c>
      <c r="T800" s="7">
        <v>17.1035</v>
      </c>
      <c r="U800" s="8">
        <v>75</v>
      </c>
      <c r="V800" s="8">
        <v>2024</v>
      </c>
      <c r="W800" s="4" t="s">
        <v>42</v>
      </c>
    </row>
    <row r="801" spans="1:23" s="9" customFormat="1" ht="15.75" hidden="1" customHeight="1" x14ac:dyDescent="0.25">
      <c r="A801" s="10" t="s">
        <v>2461</v>
      </c>
      <c r="B801" s="10" t="s">
        <v>2462</v>
      </c>
      <c r="C801" s="10" t="s">
        <v>2463</v>
      </c>
      <c r="D801" s="22" t="s">
        <v>6090</v>
      </c>
      <c r="E801" s="10" t="s">
        <v>87</v>
      </c>
      <c r="F801" s="21" t="s">
        <v>6092</v>
      </c>
      <c r="G801" s="10" t="s">
        <v>5</v>
      </c>
      <c r="H801" s="10" t="s">
        <v>72</v>
      </c>
      <c r="I801" s="11">
        <v>44987</v>
      </c>
      <c r="J801" s="10" t="s">
        <v>40</v>
      </c>
      <c r="K801" s="11">
        <v>45310</v>
      </c>
      <c r="L801" s="10" t="s">
        <v>31</v>
      </c>
      <c r="M801" s="12">
        <v>19940</v>
      </c>
      <c r="N801" s="12">
        <v>8904</v>
      </c>
      <c r="O801" s="10" t="s">
        <v>32</v>
      </c>
      <c r="P801" s="10" t="s">
        <v>32</v>
      </c>
      <c r="Q801" s="10" t="s">
        <v>94</v>
      </c>
      <c r="R801" s="10" t="s">
        <v>33</v>
      </c>
      <c r="S801" s="10" t="s">
        <v>41</v>
      </c>
      <c r="T801" s="13">
        <v>2.2393999999999998</v>
      </c>
      <c r="U801" s="14">
        <v>323</v>
      </c>
      <c r="V801" s="14">
        <v>2024</v>
      </c>
      <c r="W801" s="10" t="s">
        <v>73</v>
      </c>
    </row>
    <row r="802" spans="1:23" s="9" customFormat="1" ht="15.75" hidden="1" customHeight="1" x14ac:dyDescent="0.25">
      <c r="A802" s="4" t="s">
        <v>2464</v>
      </c>
      <c r="B802" s="4" t="s">
        <v>2465</v>
      </c>
      <c r="C802" s="4" t="s">
        <v>2466</v>
      </c>
      <c r="D802" s="22" t="s">
        <v>6087</v>
      </c>
      <c r="E802" s="4" t="s">
        <v>87</v>
      </c>
      <c r="F802" s="4" t="s">
        <v>71</v>
      </c>
      <c r="G802" s="4" t="s">
        <v>57</v>
      </c>
      <c r="H802" s="4" t="s">
        <v>29</v>
      </c>
      <c r="I802" s="5">
        <v>45024</v>
      </c>
      <c r="J802" s="4" t="s">
        <v>40</v>
      </c>
      <c r="K802" s="5">
        <v>45334</v>
      </c>
      <c r="L802" s="4" t="s">
        <v>59</v>
      </c>
      <c r="M802" s="6">
        <v>25179</v>
      </c>
      <c r="N802" s="6">
        <v>1904</v>
      </c>
      <c r="O802" s="4">
        <v>38</v>
      </c>
      <c r="P802" s="5">
        <v>45372</v>
      </c>
      <c r="Q802" s="4" t="s">
        <v>33</v>
      </c>
      <c r="R802" s="4" t="s">
        <v>33</v>
      </c>
      <c r="S802" s="4" t="s">
        <v>60</v>
      </c>
      <c r="T802" s="7">
        <v>13.224299999999999</v>
      </c>
      <c r="U802" s="8">
        <v>310</v>
      </c>
      <c r="V802" s="8">
        <v>2024</v>
      </c>
      <c r="W802" s="4" t="s">
        <v>35</v>
      </c>
    </row>
    <row r="803" spans="1:23" s="9" customFormat="1" ht="15.75" hidden="1" customHeight="1" x14ac:dyDescent="0.25">
      <c r="A803" s="10" t="s">
        <v>2467</v>
      </c>
      <c r="B803" s="10" t="s">
        <v>2468</v>
      </c>
      <c r="C803" s="10" t="s">
        <v>2469</v>
      </c>
      <c r="D803" s="21" t="s">
        <v>6086</v>
      </c>
      <c r="E803" s="10" t="s">
        <v>51</v>
      </c>
      <c r="F803" s="10" t="s">
        <v>65</v>
      </c>
      <c r="G803" s="10" t="s">
        <v>5</v>
      </c>
      <c r="H803" s="10" t="s">
        <v>72</v>
      </c>
      <c r="I803" s="11">
        <v>45185</v>
      </c>
      <c r="J803" s="10" t="s">
        <v>40</v>
      </c>
      <c r="K803" s="11">
        <v>45457</v>
      </c>
      <c r="L803" s="10" t="s">
        <v>66</v>
      </c>
      <c r="M803" s="12">
        <v>91718</v>
      </c>
      <c r="N803" s="12">
        <v>8072</v>
      </c>
      <c r="O803" s="10" t="s">
        <v>32</v>
      </c>
      <c r="P803" s="10" t="s">
        <v>32</v>
      </c>
      <c r="Q803" s="10" t="s">
        <v>33</v>
      </c>
      <c r="R803" s="10" t="s">
        <v>33</v>
      </c>
      <c r="S803" s="10" t="s">
        <v>60</v>
      </c>
      <c r="T803" s="13">
        <v>11.362500000000001</v>
      </c>
      <c r="U803" s="14">
        <v>272</v>
      </c>
      <c r="V803" s="14">
        <v>2024</v>
      </c>
      <c r="W803" s="10" t="s">
        <v>67</v>
      </c>
    </row>
    <row r="804" spans="1:23" s="9" customFormat="1" ht="15.75" hidden="1" customHeight="1" x14ac:dyDescent="0.25">
      <c r="A804" s="4" t="s">
        <v>2470</v>
      </c>
      <c r="B804" s="4" t="s">
        <v>2471</v>
      </c>
      <c r="C804" s="4" t="s">
        <v>2472</v>
      </c>
      <c r="D804" s="21" t="s">
        <v>6091</v>
      </c>
      <c r="E804" s="4" t="s">
        <v>87</v>
      </c>
      <c r="F804" s="4" t="s">
        <v>27</v>
      </c>
      <c r="G804" s="4" t="s">
        <v>28</v>
      </c>
      <c r="H804" s="4" t="s">
        <v>39</v>
      </c>
      <c r="I804" s="5">
        <v>45040</v>
      </c>
      <c r="J804" s="4" t="s">
        <v>40</v>
      </c>
      <c r="K804" s="5">
        <v>45362</v>
      </c>
      <c r="L804" s="4" t="s">
        <v>59</v>
      </c>
      <c r="M804" s="6">
        <v>4935</v>
      </c>
      <c r="N804" s="6">
        <v>3158</v>
      </c>
      <c r="O804" s="4">
        <v>11</v>
      </c>
      <c r="P804" s="5">
        <v>45373</v>
      </c>
      <c r="Q804" s="4" t="s">
        <v>94</v>
      </c>
      <c r="R804" s="4" t="s">
        <v>33</v>
      </c>
      <c r="S804" s="4" t="s">
        <v>34</v>
      </c>
      <c r="T804" s="7">
        <v>1.5627</v>
      </c>
      <c r="U804" s="8">
        <v>322</v>
      </c>
      <c r="V804" s="8">
        <v>2024</v>
      </c>
      <c r="W804" s="4" t="s">
        <v>77</v>
      </c>
    </row>
    <row r="805" spans="1:23" s="9" customFormat="1" ht="15.75" hidden="1" customHeight="1" x14ac:dyDescent="0.25">
      <c r="A805" s="10" t="s">
        <v>2473</v>
      </c>
      <c r="B805" s="10" t="s">
        <v>2474</v>
      </c>
      <c r="C805" s="10" t="s">
        <v>2475</v>
      </c>
      <c r="D805" s="21" t="s">
        <v>6089</v>
      </c>
      <c r="E805" s="10" t="s">
        <v>26</v>
      </c>
      <c r="F805" s="10" t="s">
        <v>71</v>
      </c>
      <c r="G805" s="10" t="s">
        <v>5</v>
      </c>
      <c r="H805" s="10" t="s">
        <v>72</v>
      </c>
      <c r="I805" s="11">
        <v>45445</v>
      </c>
      <c r="J805" s="10" t="s">
        <v>30</v>
      </c>
      <c r="K805" s="11">
        <v>45578</v>
      </c>
      <c r="L805" s="10" t="s">
        <v>59</v>
      </c>
      <c r="M805" s="12">
        <v>35595</v>
      </c>
      <c r="N805" s="12">
        <v>5909</v>
      </c>
      <c r="O805" s="10">
        <v>14</v>
      </c>
      <c r="P805" s="11">
        <v>45592</v>
      </c>
      <c r="Q805" s="10" t="s">
        <v>33</v>
      </c>
      <c r="R805" s="10" t="s">
        <v>33</v>
      </c>
      <c r="S805" s="10" t="s">
        <v>60</v>
      </c>
      <c r="T805" s="13">
        <v>6.0239000000000003</v>
      </c>
      <c r="U805" s="14">
        <v>133</v>
      </c>
      <c r="V805" s="14">
        <v>2024</v>
      </c>
      <c r="W805" s="10" t="s">
        <v>95</v>
      </c>
    </row>
    <row r="806" spans="1:23" s="9" customFormat="1" ht="15.75" hidden="1" customHeight="1" x14ac:dyDescent="0.25">
      <c r="A806" s="4" t="s">
        <v>2476</v>
      </c>
      <c r="B806" s="4" t="s">
        <v>2477</v>
      </c>
      <c r="C806" s="4" t="s">
        <v>2478</v>
      </c>
      <c r="D806" s="21" t="s">
        <v>6091</v>
      </c>
      <c r="E806" s="4" t="s">
        <v>26</v>
      </c>
      <c r="F806" s="4" t="s">
        <v>56</v>
      </c>
      <c r="G806" s="4" t="s">
        <v>57</v>
      </c>
      <c r="H806" s="4" t="s">
        <v>58</v>
      </c>
      <c r="I806" s="5">
        <v>45142</v>
      </c>
      <c r="J806" s="4" t="s">
        <v>40</v>
      </c>
      <c r="K806" s="5">
        <v>45331</v>
      </c>
      <c r="L806" s="4" t="s">
        <v>59</v>
      </c>
      <c r="M806" s="6">
        <v>12017</v>
      </c>
      <c r="N806" s="6">
        <v>4751</v>
      </c>
      <c r="O806" s="4">
        <v>10</v>
      </c>
      <c r="P806" s="5">
        <v>45341</v>
      </c>
      <c r="Q806" s="4" t="s">
        <v>33</v>
      </c>
      <c r="R806" s="4" t="s">
        <v>33</v>
      </c>
      <c r="S806" s="4" t="s">
        <v>60</v>
      </c>
      <c r="T806" s="7">
        <v>2.5293999999999999</v>
      </c>
      <c r="U806" s="8">
        <v>189</v>
      </c>
      <c r="V806" s="8">
        <v>2024</v>
      </c>
      <c r="W806" s="4" t="s">
        <v>35</v>
      </c>
    </row>
    <row r="807" spans="1:23" s="9" customFormat="1" ht="15.75" hidden="1" customHeight="1" x14ac:dyDescent="0.25">
      <c r="A807" s="10" t="s">
        <v>2479</v>
      </c>
      <c r="B807" s="10" t="s">
        <v>2480</v>
      </c>
      <c r="C807" s="10" t="s">
        <v>2481</v>
      </c>
      <c r="D807" s="21" t="s">
        <v>6091</v>
      </c>
      <c r="E807" s="10" t="s">
        <v>87</v>
      </c>
      <c r="F807" s="10" t="s">
        <v>56</v>
      </c>
      <c r="G807" s="10" t="s">
        <v>57</v>
      </c>
      <c r="H807" s="10" t="s">
        <v>39</v>
      </c>
      <c r="I807" s="11">
        <v>45570</v>
      </c>
      <c r="J807" s="10" t="s">
        <v>30</v>
      </c>
      <c r="K807" s="11">
        <v>45646</v>
      </c>
      <c r="L807" s="10" t="s">
        <v>31</v>
      </c>
      <c r="M807" s="12">
        <v>19139</v>
      </c>
      <c r="N807" s="12">
        <v>831</v>
      </c>
      <c r="O807" s="10" t="s">
        <v>32</v>
      </c>
      <c r="P807" s="10" t="s">
        <v>32</v>
      </c>
      <c r="Q807" s="10" t="s">
        <v>33</v>
      </c>
      <c r="R807" s="10" t="s">
        <v>33</v>
      </c>
      <c r="S807" s="10" t="s">
        <v>41</v>
      </c>
      <c r="T807" s="13">
        <v>23.031300000000002</v>
      </c>
      <c r="U807" s="14">
        <v>76</v>
      </c>
      <c r="V807" s="14">
        <v>2024</v>
      </c>
      <c r="W807" s="10" t="s">
        <v>89</v>
      </c>
    </row>
    <row r="808" spans="1:23" s="9" customFormat="1" ht="15.75" hidden="1" customHeight="1" x14ac:dyDescent="0.25">
      <c r="A808" s="4" t="s">
        <v>2482</v>
      </c>
      <c r="B808" s="4" t="s">
        <v>2483</v>
      </c>
      <c r="C808" s="4" t="s">
        <v>2484</v>
      </c>
      <c r="D808" s="22" t="s">
        <v>6090</v>
      </c>
      <c r="E808" s="4" t="s">
        <v>87</v>
      </c>
      <c r="F808" s="4" t="s">
        <v>27</v>
      </c>
      <c r="G808" s="4" t="s">
        <v>57</v>
      </c>
      <c r="H808" s="4" t="s">
        <v>161</v>
      </c>
      <c r="I808" s="5">
        <v>45376</v>
      </c>
      <c r="J808" s="4" t="s">
        <v>30</v>
      </c>
      <c r="K808" s="5">
        <v>45531</v>
      </c>
      <c r="L808" s="4" t="s">
        <v>59</v>
      </c>
      <c r="M808" s="6">
        <v>29751</v>
      </c>
      <c r="N808" s="6">
        <v>2803</v>
      </c>
      <c r="O808" s="4">
        <v>27</v>
      </c>
      <c r="P808" s="5">
        <v>45558</v>
      </c>
      <c r="Q808" s="4" t="s">
        <v>33</v>
      </c>
      <c r="R808" s="4" t="s">
        <v>33</v>
      </c>
      <c r="S808" s="4" t="s">
        <v>60</v>
      </c>
      <c r="T808" s="7">
        <v>10.614000000000001</v>
      </c>
      <c r="U808" s="8">
        <v>155</v>
      </c>
      <c r="V808" s="8">
        <v>2024</v>
      </c>
      <c r="W808" s="4" t="s">
        <v>114</v>
      </c>
    </row>
    <row r="809" spans="1:23" s="9" customFormat="1" ht="15.75" hidden="1" customHeight="1" x14ac:dyDescent="0.25">
      <c r="A809" s="10" t="s">
        <v>2485</v>
      </c>
      <c r="B809" s="10" t="s">
        <v>2486</v>
      </c>
      <c r="C809" s="10" t="s">
        <v>2487</v>
      </c>
      <c r="D809" s="22" t="s">
        <v>6090</v>
      </c>
      <c r="E809" s="10" t="s">
        <v>26</v>
      </c>
      <c r="F809" s="10" t="s">
        <v>27</v>
      </c>
      <c r="G809" s="10" t="s">
        <v>5</v>
      </c>
      <c r="H809" s="10" t="s">
        <v>118</v>
      </c>
      <c r="I809" s="11">
        <v>45453</v>
      </c>
      <c r="J809" s="10" t="s">
        <v>40</v>
      </c>
      <c r="K809" s="11">
        <v>45488</v>
      </c>
      <c r="L809" s="10" t="s">
        <v>59</v>
      </c>
      <c r="M809" s="12">
        <v>11887</v>
      </c>
      <c r="N809" s="12">
        <v>6996</v>
      </c>
      <c r="O809" s="10">
        <v>23</v>
      </c>
      <c r="P809" s="11">
        <v>45511</v>
      </c>
      <c r="Q809" s="10" t="s">
        <v>33</v>
      </c>
      <c r="R809" s="10" t="s">
        <v>33</v>
      </c>
      <c r="S809" s="10" t="s">
        <v>60</v>
      </c>
      <c r="T809" s="13">
        <v>1.6991000000000001</v>
      </c>
      <c r="U809" s="14">
        <v>35</v>
      </c>
      <c r="V809" s="14">
        <v>2024</v>
      </c>
      <c r="W809" s="10" t="s">
        <v>42</v>
      </c>
    </row>
    <row r="810" spans="1:23" s="9" customFormat="1" ht="15.75" hidden="1" customHeight="1" x14ac:dyDescent="0.25">
      <c r="A810" s="4" t="s">
        <v>2488</v>
      </c>
      <c r="B810" s="4" t="s">
        <v>2489</v>
      </c>
      <c r="C810" s="4" t="s">
        <v>2490</v>
      </c>
      <c r="D810" s="22" t="s">
        <v>6090</v>
      </c>
      <c r="E810" s="4" t="s">
        <v>51</v>
      </c>
      <c r="F810" s="4" t="s">
        <v>27</v>
      </c>
      <c r="G810" s="4" t="s">
        <v>57</v>
      </c>
      <c r="H810" s="4" t="s">
        <v>58</v>
      </c>
      <c r="I810" s="5">
        <v>44998</v>
      </c>
      <c r="J810" s="4" t="s">
        <v>30</v>
      </c>
      <c r="K810" s="5">
        <v>45323</v>
      </c>
      <c r="L810" s="4" t="s">
        <v>59</v>
      </c>
      <c r="M810" s="6">
        <v>6221</v>
      </c>
      <c r="N810" s="6">
        <v>5487</v>
      </c>
      <c r="O810" s="4">
        <v>35</v>
      </c>
      <c r="P810" s="5">
        <v>45358</v>
      </c>
      <c r="Q810" s="4" t="s">
        <v>33</v>
      </c>
      <c r="R810" s="4" t="s">
        <v>33</v>
      </c>
      <c r="S810" s="4" t="s">
        <v>60</v>
      </c>
      <c r="T810" s="7">
        <v>1.1337999999999999</v>
      </c>
      <c r="U810" s="8">
        <v>325</v>
      </c>
      <c r="V810" s="8">
        <v>2024</v>
      </c>
      <c r="W810" s="4" t="s">
        <v>35</v>
      </c>
    </row>
    <row r="811" spans="1:23" s="9" customFormat="1" ht="15.75" hidden="1" customHeight="1" x14ac:dyDescent="0.25">
      <c r="A811" s="10" t="s">
        <v>2491</v>
      </c>
      <c r="B811" s="10" t="s">
        <v>2492</v>
      </c>
      <c r="C811" s="10" t="s">
        <v>2493</v>
      </c>
      <c r="D811" s="22" t="s">
        <v>6087</v>
      </c>
      <c r="E811" s="10" t="s">
        <v>26</v>
      </c>
      <c r="F811" s="10" t="s">
        <v>46</v>
      </c>
      <c r="G811" s="10" t="s">
        <v>28</v>
      </c>
      <c r="H811" s="10" t="s">
        <v>72</v>
      </c>
      <c r="I811" s="11">
        <v>45473</v>
      </c>
      <c r="J811" s="10" t="s">
        <v>30</v>
      </c>
      <c r="K811" s="11">
        <v>45508</v>
      </c>
      <c r="L811" s="10" t="s">
        <v>66</v>
      </c>
      <c r="M811" s="12">
        <v>24653</v>
      </c>
      <c r="N811" s="12">
        <v>4830</v>
      </c>
      <c r="O811" s="10" t="s">
        <v>32</v>
      </c>
      <c r="P811" s="10" t="s">
        <v>32</v>
      </c>
      <c r="Q811" s="10" t="s">
        <v>33</v>
      </c>
      <c r="R811" s="10" t="s">
        <v>33</v>
      </c>
      <c r="S811" s="10" t="s">
        <v>41</v>
      </c>
      <c r="T811" s="13">
        <v>5.1040999999999999</v>
      </c>
      <c r="U811" s="14">
        <v>35</v>
      </c>
      <c r="V811" s="14">
        <v>2024</v>
      </c>
      <c r="W811" s="10" t="s">
        <v>114</v>
      </c>
    </row>
    <row r="812" spans="1:23" s="9" customFormat="1" ht="15.75" hidden="1" customHeight="1" x14ac:dyDescent="0.25">
      <c r="A812" s="4" t="s">
        <v>2494</v>
      </c>
      <c r="B812" s="4" t="s">
        <v>2495</v>
      </c>
      <c r="C812" s="4" t="s">
        <v>2496</v>
      </c>
      <c r="D812" s="22" t="s">
        <v>6090</v>
      </c>
      <c r="E812" s="4" t="s">
        <v>51</v>
      </c>
      <c r="F812" s="21" t="s">
        <v>6092</v>
      </c>
      <c r="G812" s="4" t="s">
        <v>28</v>
      </c>
      <c r="H812" s="4" t="s">
        <v>93</v>
      </c>
      <c r="I812" s="5">
        <v>45049</v>
      </c>
      <c r="J812" s="4" t="s">
        <v>30</v>
      </c>
      <c r="K812" s="5">
        <v>45366</v>
      </c>
      <c r="L812" s="4" t="s">
        <v>59</v>
      </c>
      <c r="M812" s="6">
        <v>39247</v>
      </c>
      <c r="N812" s="6">
        <v>4192</v>
      </c>
      <c r="O812" s="4">
        <v>4</v>
      </c>
      <c r="P812" s="5">
        <v>45370</v>
      </c>
      <c r="Q812" s="4" t="s">
        <v>33</v>
      </c>
      <c r="R812" s="4" t="s">
        <v>33</v>
      </c>
      <c r="S812" s="4" t="s">
        <v>41</v>
      </c>
      <c r="T812" s="7">
        <v>9.3623999999999992</v>
      </c>
      <c r="U812" s="8">
        <v>317</v>
      </c>
      <c r="V812" s="8">
        <v>2024</v>
      </c>
      <c r="W812" s="4" t="s">
        <v>77</v>
      </c>
    </row>
    <row r="813" spans="1:23" s="9" customFormat="1" ht="15.75" hidden="1" customHeight="1" x14ac:dyDescent="0.25">
      <c r="A813" s="10" t="s">
        <v>2497</v>
      </c>
      <c r="B813" s="10" t="s">
        <v>2498</v>
      </c>
      <c r="C813" s="10" t="s">
        <v>2499</v>
      </c>
      <c r="D813" s="21" t="s">
        <v>6086</v>
      </c>
      <c r="E813" s="10" t="s">
        <v>87</v>
      </c>
      <c r="F813" s="10" t="s">
        <v>71</v>
      </c>
      <c r="G813" s="10" t="s">
        <v>28</v>
      </c>
      <c r="H813" s="10" t="s">
        <v>118</v>
      </c>
      <c r="I813" s="11">
        <v>45364</v>
      </c>
      <c r="J813" s="10" t="s">
        <v>30</v>
      </c>
      <c r="K813" s="11">
        <v>45398</v>
      </c>
      <c r="L813" s="10" t="s">
        <v>31</v>
      </c>
      <c r="M813" s="12">
        <v>56787</v>
      </c>
      <c r="N813" s="12">
        <v>7537</v>
      </c>
      <c r="O813" s="10" t="s">
        <v>32</v>
      </c>
      <c r="P813" s="10" t="s">
        <v>32</v>
      </c>
      <c r="Q813" s="10" t="s">
        <v>33</v>
      </c>
      <c r="R813" s="10" t="s">
        <v>33</v>
      </c>
      <c r="S813" s="10" t="s">
        <v>60</v>
      </c>
      <c r="T813" s="13">
        <v>7.5343999999999998</v>
      </c>
      <c r="U813" s="14">
        <v>34</v>
      </c>
      <c r="V813" s="14">
        <v>2024</v>
      </c>
      <c r="W813" s="10" t="s">
        <v>47</v>
      </c>
    </row>
    <row r="814" spans="1:23" s="9" customFormat="1" ht="15.75" hidden="1" customHeight="1" x14ac:dyDescent="0.25">
      <c r="A814" s="4" t="s">
        <v>2500</v>
      </c>
      <c r="B814" s="4" t="s">
        <v>2501</v>
      </c>
      <c r="C814" s="4" t="s">
        <v>2502</v>
      </c>
      <c r="D814" s="21" t="s">
        <v>6091</v>
      </c>
      <c r="E814" s="4" t="s">
        <v>51</v>
      </c>
      <c r="F814" s="4" t="s">
        <v>27</v>
      </c>
      <c r="G814" s="4" t="s">
        <v>5</v>
      </c>
      <c r="H814" s="4" t="s">
        <v>39</v>
      </c>
      <c r="I814" s="5">
        <v>45333</v>
      </c>
      <c r="J814" s="4" t="s">
        <v>40</v>
      </c>
      <c r="K814" s="5">
        <v>45545</v>
      </c>
      <c r="L814" s="4" t="s">
        <v>59</v>
      </c>
      <c r="M814" s="6">
        <v>11808</v>
      </c>
      <c r="N814" s="6">
        <v>3126</v>
      </c>
      <c r="O814" s="4">
        <v>16</v>
      </c>
      <c r="P814" s="5">
        <v>45561</v>
      </c>
      <c r="Q814" s="4" t="s">
        <v>33</v>
      </c>
      <c r="R814" s="4" t="s">
        <v>33</v>
      </c>
      <c r="S814" s="4" t="s">
        <v>60</v>
      </c>
      <c r="T814" s="7">
        <v>3.7774000000000001</v>
      </c>
      <c r="U814" s="8">
        <v>212</v>
      </c>
      <c r="V814" s="8">
        <v>2024</v>
      </c>
      <c r="W814" s="4" t="s">
        <v>168</v>
      </c>
    </row>
    <row r="815" spans="1:23" s="9" customFormat="1" ht="15.75" hidden="1" customHeight="1" x14ac:dyDescent="0.25">
      <c r="A815" s="10" t="s">
        <v>2503</v>
      </c>
      <c r="B815" s="10" t="s">
        <v>2504</v>
      </c>
      <c r="C815" s="10" t="s">
        <v>2505</v>
      </c>
      <c r="D815" s="21" t="s">
        <v>6088</v>
      </c>
      <c r="E815" s="10" t="s">
        <v>87</v>
      </c>
      <c r="F815" s="10" t="s">
        <v>71</v>
      </c>
      <c r="G815" s="10" t="s">
        <v>28</v>
      </c>
      <c r="H815" s="10" t="s">
        <v>93</v>
      </c>
      <c r="I815" s="11">
        <v>45149</v>
      </c>
      <c r="J815" s="10" t="s">
        <v>30</v>
      </c>
      <c r="K815" s="11">
        <v>45339</v>
      </c>
      <c r="L815" s="10" t="s">
        <v>31</v>
      </c>
      <c r="M815" s="12">
        <v>47072</v>
      </c>
      <c r="N815" s="12">
        <v>8314</v>
      </c>
      <c r="O815" s="10" t="s">
        <v>32</v>
      </c>
      <c r="P815" s="10" t="s">
        <v>32</v>
      </c>
      <c r="Q815" s="10" t="s">
        <v>33</v>
      </c>
      <c r="R815" s="10" t="s">
        <v>33</v>
      </c>
      <c r="S815" s="10" t="s">
        <v>60</v>
      </c>
      <c r="T815" s="13">
        <v>5.6618000000000004</v>
      </c>
      <c r="U815" s="14">
        <v>190</v>
      </c>
      <c r="V815" s="14">
        <v>2024</v>
      </c>
      <c r="W815" s="10" t="s">
        <v>35</v>
      </c>
    </row>
    <row r="816" spans="1:23" s="9" customFormat="1" ht="15.75" hidden="1" customHeight="1" x14ac:dyDescent="0.25">
      <c r="A816" s="4" t="s">
        <v>2506</v>
      </c>
      <c r="B816" s="4" t="s">
        <v>2507</v>
      </c>
      <c r="C816" s="4" t="s">
        <v>2508</v>
      </c>
      <c r="D816" s="22" t="s">
        <v>6090</v>
      </c>
      <c r="E816" s="4" t="s">
        <v>26</v>
      </c>
      <c r="F816" s="4" t="s">
        <v>71</v>
      </c>
      <c r="G816" s="4" t="s">
        <v>5</v>
      </c>
      <c r="H816" s="4" t="s">
        <v>161</v>
      </c>
      <c r="I816" s="5">
        <v>45043</v>
      </c>
      <c r="J816" s="4" t="s">
        <v>40</v>
      </c>
      <c r="K816" s="5">
        <v>45386</v>
      </c>
      <c r="L816" s="4" t="s">
        <v>59</v>
      </c>
      <c r="M816" s="6">
        <v>11716</v>
      </c>
      <c r="N816" s="6">
        <v>3618</v>
      </c>
      <c r="O816" s="4">
        <v>34</v>
      </c>
      <c r="P816" s="5">
        <v>45420</v>
      </c>
      <c r="Q816" s="4" t="s">
        <v>33</v>
      </c>
      <c r="R816" s="4" t="s">
        <v>33</v>
      </c>
      <c r="S816" s="4" t="s">
        <v>60</v>
      </c>
      <c r="T816" s="7">
        <v>3.2383000000000002</v>
      </c>
      <c r="U816" s="8">
        <v>343</v>
      </c>
      <c r="V816" s="8">
        <v>2024</v>
      </c>
      <c r="W816" s="4" t="s">
        <v>47</v>
      </c>
    </row>
    <row r="817" spans="1:23" s="9" customFormat="1" ht="15.75" hidden="1" customHeight="1" x14ac:dyDescent="0.25">
      <c r="A817" s="10" t="s">
        <v>2509</v>
      </c>
      <c r="B817" s="10" t="s">
        <v>2510</v>
      </c>
      <c r="C817" s="10" t="s">
        <v>2511</v>
      </c>
      <c r="D817" s="21" t="s">
        <v>6086</v>
      </c>
      <c r="E817" s="10" t="s">
        <v>26</v>
      </c>
      <c r="F817" s="10" t="s">
        <v>27</v>
      </c>
      <c r="G817" s="10" t="s">
        <v>57</v>
      </c>
      <c r="H817" s="10" t="s">
        <v>72</v>
      </c>
      <c r="I817" s="11">
        <v>45003</v>
      </c>
      <c r="J817" s="10" t="s">
        <v>30</v>
      </c>
      <c r="K817" s="11">
        <v>45318</v>
      </c>
      <c r="L817" s="10" t="s">
        <v>59</v>
      </c>
      <c r="M817" s="12">
        <v>49009</v>
      </c>
      <c r="N817" s="12">
        <v>1536</v>
      </c>
      <c r="O817" s="10">
        <v>39</v>
      </c>
      <c r="P817" s="11">
        <v>45357</v>
      </c>
      <c r="Q817" s="10" t="s">
        <v>33</v>
      </c>
      <c r="R817" s="10" t="s">
        <v>33</v>
      </c>
      <c r="S817" s="10" t="s">
        <v>60</v>
      </c>
      <c r="T817" s="13">
        <v>31.9069</v>
      </c>
      <c r="U817" s="14">
        <v>315</v>
      </c>
      <c r="V817" s="14">
        <v>2024</v>
      </c>
      <c r="W817" s="10" t="s">
        <v>73</v>
      </c>
    </row>
    <row r="818" spans="1:23" s="9" customFormat="1" ht="15.75" hidden="1" customHeight="1" x14ac:dyDescent="0.25">
      <c r="A818" s="4" t="s">
        <v>2512</v>
      </c>
      <c r="B818" s="4" t="s">
        <v>2513</v>
      </c>
      <c r="C818" s="4" t="s">
        <v>2514</v>
      </c>
      <c r="D818" s="21" t="s">
        <v>6088</v>
      </c>
      <c r="E818" s="4" t="s">
        <v>87</v>
      </c>
      <c r="F818" s="4" t="s">
        <v>71</v>
      </c>
      <c r="G818" s="4" t="s">
        <v>57</v>
      </c>
      <c r="H818" s="4" t="s">
        <v>118</v>
      </c>
      <c r="I818" s="5">
        <v>45292</v>
      </c>
      <c r="J818" s="4" t="s">
        <v>40</v>
      </c>
      <c r="K818" s="5">
        <v>45624</v>
      </c>
      <c r="L818" s="4" t="s">
        <v>66</v>
      </c>
      <c r="M818" s="6">
        <v>50700</v>
      </c>
      <c r="N818" s="6">
        <v>6541</v>
      </c>
      <c r="O818" s="4" t="s">
        <v>32</v>
      </c>
      <c r="P818" s="4" t="s">
        <v>32</v>
      </c>
      <c r="Q818" s="4" t="s">
        <v>33</v>
      </c>
      <c r="R818" s="4" t="s">
        <v>33</v>
      </c>
      <c r="S818" s="4" t="s">
        <v>34</v>
      </c>
      <c r="T818" s="7">
        <v>7.7511000000000001</v>
      </c>
      <c r="U818" s="8">
        <v>332</v>
      </c>
      <c r="V818" s="8">
        <v>2024</v>
      </c>
      <c r="W818" s="4" t="s">
        <v>61</v>
      </c>
    </row>
    <row r="819" spans="1:23" s="9" customFormat="1" ht="15.75" hidden="1" customHeight="1" x14ac:dyDescent="0.25">
      <c r="A819" s="10" t="s">
        <v>2515</v>
      </c>
      <c r="B819" s="10" t="s">
        <v>2516</v>
      </c>
      <c r="C819" s="10" t="s">
        <v>2517</v>
      </c>
      <c r="D819" s="22" t="s">
        <v>6090</v>
      </c>
      <c r="E819" s="10" t="s">
        <v>51</v>
      </c>
      <c r="F819" s="10" t="s">
        <v>56</v>
      </c>
      <c r="G819" s="10" t="s">
        <v>57</v>
      </c>
      <c r="H819" s="10" t="s">
        <v>88</v>
      </c>
      <c r="I819" s="11">
        <v>45241</v>
      </c>
      <c r="J819" s="10" t="s">
        <v>30</v>
      </c>
      <c r="K819" s="11">
        <v>45481</v>
      </c>
      <c r="L819" s="10" t="s">
        <v>66</v>
      </c>
      <c r="M819" s="12">
        <v>39225</v>
      </c>
      <c r="N819" s="12">
        <v>2100</v>
      </c>
      <c r="O819" s="10" t="s">
        <v>32</v>
      </c>
      <c r="P819" s="10" t="s">
        <v>32</v>
      </c>
      <c r="Q819" s="10" t="s">
        <v>33</v>
      </c>
      <c r="R819" s="10" t="s">
        <v>33</v>
      </c>
      <c r="S819" s="10" t="s">
        <v>34</v>
      </c>
      <c r="T819" s="13">
        <v>18.678599999999999</v>
      </c>
      <c r="U819" s="14">
        <v>240</v>
      </c>
      <c r="V819" s="14">
        <v>2024</v>
      </c>
      <c r="W819" s="10" t="s">
        <v>42</v>
      </c>
    </row>
    <row r="820" spans="1:23" s="9" customFormat="1" ht="15.75" hidden="1" customHeight="1" x14ac:dyDescent="0.25">
      <c r="A820" s="4" t="s">
        <v>2518</v>
      </c>
      <c r="B820" s="4" t="s">
        <v>2519</v>
      </c>
      <c r="C820" s="4" t="s">
        <v>2520</v>
      </c>
      <c r="D820" s="22" t="s">
        <v>6087</v>
      </c>
      <c r="E820" s="4" t="s">
        <v>26</v>
      </c>
      <c r="F820" s="4" t="s">
        <v>56</v>
      </c>
      <c r="G820" s="4" t="s">
        <v>28</v>
      </c>
      <c r="H820" s="4" t="s">
        <v>39</v>
      </c>
      <c r="I820" s="5">
        <v>45411</v>
      </c>
      <c r="J820" s="4" t="s">
        <v>40</v>
      </c>
      <c r="K820" s="5">
        <v>45594</v>
      </c>
      <c r="L820" s="4" t="s">
        <v>59</v>
      </c>
      <c r="M820" s="6">
        <v>15273</v>
      </c>
      <c r="N820" s="6">
        <v>1482</v>
      </c>
      <c r="O820" s="4">
        <v>26</v>
      </c>
      <c r="P820" s="5">
        <v>45620</v>
      </c>
      <c r="Q820" s="4" t="s">
        <v>33</v>
      </c>
      <c r="R820" s="4" t="s">
        <v>33</v>
      </c>
      <c r="S820" s="4" t="s">
        <v>41</v>
      </c>
      <c r="T820" s="7">
        <v>10.3057</v>
      </c>
      <c r="U820" s="8">
        <v>183</v>
      </c>
      <c r="V820" s="8">
        <v>2024</v>
      </c>
      <c r="W820" s="4" t="s">
        <v>95</v>
      </c>
    </row>
    <row r="821" spans="1:23" s="9" customFormat="1" ht="15.75" hidden="1" customHeight="1" x14ac:dyDescent="0.25">
      <c r="A821" s="10" t="s">
        <v>2521</v>
      </c>
      <c r="B821" s="10" t="s">
        <v>2522</v>
      </c>
      <c r="C821" s="10" t="s">
        <v>2523</v>
      </c>
      <c r="D821" s="22" t="s">
        <v>6087</v>
      </c>
      <c r="E821" s="10" t="s">
        <v>87</v>
      </c>
      <c r="F821" s="10" t="s">
        <v>65</v>
      </c>
      <c r="G821" s="10" t="s">
        <v>57</v>
      </c>
      <c r="H821" s="10" t="s">
        <v>88</v>
      </c>
      <c r="I821" s="11">
        <v>45219</v>
      </c>
      <c r="J821" s="10" t="s">
        <v>30</v>
      </c>
      <c r="K821" s="11">
        <v>45346</v>
      </c>
      <c r="L821" s="10" t="s">
        <v>31</v>
      </c>
      <c r="M821" s="12">
        <v>35776</v>
      </c>
      <c r="N821" s="12">
        <v>7563</v>
      </c>
      <c r="O821" s="10" t="s">
        <v>32</v>
      </c>
      <c r="P821" s="10" t="s">
        <v>32</v>
      </c>
      <c r="Q821" s="10" t="s">
        <v>33</v>
      </c>
      <c r="R821" s="10" t="s">
        <v>33</v>
      </c>
      <c r="S821" s="10" t="s">
        <v>60</v>
      </c>
      <c r="T821" s="13">
        <v>4.7304000000000004</v>
      </c>
      <c r="U821" s="14">
        <v>127</v>
      </c>
      <c r="V821" s="14">
        <v>2024</v>
      </c>
      <c r="W821" s="10" t="s">
        <v>35</v>
      </c>
    </row>
    <row r="822" spans="1:23" s="9" customFormat="1" ht="15.75" hidden="1" customHeight="1" x14ac:dyDescent="0.25">
      <c r="A822" s="4" t="s">
        <v>2524</v>
      </c>
      <c r="B822" s="4" t="s">
        <v>2525</v>
      </c>
      <c r="C822" s="4" t="s">
        <v>2526</v>
      </c>
      <c r="D822" s="21" t="s">
        <v>6091</v>
      </c>
      <c r="E822" s="4" t="s">
        <v>51</v>
      </c>
      <c r="F822" s="4" t="s">
        <v>71</v>
      </c>
      <c r="G822" s="4" t="s">
        <v>57</v>
      </c>
      <c r="H822" s="4" t="s">
        <v>93</v>
      </c>
      <c r="I822" s="5">
        <v>45405</v>
      </c>
      <c r="J822" s="4" t="s">
        <v>40</v>
      </c>
      <c r="K822" s="5">
        <v>45456</v>
      </c>
      <c r="L822" s="4" t="s">
        <v>59</v>
      </c>
      <c r="M822" s="6">
        <v>6777</v>
      </c>
      <c r="N822" s="6">
        <v>3359</v>
      </c>
      <c r="O822" s="4">
        <v>18</v>
      </c>
      <c r="P822" s="5">
        <v>45474</v>
      </c>
      <c r="Q822" s="4" t="s">
        <v>33</v>
      </c>
      <c r="R822" s="4" t="s">
        <v>33</v>
      </c>
      <c r="S822" s="4" t="s">
        <v>34</v>
      </c>
      <c r="T822" s="7">
        <v>2.0175999999999998</v>
      </c>
      <c r="U822" s="8">
        <v>51</v>
      </c>
      <c r="V822" s="8">
        <v>2024</v>
      </c>
      <c r="W822" s="4" t="s">
        <v>67</v>
      </c>
    </row>
    <row r="823" spans="1:23" s="9" customFormat="1" ht="15.75" hidden="1" customHeight="1" x14ac:dyDescent="0.25">
      <c r="A823" s="10" t="s">
        <v>2527</v>
      </c>
      <c r="B823" s="10" t="s">
        <v>2528</v>
      </c>
      <c r="C823" s="10" t="s">
        <v>2529</v>
      </c>
      <c r="D823" s="21" t="s">
        <v>6086</v>
      </c>
      <c r="E823" s="10" t="s">
        <v>51</v>
      </c>
      <c r="F823" s="10" t="s">
        <v>71</v>
      </c>
      <c r="G823" s="10" t="s">
        <v>28</v>
      </c>
      <c r="H823" s="10" t="s">
        <v>29</v>
      </c>
      <c r="I823" s="11">
        <v>44992</v>
      </c>
      <c r="J823" s="10" t="s">
        <v>40</v>
      </c>
      <c r="K823" s="11">
        <v>45321</v>
      </c>
      <c r="L823" s="10" t="s">
        <v>59</v>
      </c>
      <c r="M823" s="12">
        <v>61304</v>
      </c>
      <c r="N823" s="12">
        <v>987</v>
      </c>
      <c r="O823" s="10">
        <v>26</v>
      </c>
      <c r="P823" s="11">
        <v>45347</v>
      </c>
      <c r="Q823" s="10" t="s">
        <v>33</v>
      </c>
      <c r="R823" s="10" t="s">
        <v>33</v>
      </c>
      <c r="S823" s="10" t="s">
        <v>41</v>
      </c>
      <c r="T823" s="13">
        <v>62.111400000000003</v>
      </c>
      <c r="U823" s="14">
        <v>329</v>
      </c>
      <c r="V823" s="14">
        <v>2024</v>
      </c>
      <c r="W823" s="10" t="s">
        <v>73</v>
      </c>
    </row>
    <row r="824" spans="1:23" s="9" customFormat="1" ht="15.75" hidden="1" customHeight="1" x14ac:dyDescent="0.25">
      <c r="A824" s="4" t="s">
        <v>2530</v>
      </c>
      <c r="B824" s="4" t="s">
        <v>2531</v>
      </c>
      <c r="C824" s="4" t="s">
        <v>2532</v>
      </c>
      <c r="D824" s="21" t="s">
        <v>6088</v>
      </c>
      <c r="E824" s="4" t="s">
        <v>51</v>
      </c>
      <c r="F824" s="21" t="s">
        <v>6092</v>
      </c>
      <c r="G824" s="4" t="s">
        <v>5</v>
      </c>
      <c r="H824" s="4" t="s">
        <v>72</v>
      </c>
      <c r="I824" s="5">
        <v>45370</v>
      </c>
      <c r="J824" s="4" t="s">
        <v>30</v>
      </c>
      <c r="K824" s="5">
        <v>45484</v>
      </c>
      <c r="L824" s="4" t="s">
        <v>59</v>
      </c>
      <c r="M824" s="6">
        <v>21428</v>
      </c>
      <c r="N824" s="6">
        <v>8538</v>
      </c>
      <c r="O824" s="4">
        <v>43</v>
      </c>
      <c r="P824" s="5">
        <v>45527</v>
      </c>
      <c r="Q824" s="4" t="s">
        <v>33</v>
      </c>
      <c r="R824" s="4" t="s">
        <v>33</v>
      </c>
      <c r="S824" s="4" t="s">
        <v>34</v>
      </c>
      <c r="T824" s="7">
        <v>2.5097</v>
      </c>
      <c r="U824" s="8">
        <v>114</v>
      </c>
      <c r="V824" s="8">
        <v>2024</v>
      </c>
      <c r="W824" s="4" t="s">
        <v>42</v>
      </c>
    </row>
    <row r="825" spans="1:23" s="9" customFormat="1" ht="15.75" hidden="1" customHeight="1" x14ac:dyDescent="0.25">
      <c r="A825" s="10" t="s">
        <v>2533</v>
      </c>
      <c r="B825" s="10" t="s">
        <v>2534</v>
      </c>
      <c r="C825" s="10" t="s">
        <v>2535</v>
      </c>
      <c r="D825" s="22" t="s">
        <v>6090</v>
      </c>
      <c r="E825" s="10" t="s">
        <v>87</v>
      </c>
      <c r="F825" s="10" t="s">
        <v>56</v>
      </c>
      <c r="G825" s="10" t="s">
        <v>5</v>
      </c>
      <c r="H825" s="10" t="s">
        <v>88</v>
      </c>
      <c r="I825" s="11">
        <v>45194</v>
      </c>
      <c r="J825" s="10" t="s">
        <v>40</v>
      </c>
      <c r="K825" s="11">
        <v>45487</v>
      </c>
      <c r="L825" s="10" t="s">
        <v>31</v>
      </c>
      <c r="M825" s="12">
        <v>41408</v>
      </c>
      <c r="N825" s="12">
        <v>3448</v>
      </c>
      <c r="O825" s="10" t="s">
        <v>32</v>
      </c>
      <c r="P825" s="10" t="s">
        <v>32</v>
      </c>
      <c r="Q825" s="10" t="s">
        <v>33</v>
      </c>
      <c r="R825" s="10" t="s">
        <v>33</v>
      </c>
      <c r="S825" s="10" t="s">
        <v>60</v>
      </c>
      <c r="T825" s="13">
        <v>12.0093</v>
      </c>
      <c r="U825" s="14">
        <v>293</v>
      </c>
      <c r="V825" s="14">
        <v>2024</v>
      </c>
      <c r="W825" s="10" t="s">
        <v>42</v>
      </c>
    </row>
    <row r="826" spans="1:23" s="9" customFormat="1" ht="15.75" hidden="1" customHeight="1" x14ac:dyDescent="0.25">
      <c r="A826" s="4" t="s">
        <v>2536</v>
      </c>
      <c r="B826" s="4" t="s">
        <v>2537</v>
      </c>
      <c r="C826" s="4" t="s">
        <v>2538</v>
      </c>
      <c r="D826" s="22" t="s">
        <v>6087</v>
      </c>
      <c r="E826" s="4" t="s">
        <v>51</v>
      </c>
      <c r="F826" s="4" t="s">
        <v>71</v>
      </c>
      <c r="G826" s="4" t="s">
        <v>28</v>
      </c>
      <c r="H826" s="4" t="s">
        <v>72</v>
      </c>
      <c r="I826" s="5">
        <v>45100</v>
      </c>
      <c r="J826" s="4" t="s">
        <v>40</v>
      </c>
      <c r="K826" s="5">
        <v>45409</v>
      </c>
      <c r="L826" s="4" t="s">
        <v>59</v>
      </c>
      <c r="M826" s="6">
        <v>24181</v>
      </c>
      <c r="N826" s="6">
        <v>5605</v>
      </c>
      <c r="O826" s="4">
        <v>22</v>
      </c>
      <c r="P826" s="5">
        <v>45431</v>
      </c>
      <c r="Q826" s="4" t="s">
        <v>33</v>
      </c>
      <c r="R826" s="4" t="s">
        <v>33</v>
      </c>
      <c r="S826" s="4" t="s">
        <v>41</v>
      </c>
      <c r="T826" s="7">
        <v>4.3141999999999996</v>
      </c>
      <c r="U826" s="8">
        <v>309</v>
      </c>
      <c r="V826" s="8">
        <v>2024</v>
      </c>
      <c r="W826" s="4" t="s">
        <v>47</v>
      </c>
    </row>
    <row r="827" spans="1:23" s="9" customFormat="1" ht="15.75" hidden="1" customHeight="1" x14ac:dyDescent="0.25">
      <c r="A827" s="10" t="s">
        <v>2539</v>
      </c>
      <c r="B827" s="10" t="s">
        <v>2540</v>
      </c>
      <c r="C827" s="10" t="s">
        <v>2541</v>
      </c>
      <c r="D827" s="22" t="s">
        <v>6087</v>
      </c>
      <c r="E827" s="10" t="s">
        <v>51</v>
      </c>
      <c r="F827" s="10" t="s">
        <v>46</v>
      </c>
      <c r="G827" s="10" t="s">
        <v>5</v>
      </c>
      <c r="H827" s="10" t="s">
        <v>88</v>
      </c>
      <c r="I827" s="11">
        <v>45232</v>
      </c>
      <c r="J827" s="10" t="s">
        <v>40</v>
      </c>
      <c r="K827" s="11">
        <v>45369</v>
      </c>
      <c r="L827" s="10" t="s">
        <v>59</v>
      </c>
      <c r="M827" s="12">
        <v>10601</v>
      </c>
      <c r="N827" s="12">
        <v>3313</v>
      </c>
      <c r="O827" s="10">
        <v>17</v>
      </c>
      <c r="P827" s="11">
        <v>45386</v>
      </c>
      <c r="Q827" s="10" t="s">
        <v>33</v>
      </c>
      <c r="R827" s="10" t="s">
        <v>33</v>
      </c>
      <c r="S827" s="10" t="s">
        <v>34</v>
      </c>
      <c r="T827" s="13">
        <v>3.1998000000000002</v>
      </c>
      <c r="U827" s="14">
        <v>137</v>
      </c>
      <c r="V827" s="14">
        <v>2024</v>
      </c>
      <c r="W827" s="10" t="s">
        <v>77</v>
      </c>
    </row>
    <row r="828" spans="1:23" s="9" customFormat="1" ht="15.75" hidden="1" customHeight="1" x14ac:dyDescent="0.25">
      <c r="A828" s="4" t="s">
        <v>2542</v>
      </c>
      <c r="B828" s="4" t="s">
        <v>2543</v>
      </c>
      <c r="C828" s="4" t="s">
        <v>2544</v>
      </c>
      <c r="D828" s="21" t="s">
        <v>6089</v>
      </c>
      <c r="E828" s="4" t="s">
        <v>87</v>
      </c>
      <c r="F828" s="4" t="s">
        <v>46</v>
      </c>
      <c r="G828" s="4" t="s">
        <v>5</v>
      </c>
      <c r="H828" s="4" t="s">
        <v>72</v>
      </c>
      <c r="I828" s="5">
        <v>45386</v>
      </c>
      <c r="J828" s="4" t="s">
        <v>40</v>
      </c>
      <c r="K828" s="5">
        <v>45548</v>
      </c>
      <c r="L828" s="4" t="s">
        <v>59</v>
      </c>
      <c r="M828" s="6">
        <v>58888</v>
      </c>
      <c r="N828" s="6">
        <v>2992</v>
      </c>
      <c r="O828" s="4">
        <v>19</v>
      </c>
      <c r="P828" s="5">
        <v>45567</v>
      </c>
      <c r="Q828" s="4" t="s">
        <v>33</v>
      </c>
      <c r="R828" s="4" t="s">
        <v>33</v>
      </c>
      <c r="S828" s="4" t="s">
        <v>60</v>
      </c>
      <c r="T828" s="7">
        <v>19.681799999999999</v>
      </c>
      <c r="U828" s="8">
        <v>162</v>
      </c>
      <c r="V828" s="8">
        <v>2024</v>
      </c>
      <c r="W828" s="4" t="s">
        <v>168</v>
      </c>
    </row>
    <row r="829" spans="1:23" s="9" customFormat="1" ht="15.75" hidden="1" customHeight="1" x14ac:dyDescent="0.25">
      <c r="A829" s="10" t="s">
        <v>2545</v>
      </c>
      <c r="B829" s="10" t="s">
        <v>2546</v>
      </c>
      <c r="C829" s="10" t="s">
        <v>2547</v>
      </c>
      <c r="D829" s="22" t="s">
        <v>6090</v>
      </c>
      <c r="E829" s="10" t="s">
        <v>51</v>
      </c>
      <c r="F829" s="10" t="s">
        <v>65</v>
      </c>
      <c r="G829" s="10" t="s">
        <v>57</v>
      </c>
      <c r="H829" s="10" t="s">
        <v>58</v>
      </c>
      <c r="I829" s="11">
        <v>45198</v>
      </c>
      <c r="J829" s="10" t="s">
        <v>40</v>
      </c>
      <c r="K829" s="11">
        <v>45351</v>
      </c>
      <c r="L829" s="10" t="s">
        <v>66</v>
      </c>
      <c r="M829" s="12">
        <v>28206</v>
      </c>
      <c r="N829" s="12">
        <v>6192</v>
      </c>
      <c r="O829" s="10" t="s">
        <v>32</v>
      </c>
      <c r="P829" s="10" t="s">
        <v>32</v>
      </c>
      <c r="Q829" s="10" t="s">
        <v>33</v>
      </c>
      <c r="R829" s="10" t="s">
        <v>33</v>
      </c>
      <c r="S829" s="10" t="s">
        <v>34</v>
      </c>
      <c r="T829" s="13">
        <v>4.5552000000000001</v>
      </c>
      <c r="U829" s="14">
        <v>153</v>
      </c>
      <c r="V829" s="14">
        <v>2024</v>
      </c>
      <c r="W829" s="10" t="s">
        <v>35</v>
      </c>
    </row>
    <row r="830" spans="1:23" s="9" customFormat="1" ht="15.75" hidden="1" customHeight="1" x14ac:dyDescent="0.25">
      <c r="A830" s="4" t="s">
        <v>2548</v>
      </c>
      <c r="B830" s="4" t="s">
        <v>2549</v>
      </c>
      <c r="C830" s="4" t="s">
        <v>2550</v>
      </c>
      <c r="D830" s="21" t="s">
        <v>6091</v>
      </c>
      <c r="E830" s="4" t="s">
        <v>26</v>
      </c>
      <c r="F830" s="4" t="s">
        <v>56</v>
      </c>
      <c r="G830" s="4" t="s">
        <v>5</v>
      </c>
      <c r="H830" s="4" t="s">
        <v>29</v>
      </c>
      <c r="I830" s="5">
        <v>45061</v>
      </c>
      <c r="J830" s="4" t="s">
        <v>40</v>
      </c>
      <c r="K830" s="5">
        <v>45330</v>
      </c>
      <c r="L830" s="4" t="s">
        <v>59</v>
      </c>
      <c r="M830" s="6">
        <v>4728</v>
      </c>
      <c r="N830" s="6">
        <v>3231</v>
      </c>
      <c r="O830" s="4">
        <v>27</v>
      </c>
      <c r="P830" s="5">
        <v>45357</v>
      </c>
      <c r="Q830" s="4" t="s">
        <v>33</v>
      </c>
      <c r="R830" s="4" t="s">
        <v>33</v>
      </c>
      <c r="S830" s="4" t="s">
        <v>34</v>
      </c>
      <c r="T830" s="7">
        <v>1.4633</v>
      </c>
      <c r="U830" s="8">
        <v>269</v>
      </c>
      <c r="V830" s="8">
        <v>2024</v>
      </c>
      <c r="W830" s="4" t="s">
        <v>35</v>
      </c>
    </row>
    <row r="831" spans="1:23" s="9" customFormat="1" ht="15.75" hidden="1" customHeight="1" x14ac:dyDescent="0.25">
      <c r="A831" s="10" t="s">
        <v>2551</v>
      </c>
      <c r="B831" s="10" t="s">
        <v>2552</v>
      </c>
      <c r="C831" s="10" t="s">
        <v>2553</v>
      </c>
      <c r="D831" s="22" t="s">
        <v>6087</v>
      </c>
      <c r="E831" s="10" t="s">
        <v>26</v>
      </c>
      <c r="F831" s="10" t="s">
        <v>46</v>
      </c>
      <c r="G831" s="10" t="s">
        <v>57</v>
      </c>
      <c r="H831" s="10" t="s">
        <v>29</v>
      </c>
      <c r="I831" s="11">
        <v>45110</v>
      </c>
      <c r="J831" s="10" t="s">
        <v>40</v>
      </c>
      <c r="K831" s="11">
        <v>45454</v>
      </c>
      <c r="L831" s="10" t="s">
        <v>59</v>
      </c>
      <c r="M831" s="12">
        <v>31916</v>
      </c>
      <c r="N831" s="12">
        <v>5611</v>
      </c>
      <c r="O831" s="10">
        <v>10</v>
      </c>
      <c r="P831" s="11">
        <v>45464</v>
      </c>
      <c r="Q831" s="10" t="s">
        <v>33</v>
      </c>
      <c r="R831" s="10" t="s">
        <v>33</v>
      </c>
      <c r="S831" s="10" t="s">
        <v>60</v>
      </c>
      <c r="T831" s="13">
        <v>5.6881000000000004</v>
      </c>
      <c r="U831" s="14">
        <v>344</v>
      </c>
      <c r="V831" s="14">
        <v>2024</v>
      </c>
      <c r="W831" s="10" t="s">
        <v>67</v>
      </c>
    </row>
    <row r="832" spans="1:23" s="9" customFormat="1" ht="15.75" hidden="1" customHeight="1" x14ac:dyDescent="0.25">
      <c r="A832" s="4" t="s">
        <v>2554</v>
      </c>
      <c r="B832" s="4" t="s">
        <v>2555</v>
      </c>
      <c r="C832" s="4" t="s">
        <v>2556</v>
      </c>
      <c r="D832" s="22" t="s">
        <v>6090</v>
      </c>
      <c r="E832" s="4" t="s">
        <v>87</v>
      </c>
      <c r="F832" s="4" t="s">
        <v>56</v>
      </c>
      <c r="G832" s="4" t="s">
        <v>28</v>
      </c>
      <c r="H832" s="4" t="s">
        <v>39</v>
      </c>
      <c r="I832" s="5">
        <v>45519</v>
      </c>
      <c r="J832" s="4" t="s">
        <v>30</v>
      </c>
      <c r="K832" s="5">
        <v>45563</v>
      </c>
      <c r="L832" s="4" t="s">
        <v>31</v>
      </c>
      <c r="M832" s="6">
        <v>17295</v>
      </c>
      <c r="N832" s="6">
        <v>7423</v>
      </c>
      <c r="O832" s="4" t="s">
        <v>32</v>
      </c>
      <c r="P832" s="4" t="s">
        <v>32</v>
      </c>
      <c r="Q832" s="4" t="s">
        <v>33</v>
      </c>
      <c r="R832" s="4" t="s">
        <v>33</v>
      </c>
      <c r="S832" s="4" t="s">
        <v>41</v>
      </c>
      <c r="T832" s="7">
        <v>2.3298999999999999</v>
      </c>
      <c r="U832" s="8">
        <v>44</v>
      </c>
      <c r="V832" s="8">
        <v>2024</v>
      </c>
      <c r="W832" s="4" t="s">
        <v>168</v>
      </c>
    </row>
    <row r="833" spans="1:23" s="9" customFormat="1" ht="15.75" hidden="1" customHeight="1" x14ac:dyDescent="0.25">
      <c r="A833" s="10" t="s">
        <v>2557</v>
      </c>
      <c r="B833" s="10" t="s">
        <v>2558</v>
      </c>
      <c r="C833" s="10" t="s">
        <v>2559</v>
      </c>
      <c r="D833" s="22" t="s">
        <v>6090</v>
      </c>
      <c r="E833" s="10" t="s">
        <v>26</v>
      </c>
      <c r="F833" s="10" t="s">
        <v>27</v>
      </c>
      <c r="G833" s="10" t="s">
        <v>57</v>
      </c>
      <c r="H833" s="10" t="s">
        <v>161</v>
      </c>
      <c r="I833" s="11">
        <v>45299</v>
      </c>
      <c r="J833" s="10" t="s">
        <v>30</v>
      </c>
      <c r="K833" s="11">
        <v>45351</v>
      </c>
      <c r="L833" s="10" t="s">
        <v>59</v>
      </c>
      <c r="M833" s="12">
        <v>9820</v>
      </c>
      <c r="N833" s="12">
        <v>2110</v>
      </c>
      <c r="O833" s="10">
        <v>13</v>
      </c>
      <c r="P833" s="11">
        <v>45364</v>
      </c>
      <c r="Q833" s="10" t="s">
        <v>33</v>
      </c>
      <c r="R833" s="10" t="s">
        <v>33</v>
      </c>
      <c r="S833" s="10" t="s">
        <v>34</v>
      </c>
      <c r="T833" s="13">
        <v>4.6539999999999999</v>
      </c>
      <c r="U833" s="14">
        <v>52</v>
      </c>
      <c r="V833" s="14">
        <v>2024</v>
      </c>
      <c r="W833" s="10" t="s">
        <v>35</v>
      </c>
    </row>
    <row r="834" spans="1:23" s="9" customFormat="1" ht="15.75" hidden="1" customHeight="1" x14ac:dyDescent="0.25">
      <c r="A834" s="4" t="s">
        <v>2560</v>
      </c>
      <c r="B834" s="4" t="s">
        <v>2561</v>
      </c>
      <c r="C834" s="4" t="s">
        <v>2562</v>
      </c>
      <c r="D834" s="21" t="s">
        <v>6091</v>
      </c>
      <c r="E834" s="4" t="s">
        <v>51</v>
      </c>
      <c r="F834" s="21" t="s">
        <v>6092</v>
      </c>
      <c r="G834" s="4" t="s">
        <v>57</v>
      </c>
      <c r="H834" s="4" t="s">
        <v>88</v>
      </c>
      <c r="I834" s="5">
        <v>45099</v>
      </c>
      <c r="J834" s="4" t="s">
        <v>40</v>
      </c>
      <c r="K834" s="5">
        <v>45414</v>
      </c>
      <c r="L834" s="4" t="s">
        <v>59</v>
      </c>
      <c r="M834" s="6">
        <v>18034</v>
      </c>
      <c r="N834" s="6">
        <v>5725</v>
      </c>
      <c r="O834" s="4">
        <v>8</v>
      </c>
      <c r="P834" s="5">
        <v>45422</v>
      </c>
      <c r="Q834" s="4" t="s">
        <v>33</v>
      </c>
      <c r="R834" s="4" t="s">
        <v>33</v>
      </c>
      <c r="S834" s="4" t="s">
        <v>34</v>
      </c>
      <c r="T834" s="7">
        <v>3.15</v>
      </c>
      <c r="U834" s="8">
        <v>315</v>
      </c>
      <c r="V834" s="8">
        <v>2024</v>
      </c>
      <c r="W834" s="4" t="s">
        <v>52</v>
      </c>
    </row>
    <row r="835" spans="1:23" s="9" customFormat="1" ht="15.75" hidden="1" customHeight="1" x14ac:dyDescent="0.25">
      <c r="A835" s="10" t="s">
        <v>2563</v>
      </c>
      <c r="B835" s="10" t="s">
        <v>2564</v>
      </c>
      <c r="C835" s="10" t="s">
        <v>2565</v>
      </c>
      <c r="D835" s="21" t="s">
        <v>6091</v>
      </c>
      <c r="E835" s="10" t="s">
        <v>87</v>
      </c>
      <c r="F835" s="10" t="s">
        <v>71</v>
      </c>
      <c r="G835" s="10" t="s">
        <v>57</v>
      </c>
      <c r="H835" s="10" t="s">
        <v>88</v>
      </c>
      <c r="I835" s="11">
        <v>45359</v>
      </c>
      <c r="J835" s="10" t="s">
        <v>30</v>
      </c>
      <c r="K835" s="11">
        <v>45555</v>
      </c>
      <c r="L835" s="10" t="s">
        <v>31</v>
      </c>
      <c r="M835" s="12">
        <v>6002</v>
      </c>
      <c r="N835" s="12">
        <v>2849</v>
      </c>
      <c r="O835" s="10" t="s">
        <v>32</v>
      </c>
      <c r="P835" s="10" t="s">
        <v>32</v>
      </c>
      <c r="Q835" s="10" t="s">
        <v>94</v>
      </c>
      <c r="R835" s="10" t="s">
        <v>33</v>
      </c>
      <c r="S835" s="10" t="s">
        <v>60</v>
      </c>
      <c r="T835" s="13">
        <v>2.1067</v>
      </c>
      <c r="U835" s="14">
        <v>196</v>
      </c>
      <c r="V835" s="14">
        <v>2024</v>
      </c>
      <c r="W835" s="10" t="s">
        <v>168</v>
      </c>
    </row>
    <row r="836" spans="1:23" s="9" customFormat="1" ht="15.75" hidden="1" customHeight="1" x14ac:dyDescent="0.25">
      <c r="A836" s="4" t="s">
        <v>2566</v>
      </c>
      <c r="B836" s="4" t="s">
        <v>2567</v>
      </c>
      <c r="C836" s="4" t="s">
        <v>2568</v>
      </c>
      <c r="D836" s="21" t="s">
        <v>6091</v>
      </c>
      <c r="E836" s="4" t="s">
        <v>87</v>
      </c>
      <c r="F836" s="4" t="s">
        <v>65</v>
      </c>
      <c r="G836" s="4" t="s">
        <v>5</v>
      </c>
      <c r="H836" s="4" t="s">
        <v>161</v>
      </c>
      <c r="I836" s="5">
        <v>45192</v>
      </c>
      <c r="J836" s="4" t="s">
        <v>40</v>
      </c>
      <c r="K836" s="5">
        <v>45438</v>
      </c>
      <c r="L836" s="4" t="s">
        <v>31</v>
      </c>
      <c r="M836" s="6">
        <v>6450</v>
      </c>
      <c r="N836" s="6">
        <v>7444</v>
      </c>
      <c r="O836" s="4" t="s">
        <v>32</v>
      </c>
      <c r="P836" s="4" t="s">
        <v>32</v>
      </c>
      <c r="Q836" s="4" t="s">
        <v>33</v>
      </c>
      <c r="R836" s="4" t="s">
        <v>33</v>
      </c>
      <c r="S836" s="4" t="s">
        <v>60</v>
      </c>
      <c r="T836" s="7">
        <v>0.86650000000000005</v>
      </c>
      <c r="U836" s="8">
        <v>246</v>
      </c>
      <c r="V836" s="8">
        <v>2024</v>
      </c>
      <c r="W836" s="4" t="s">
        <v>52</v>
      </c>
    </row>
    <row r="837" spans="1:23" s="9" customFormat="1" ht="15.75" hidden="1" customHeight="1" x14ac:dyDescent="0.25">
      <c r="A837" s="10" t="s">
        <v>2569</v>
      </c>
      <c r="B837" s="10" t="s">
        <v>2570</v>
      </c>
      <c r="C837" s="10" t="s">
        <v>2571</v>
      </c>
      <c r="D837" s="22" t="s">
        <v>6087</v>
      </c>
      <c r="E837" s="10" t="s">
        <v>26</v>
      </c>
      <c r="F837" s="10" t="s">
        <v>71</v>
      </c>
      <c r="G837" s="10" t="s">
        <v>57</v>
      </c>
      <c r="H837" s="10" t="s">
        <v>88</v>
      </c>
      <c r="I837" s="11">
        <v>45215</v>
      </c>
      <c r="J837" s="10" t="s">
        <v>40</v>
      </c>
      <c r="K837" s="11">
        <v>45566</v>
      </c>
      <c r="L837" s="10" t="s">
        <v>59</v>
      </c>
      <c r="M837" s="12">
        <v>15619</v>
      </c>
      <c r="N837" s="12">
        <v>4621</v>
      </c>
      <c r="O837" s="10">
        <v>32</v>
      </c>
      <c r="P837" s="11">
        <v>45598</v>
      </c>
      <c r="Q837" s="10" t="s">
        <v>33</v>
      </c>
      <c r="R837" s="10" t="s">
        <v>33</v>
      </c>
      <c r="S837" s="10" t="s">
        <v>34</v>
      </c>
      <c r="T837" s="13">
        <v>3.38</v>
      </c>
      <c r="U837" s="14">
        <v>351</v>
      </c>
      <c r="V837" s="14">
        <v>2024</v>
      </c>
      <c r="W837" s="10" t="s">
        <v>95</v>
      </c>
    </row>
    <row r="838" spans="1:23" s="9" customFormat="1" ht="15.75" hidden="1" customHeight="1" x14ac:dyDescent="0.25">
      <c r="A838" s="4" t="s">
        <v>2572</v>
      </c>
      <c r="B838" s="4" t="s">
        <v>2573</v>
      </c>
      <c r="C838" s="4" t="s">
        <v>2574</v>
      </c>
      <c r="D838" s="21" t="s">
        <v>6086</v>
      </c>
      <c r="E838" s="4" t="s">
        <v>87</v>
      </c>
      <c r="F838" s="21" t="s">
        <v>6092</v>
      </c>
      <c r="G838" s="4" t="s">
        <v>28</v>
      </c>
      <c r="H838" s="4" t="s">
        <v>93</v>
      </c>
      <c r="I838" s="5">
        <v>45147</v>
      </c>
      <c r="J838" s="4" t="s">
        <v>40</v>
      </c>
      <c r="K838" s="5">
        <v>45354</v>
      </c>
      <c r="L838" s="4" t="s">
        <v>59</v>
      </c>
      <c r="M838" s="6">
        <v>33893</v>
      </c>
      <c r="N838" s="6">
        <v>4631</v>
      </c>
      <c r="O838" s="4">
        <v>19</v>
      </c>
      <c r="P838" s="5">
        <v>45373</v>
      </c>
      <c r="Q838" s="4" t="s">
        <v>94</v>
      </c>
      <c r="R838" s="4" t="s">
        <v>33</v>
      </c>
      <c r="S838" s="4" t="s">
        <v>41</v>
      </c>
      <c r="T838" s="7">
        <v>7.3186999999999998</v>
      </c>
      <c r="U838" s="8">
        <v>207</v>
      </c>
      <c r="V838" s="8">
        <v>2024</v>
      </c>
      <c r="W838" s="4" t="s">
        <v>77</v>
      </c>
    </row>
    <row r="839" spans="1:23" s="9" customFormat="1" ht="15.75" hidden="1" customHeight="1" x14ac:dyDescent="0.25">
      <c r="A839" s="10" t="s">
        <v>2575</v>
      </c>
      <c r="B839" s="10" t="s">
        <v>2576</v>
      </c>
      <c r="C839" s="10" t="s">
        <v>2577</v>
      </c>
      <c r="D839" s="22" t="s">
        <v>6090</v>
      </c>
      <c r="E839" s="10" t="s">
        <v>51</v>
      </c>
      <c r="F839" s="10" t="s">
        <v>71</v>
      </c>
      <c r="G839" s="10" t="s">
        <v>28</v>
      </c>
      <c r="H839" s="10" t="s">
        <v>93</v>
      </c>
      <c r="I839" s="11">
        <v>45101</v>
      </c>
      <c r="J839" s="10" t="s">
        <v>30</v>
      </c>
      <c r="K839" s="11">
        <v>45455</v>
      </c>
      <c r="L839" s="10" t="s">
        <v>59</v>
      </c>
      <c r="M839" s="12">
        <v>8129</v>
      </c>
      <c r="N839" s="12">
        <v>1739</v>
      </c>
      <c r="O839" s="10">
        <v>18</v>
      </c>
      <c r="P839" s="11">
        <v>45473</v>
      </c>
      <c r="Q839" s="10" t="s">
        <v>33</v>
      </c>
      <c r="R839" s="10" t="s">
        <v>33</v>
      </c>
      <c r="S839" s="10" t="s">
        <v>60</v>
      </c>
      <c r="T839" s="13">
        <v>4.6745000000000001</v>
      </c>
      <c r="U839" s="14">
        <v>354</v>
      </c>
      <c r="V839" s="14">
        <v>2024</v>
      </c>
      <c r="W839" s="10" t="s">
        <v>67</v>
      </c>
    </row>
    <row r="840" spans="1:23" s="9" customFormat="1" ht="15.75" hidden="1" customHeight="1" x14ac:dyDescent="0.25">
      <c r="A840" s="4" t="s">
        <v>2578</v>
      </c>
      <c r="B840" s="4" t="s">
        <v>2579</v>
      </c>
      <c r="C840" s="4" t="s">
        <v>2580</v>
      </c>
      <c r="D840" s="21" t="s">
        <v>6088</v>
      </c>
      <c r="E840" s="4" t="s">
        <v>87</v>
      </c>
      <c r="F840" s="4" t="s">
        <v>65</v>
      </c>
      <c r="G840" s="4" t="s">
        <v>57</v>
      </c>
      <c r="H840" s="4" t="s">
        <v>88</v>
      </c>
      <c r="I840" s="5">
        <v>45131</v>
      </c>
      <c r="J840" s="4" t="s">
        <v>30</v>
      </c>
      <c r="K840" s="5">
        <v>45445</v>
      </c>
      <c r="L840" s="4" t="s">
        <v>59</v>
      </c>
      <c r="M840" s="6">
        <v>78139</v>
      </c>
      <c r="N840" s="6">
        <v>5928</v>
      </c>
      <c r="O840" s="4">
        <v>11</v>
      </c>
      <c r="P840" s="5">
        <v>45456</v>
      </c>
      <c r="Q840" s="4" t="s">
        <v>33</v>
      </c>
      <c r="R840" s="4" t="s">
        <v>33</v>
      </c>
      <c r="S840" s="4" t="s">
        <v>34</v>
      </c>
      <c r="T840" s="7">
        <v>13.1813</v>
      </c>
      <c r="U840" s="8">
        <v>314</v>
      </c>
      <c r="V840" s="8">
        <v>2024</v>
      </c>
      <c r="W840" s="4" t="s">
        <v>67</v>
      </c>
    </row>
    <row r="841" spans="1:23" s="9" customFormat="1" ht="15.75" hidden="1" customHeight="1" x14ac:dyDescent="0.25">
      <c r="A841" s="10" t="s">
        <v>2581</v>
      </c>
      <c r="B841" s="10" t="s">
        <v>2582</v>
      </c>
      <c r="C841" s="10" t="s">
        <v>2583</v>
      </c>
      <c r="D841" s="22" t="s">
        <v>6087</v>
      </c>
      <c r="E841" s="10" t="s">
        <v>51</v>
      </c>
      <c r="F841" s="10" t="s">
        <v>65</v>
      </c>
      <c r="G841" s="10" t="s">
        <v>28</v>
      </c>
      <c r="H841" s="10" t="s">
        <v>161</v>
      </c>
      <c r="I841" s="11">
        <v>45165</v>
      </c>
      <c r="J841" s="10" t="s">
        <v>30</v>
      </c>
      <c r="K841" s="11">
        <v>45426</v>
      </c>
      <c r="L841" s="10" t="s">
        <v>59</v>
      </c>
      <c r="M841" s="12">
        <v>24438</v>
      </c>
      <c r="N841" s="12">
        <v>3990</v>
      </c>
      <c r="O841" s="10">
        <v>20</v>
      </c>
      <c r="P841" s="11">
        <v>45446</v>
      </c>
      <c r="Q841" s="10" t="s">
        <v>33</v>
      </c>
      <c r="R841" s="10" t="s">
        <v>33</v>
      </c>
      <c r="S841" s="10" t="s">
        <v>41</v>
      </c>
      <c r="T841" s="13">
        <v>6.1247999999999996</v>
      </c>
      <c r="U841" s="14">
        <v>261</v>
      </c>
      <c r="V841" s="14">
        <v>2024</v>
      </c>
      <c r="W841" s="10" t="s">
        <v>52</v>
      </c>
    </row>
    <row r="842" spans="1:23" s="9" customFormat="1" ht="15.75" hidden="1" customHeight="1" x14ac:dyDescent="0.25">
      <c r="A842" s="4" t="s">
        <v>2584</v>
      </c>
      <c r="B842" s="4" t="s">
        <v>2585</v>
      </c>
      <c r="C842" s="4" t="s">
        <v>2586</v>
      </c>
      <c r="D842" s="22" t="s">
        <v>6090</v>
      </c>
      <c r="E842" s="4" t="s">
        <v>51</v>
      </c>
      <c r="F842" s="4" t="s">
        <v>27</v>
      </c>
      <c r="G842" s="4" t="s">
        <v>5</v>
      </c>
      <c r="H842" s="4" t="s">
        <v>29</v>
      </c>
      <c r="I842" s="5">
        <v>45069</v>
      </c>
      <c r="J842" s="4" t="s">
        <v>40</v>
      </c>
      <c r="K842" s="5">
        <v>45404</v>
      </c>
      <c r="L842" s="4" t="s">
        <v>66</v>
      </c>
      <c r="M842" s="6">
        <v>16944</v>
      </c>
      <c r="N842" s="6">
        <v>2772</v>
      </c>
      <c r="O842" s="4" t="s">
        <v>32</v>
      </c>
      <c r="P842" s="4" t="s">
        <v>32</v>
      </c>
      <c r="Q842" s="4" t="s">
        <v>94</v>
      </c>
      <c r="R842" s="4" t="s">
        <v>33</v>
      </c>
      <c r="S842" s="4" t="s">
        <v>34</v>
      </c>
      <c r="T842" s="7">
        <v>6.1125999999999996</v>
      </c>
      <c r="U842" s="8">
        <v>335</v>
      </c>
      <c r="V842" s="8">
        <v>2024</v>
      </c>
      <c r="W842" s="4" t="s">
        <v>47</v>
      </c>
    </row>
    <row r="843" spans="1:23" s="9" customFormat="1" ht="15.75" hidden="1" customHeight="1" x14ac:dyDescent="0.25">
      <c r="A843" s="10" t="s">
        <v>2587</v>
      </c>
      <c r="B843" s="10" t="s">
        <v>2588</v>
      </c>
      <c r="C843" s="10" t="s">
        <v>2589</v>
      </c>
      <c r="D843" s="22" t="s">
        <v>6090</v>
      </c>
      <c r="E843" s="10" t="s">
        <v>26</v>
      </c>
      <c r="F843" s="10" t="s">
        <v>27</v>
      </c>
      <c r="G843" s="10" t="s">
        <v>57</v>
      </c>
      <c r="H843" s="10" t="s">
        <v>88</v>
      </c>
      <c r="I843" s="11">
        <v>45294</v>
      </c>
      <c r="J843" s="10" t="s">
        <v>30</v>
      </c>
      <c r="K843" s="11">
        <v>45480</v>
      </c>
      <c r="L843" s="10" t="s">
        <v>31</v>
      </c>
      <c r="M843" s="12">
        <v>59653</v>
      </c>
      <c r="N843" s="12">
        <v>4933</v>
      </c>
      <c r="O843" s="10" t="s">
        <v>32</v>
      </c>
      <c r="P843" s="10" t="s">
        <v>32</v>
      </c>
      <c r="Q843" s="10" t="s">
        <v>33</v>
      </c>
      <c r="R843" s="10" t="s">
        <v>33</v>
      </c>
      <c r="S843" s="10" t="s">
        <v>60</v>
      </c>
      <c r="T843" s="13">
        <v>12.092599999999999</v>
      </c>
      <c r="U843" s="14">
        <v>186</v>
      </c>
      <c r="V843" s="14">
        <v>2024</v>
      </c>
      <c r="W843" s="10" t="s">
        <v>42</v>
      </c>
    </row>
    <row r="844" spans="1:23" s="9" customFormat="1" ht="15.75" hidden="1" customHeight="1" x14ac:dyDescent="0.25">
      <c r="A844" s="4" t="s">
        <v>2590</v>
      </c>
      <c r="B844" s="4" t="s">
        <v>2591</v>
      </c>
      <c r="C844" s="4" t="s">
        <v>2592</v>
      </c>
      <c r="D844" s="21" t="s">
        <v>6086</v>
      </c>
      <c r="E844" s="4" t="s">
        <v>87</v>
      </c>
      <c r="F844" s="4" t="s">
        <v>71</v>
      </c>
      <c r="G844" s="4" t="s">
        <v>28</v>
      </c>
      <c r="H844" s="4" t="s">
        <v>29</v>
      </c>
      <c r="I844" s="5">
        <v>45295</v>
      </c>
      <c r="J844" s="4" t="s">
        <v>30</v>
      </c>
      <c r="K844" s="5">
        <v>45577</v>
      </c>
      <c r="L844" s="4" t="s">
        <v>31</v>
      </c>
      <c r="M844" s="6">
        <v>23881</v>
      </c>
      <c r="N844" s="6">
        <v>754</v>
      </c>
      <c r="O844" s="4" t="s">
        <v>32</v>
      </c>
      <c r="P844" s="4" t="s">
        <v>32</v>
      </c>
      <c r="Q844" s="4" t="s">
        <v>33</v>
      </c>
      <c r="R844" s="4" t="s">
        <v>33</v>
      </c>
      <c r="S844" s="4" t="s">
        <v>41</v>
      </c>
      <c r="T844" s="7">
        <v>31.6724</v>
      </c>
      <c r="U844" s="8">
        <v>282</v>
      </c>
      <c r="V844" s="8">
        <v>2024</v>
      </c>
      <c r="W844" s="4" t="s">
        <v>95</v>
      </c>
    </row>
    <row r="845" spans="1:23" s="9" customFormat="1" ht="15.75" hidden="1" customHeight="1" x14ac:dyDescent="0.25">
      <c r="A845" s="10" t="s">
        <v>2593</v>
      </c>
      <c r="B845" s="10" t="s">
        <v>2594</v>
      </c>
      <c r="C845" s="10" t="s">
        <v>2595</v>
      </c>
      <c r="D845" s="21" t="s">
        <v>6086</v>
      </c>
      <c r="E845" s="10" t="s">
        <v>51</v>
      </c>
      <c r="F845" s="10" t="s">
        <v>71</v>
      </c>
      <c r="G845" s="10" t="s">
        <v>57</v>
      </c>
      <c r="H845" s="10" t="s">
        <v>118</v>
      </c>
      <c r="I845" s="11">
        <v>45227</v>
      </c>
      <c r="J845" s="10" t="s">
        <v>30</v>
      </c>
      <c r="K845" s="11">
        <v>45426</v>
      </c>
      <c r="L845" s="10" t="s">
        <v>59</v>
      </c>
      <c r="M845" s="12">
        <v>93594</v>
      </c>
      <c r="N845" s="12">
        <v>6243</v>
      </c>
      <c r="O845" s="10">
        <v>8</v>
      </c>
      <c r="P845" s="11">
        <v>45434</v>
      </c>
      <c r="Q845" s="10" t="s">
        <v>33</v>
      </c>
      <c r="R845" s="10" t="s">
        <v>33</v>
      </c>
      <c r="S845" s="10" t="s">
        <v>41</v>
      </c>
      <c r="T845" s="13">
        <v>14.9918</v>
      </c>
      <c r="U845" s="14">
        <v>199</v>
      </c>
      <c r="V845" s="14">
        <v>2024</v>
      </c>
      <c r="W845" s="10" t="s">
        <v>52</v>
      </c>
    </row>
    <row r="846" spans="1:23" s="9" customFormat="1" ht="15.75" hidden="1" customHeight="1" x14ac:dyDescent="0.25">
      <c r="A846" s="4" t="s">
        <v>2596</v>
      </c>
      <c r="B846" s="4" t="s">
        <v>2597</v>
      </c>
      <c r="C846" s="4" t="s">
        <v>2598</v>
      </c>
      <c r="D846" s="22" t="s">
        <v>6087</v>
      </c>
      <c r="E846" s="4" t="s">
        <v>87</v>
      </c>
      <c r="F846" s="4" t="s">
        <v>65</v>
      </c>
      <c r="G846" s="4" t="s">
        <v>5</v>
      </c>
      <c r="H846" s="4" t="s">
        <v>118</v>
      </c>
      <c r="I846" s="5">
        <v>45366</v>
      </c>
      <c r="J846" s="4" t="s">
        <v>40</v>
      </c>
      <c r="K846" s="5">
        <v>45606</v>
      </c>
      <c r="L846" s="4" t="s">
        <v>31</v>
      </c>
      <c r="M846" s="6">
        <v>11523</v>
      </c>
      <c r="N846" s="6">
        <v>7004</v>
      </c>
      <c r="O846" s="4" t="s">
        <v>32</v>
      </c>
      <c r="P846" s="4" t="s">
        <v>32</v>
      </c>
      <c r="Q846" s="4" t="s">
        <v>33</v>
      </c>
      <c r="R846" s="4" t="s">
        <v>33</v>
      </c>
      <c r="S846" s="4" t="s">
        <v>60</v>
      </c>
      <c r="T846" s="7">
        <v>1.6452</v>
      </c>
      <c r="U846" s="8">
        <v>240</v>
      </c>
      <c r="V846" s="8">
        <v>2024</v>
      </c>
      <c r="W846" s="4" t="s">
        <v>61</v>
      </c>
    </row>
    <row r="847" spans="1:23" s="9" customFormat="1" ht="15.75" hidden="1" customHeight="1" x14ac:dyDescent="0.25">
      <c r="A847" s="10" t="s">
        <v>2599</v>
      </c>
      <c r="B847" s="10" t="s">
        <v>2600</v>
      </c>
      <c r="C847" s="10" t="s">
        <v>2601</v>
      </c>
      <c r="D847" s="21" t="s">
        <v>6088</v>
      </c>
      <c r="E847" s="10" t="s">
        <v>51</v>
      </c>
      <c r="F847" s="21" t="s">
        <v>6092</v>
      </c>
      <c r="G847" s="10" t="s">
        <v>57</v>
      </c>
      <c r="H847" s="10" t="s">
        <v>58</v>
      </c>
      <c r="I847" s="11">
        <v>45193</v>
      </c>
      <c r="J847" s="10" t="s">
        <v>40</v>
      </c>
      <c r="K847" s="11">
        <v>45436</v>
      </c>
      <c r="L847" s="10" t="s">
        <v>59</v>
      </c>
      <c r="M847" s="12">
        <v>66206</v>
      </c>
      <c r="N847" s="12">
        <v>3507</v>
      </c>
      <c r="O847" s="10">
        <v>5</v>
      </c>
      <c r="P847" s="11">
        <v>45441</v>
      </c>
      <c r="Q847" s="10" t="s">
        <v>33</v>
      </c>
      <c r="R847" s="10" t="s">
        <v>33</v>
      </c>
      <c r="S847" s="10" t="s">
        <v>60</v>
      </c>
      <c r="T847" s="13">
        <v>18.8782</v>
      </c>
      <c r="U847" s="14">
        <v>243</v>
      </c>
      <c r="V847" s="14">
        <v>2024</v>
      </c>
      <c r="W847" s="10" t="s">
        <v>52</v>
      </c>
    </row>
    <row r="848" spans="1:23" s="9" customFormat="1" ht="15.75" hidden="1" customHeight="1" x14ac:dyDescent="0.25">
      <c r="A848" s="4" t="s">
        <v>2602</v>
      </c>
      <c r="B848" s="4" t="s">
        <v>2603</v>
      </c>
      <c r="C848" s="4" t="s">
        <v>2604</v>
      </c>
      <c r="D848" s="22" t="s">
        <v>6087</v>
      </c>
      <c r="E848" s="4" t="s">
        <v>26</v>
      </c>
      <c r="F848" s="4" t="s">
        <v>46</v>
      </c>
      <c r="G848" s="4" t="s">
        <v>28</v>
      </c>
      <c r="H848" s="4" t="s">
        <v>58</v>
      </c>
      <c r="I848" s="5">
        <v>45377</v>
      </c>
      <c r="J848" s="4" t="s">
        <v>40</v>
      </c>
      <c r="K848" s="5">
        <v>45477</v>
      </c>
      <c r="L848" s="4" t="s">
        <v>66</v>
      </c>
      <c r="M848" s="6">
        <v>32170</v>
      </c>
      <c r="N848" s="6">
        <v>2688</v>
      </c>
      <c r="O848" s="4" t="s">
        <v>32</v>
      </c>
      <c r="P848" s="4" t="s">
        <v>32</v>
      </c>
      <c r="Q848" s="4" t="s">
        <v>33</v>
      </c>
      <c r="R848" s="4" t="s">
        <v>33</v>
      </c>
      <c r="S848" s="4" t="s">
        <v>34</v>
      </c>
      <c r="T848" s="7">
        <v>11.968</v>
      </c>
      <c r="U848" s="8">
        <v>100</v>
      </c>
      <c r="V848" s="8">
        <v>2024</v>
      </c>
      <c r="W848" s="4" t="s">
        <v>42</v>
      </c>
    </row>
    <row r="849" spans="1:23" s="9" customFormat="1" ht="15.75" hidden="1" customHeight="1" x14ac:dyDescent="0.25">
      <c r="A849" s="10" t="s">
        <v>2605</v>
      </c>
      <c r="B849" s="10" t="s">
        <v>2606</v>
      </c>
      <c r="C849" s="10" t="s">
        <v>2607</v>
      </c>
      <c r="D849" s="21" t="s">
        <v>6091</v>
      </c>
      <c r="E849" s="10" t="s">
        <v>26</v>
      </c>
      <c r="F849" s="10" t="s">
        <v>71</v>
      </c>
      <c r="G849" s="10" t="s">
        <v>57</v>
      </c>
      <c r="H849" s="10" t="s">
        <v>88</v>
      </c>
      <c r="I849" s="11">
        <v>45291</v>
      </c>
      <c r="J849" s="10" t="s">
        <v>30</v>
      </c>
      <c r="K849" s="11">
        <v>45341</v>
      </c>
      <c r="L849" s="10" t="s">
        <v>59</v>
      </c>
      <c r="M849" s="12">
        <v>4948</v>
      </c>
      <c r="N849" s="12">
        <v>2016</v>
      </c>
      <c r="O849" s="10">
        <v>12</v>
      </c>
      <c r="P849" s="11">
        <v>45353</v>
      </c>
      <c r="Q849" s="10" t="s">
        <v>33</v>
      </c>
      <c r="R849" s="10" t="s">
        <v>33</v>
      </c>
      <c r="S849" s="10" t="s">
        <v>34</v>
      </c>
      <c r="T849" s="13">
        <v>2.4544000000000001</v>
      </c>
      <c r="U849" s="14">
        <v>50</v>
      </c>
      <c r="V849" s="14">
        <v>2024</v>
      </c>
      <c r="W849" s="10" t="s">
        <v>35</v>
      </c>
    </row>
    <row r="850" spans="1:23" s="9" customFormat="1" ht="15.75" hidden="1" customHeight="1" x14ac:dyDescent="0.25">
      <c r="A850" s="4" t="s">
        <v>2608</v>
      </c>
      <c r="B850" s="4" t="s">
        <v>2609</v>
      </c>
      <c r="C850" s="4" t="s">
        <v>2610</v>
      </c>
      <c r="D850" s="21" t="s">
        <v>6086</v>
      </c>
      <c r="E850" s="4" t="s">
        <v>26</v>
      </c>
      <c r="F850" s="4" t="s">
        <v>71</v>
      </c>
      <c r="G850" s="4" t="s">
        <v>5</v>
      </c>
      <c r="H850" s="4" t="s">
        <v>72</v>
      </c>
      <c r="I850" s="5">
        <v>45277</v>
      </c>
      <c r="J850" s="4" t="s">
        <v>30</v>
      </c>
      <c r="K850" s="5">
        <v>45481</v>
      </c>
      <c r="L850" s="4" t="s">
        <v>59</v>
      </c>
      <c r="M850" s="6">
        <v>62269</v>
      </c>
      <c r="N850" s="6">
        <v>4477</v>
      </c>
      <c r="O850" s="4">
        <v>7</v>
      </c>
      <c r="P850" s="5">
        <v>45488</v>
      </c>
      <c r="Q850" s="4" t="s">
        <v>94</v>
      </c>
      <c r="R850" s="4" t="s">
        <v>33</v>
      </c>
      <c r="S850" s="4" t="s">
        <v>34</v>
      </c>
      <c r="T850" s="7">
        <v>13.9086</v>
      </c>
      <c r="U850" s="8">
        <v>204</v>
      </c>
      <c r="V850" s="8">
        <v>2024</v>
      </c>
      <c r="W850" s="4" t="s">
        <v>42</v>
      </c>
    </row>
    <row r="851" spans="1:23" s="9" customFormat="1" ht="15.75" hidden="1" customHeight="1" x14ac:dyDescent="0.25">
      <c r="A851" s="10" t="s">
        <v>2611</v>
      </c>
      <c r="B851" s="10" t="s">
        <v>2612</v>
      </c>
      <c r="C851" s="10" t="s">
        <v>2613</v>
      </c>
      <c r="D851" s="22" t="s">
        <v>6087</v>
      </c>
      <c r="E851" s="10" t="s">
        <v>51</v>
      </c>
      <c r="F851" s="10" t="s">
        <v>46</v>
      </c>
      <c r="G851" s="10" t="s">
        <v>57</v>
      </c>
      <c r="H851" s="10" t="s">
        <v>118</v>
      </c>
      <c r="I851" s="11">
        <v>45121</v>
      </c>
      <c r="J851" s="10" t="s">
        <v>30</v>
      </c>
      <c r="K851" s="11">
        <v>45298</v>
      </c>
      <c r="L851" s="10" t="s">
        <v>59</v>
      </c>
      <c r="M851" s="12">
        <v>38095</v>
      </c>
      <c r="N851" s="12">
        <v>7430</v>
      </c>
      <c r="O851" s="10">
        <v>3</v>
      </c>
      <c r="P851" s="11">
        <v>45301</v>
      </c>
      <c r="Q851" s="10" t="s">
        <v>33</v>
      </c>
      <c r="R851" s="10" t="s">
        <v>33</v>
      </c>
      <c r="S851" s="10" t="s">
        <v>60</v>
      </c>
      <c r="T851" s="13">
        <v>5.1272000000000002</v>
      </c>
      <c r="U851" s="14">
        <v>177</v>
      </c>
      <c r="V851" s="14">
        <v>2024</v>
      </c>
      <c r="W851" s="10" t="s">
        <v>73</v>
      </c>
    </row>
    <row r="852" spans="1:23" s="9" customFormat="1" ht="15.75" hidden="1" customHeight="1" x14ac:dyDescent="0.25">
      <c r="A852" s="4" t="s">
        <v>2614</v>
      </c>
      <c r="B852" s="4" t="s">
        <v>2615</v>
      </c>
      <c r="C852" s="4" t="s">
        <v>2616</v>
      </c>
      <c r="D852" s="21" t="s">
        <v>6089</v>
      </c>
      <c r="E852" s="4" t="s">
        <v>87</v>
      </c>
      <c r="F852" s="4" t="s">
        <v>46</v>
      </c>
      <c r="G852" s="4" t="s">
        <v>5</v>
      </c>
      <c r="H852" s="4" t="s">
        <v>161</v>
      </c>
      <c r="I852" s="5">
        <v>45435</v>
      </c>
      <c r="J852" s="4" t="s">
        <v>40</v>
      </c>
      <c r="K852" s="5">
        <v>45478</v>
      </c>
      <c r="L852" s="4" t="s">
        <v>59</v>
      </c>
      <c r="M852" s="6">
        <v>27425</v>
      </c>
      <c r="N852" s="6">
        <v>6473</v>
      </c>
      <c r="O852" s="4">
        <v>18</v>
      </c>
      <c r="P852" s="5">
        <v>45496</v>
      </c>
      <c r="Q852" s="4" t="s">
        <v>33</v>
      </c>
      <c r="R852" s="4" t="s">
        <v>33</v>
      </c>
      <c r="S852" s="4" t="s">
        <v>41</v>
      </c>
      <c r="T852" s="7">
        <v>4.2367999999999997</v>
      </c>
      <c r="U852" s="8">
        <v>43</v>
      </c>
      <c r="V852" s="8">
        <v>2024</v>
      </c>
      <c r="W852" s="4" t="s">
        <v>42</v>
      </c>
    </row>
    <row r="853" spans="1:23" s="9" customFormat="1" ht="15.75" hidden="1" customHeight="1" x14ac:dyDescent="0.25">
      <c r="A853" s="10" t="s">
        <v>2617</v>
      </c>
      <c r="B853" s="10" t="s">
        <v>2618</v>
      </c>
      <c r="C853" s="10" t="s">
        <v>2619</v>
      </c>
      <c r="D853" s="21" t="s">
        <v>6089</v>
      </c>
      <c r="E853" s="10" t="s">
        <v>26</v>
      </c>
      <c r="F853" s="10" t="s">
        <v>27</v>
      </c>
      <c r="G853" s="10" t="s">
        <v>57</v>
      </c>
      <c r="H853" s="10" t="s">
        <v>88</v>
      </c>
      <c r="I853" s="11">
        <v>45127</v>
      </c>
      <c r="J853" s="10" t="s">
        <v>40</v>
      </c>
      <c r="K853" s="11">
        <v>45294</v>
      </c>
      <c r="L853" s="10" t="s">
        <v>59</v>
      </c>
      <c r="M853" s="12">
        <v>54212</v>
      </c>
      <c r="N853" s="12">
        <v>2456</v>
      </c>
      <c r="O853" s="10">
        <v>29</v>
      </c>
      <c r="P853" s="11">
        <v>45323</v>
      </c>
      <c r="Q853" s="10" t="s">
        <v>33</v>
      </c>
      <c r="R853" s="10" t="s">
        <v>33</v>
      </c>
      <c r="S853" s="10" t="s">
        <v>60</v>
      </c>
      <c r="T853" s="13">
        <v>22.0733</v>
      </c>
      <c r="U853" s="14">
        <v>167</v>
      </c>
      <c r="V853" s="14">
        <v>2024</v>
      </c>
      <c r="W853" s="10" t="s">
        <v>73</v>
      </c>
    </row>
    <row r="854" spans="1:23" s="9" customFormat="1" ht="15.75" hidden="1" customHeight="1" x14ac:dyDescent="0.25">
      <c r="A854" s="4" t="s">
        <v>2620</v>
      </c>
      <c r="B854" s="4" t="s">
        <v>2621</v>
      </c>
      <c r="C854" s="4" t="s">
        <v>2622</v>
      </c>
      <c r="D854" s="22" t="s">
        <v>6087</v>
      </c>
      <c r="E854" s="4" t="s">
        <v>87</v>
      </c>
      <c r="F854" s="4" t="s">
        <v>27</v>
      </c>
      <c r="G854" s="4" t="s">
        <v>5</v>
      </c>
      <c r="H854" s="4" t="s">
        <v>29</v>
      </c>
      <c r="I854" s="5">
        <v>45076</v>
      </c>
      <c r="J854" s="4" t="s">
        <v>40</v>
      </c>
      <c r="K854" s="5">
        <v>45393</v>
      </c>
      <c r="L854" s="4" t="s">
        <v>59</v>
      </c>
      <c r="M854" s="6">
        <v>38513</v>
      </c>
      <c r="N854" s="6">
        <v>7334</v>
      </c>
      <c r="O854" s="4">
        <v>27</v>
      </c>
      <c r="P854" s="5">
        <v>45420</v>
      </c>
      <c r="Q854" s="4" t="s">
        <v>33</v>
      </c>
      <c r="R854" s="4" t="s">
        <v>33</v>
      </c>
      <c r="S854" s="4" t="s">
        <v>60</v>
      </c>
      <c r="T854" s="7">
        <v>5.2512999999999996</v>
      </c>
      <c r="U854" s="8">
        <v>317</v>
      </c>
      <c r="V854" s="8">
        <v>2024</v>
      </c>
      <c r="W854" s="4" t="s">
        <v>47</v>
      </c>
    </row>
    <row r="855" spans="1:23" s="9" customFormat="1" ht="15.75" hidden="1" customHeight="1" x14ac:dyDescent="0.25">
      <c r="A855" s="10" t="s">
        <v>2623</v>
      </c>
      <c r="B855" s="10" t="s">
        <v>2624</v>
      </c>
      <c r="C855" s="10" t="s">
        <v>2625</v>
      </c>
      <c r="D855" s="21" t="s">
        <v>6091</v>
      </c>
      <c r="E855" s="10" t="s">
        <v>87</v>
      </c>
      <c r="F855" s="10" t="s">
        <v>65</v>
      </c>
      <c r="G855" s="10" t="s">
        <v>28</v>
      </c>
      <c r="H855" s="10" t="s">
        <v>29</v>
      </c>
      <c r="I855" s="11">
        <v>45270</v>
      </c>
      <c r="J855" s="10" t="s">
        <v>40</v>
      </c>
      <c r="K855" s="11">
        <v>45551</v>
      </c>
      <c r="L855" s="10" t="s">
        <v>59</v>
      </c>
      <c r="M855" s="12">
        <v>3969</v>
      </c>
      <c r="N855" s="12">
        <v>5716</v>
      </c>
      <c r="O855" s="10">
        <v>36</v>
      </c>
      <c r="P855" s="11">
        <v>45587</v>
      </c>
      <c r="Q855" s="10" t="s">
        <v>94</v>
      </c>
      <c r="R855" s="10" t="s">
        <v>33</v>
      </c>
      <c r="S855" s="10" t="s">
        <v>41</v>
      </c>
      <c r="T855" s="13">
        <v>0.69440000000000002</v>
      </c>
      <c r="U855" s="14">
        <v>281</v>
      </c>
      <c r="V855" s="14">
        <v>2024</v>
      </c>
      <c r="W855" s="10" t="s">
        <v>168</v>
      </c>
    </row>
    <row r="856" spans="1:23" s="9" customFormat="1" ht="27.75" customHeight="1" x14ac:dyDescent="0.25">
      <c r="A856" s="4" t="s">
        <v>2626</v>
      </c>
      <c r="B856" s="4" t="s">
        <v>2627</v>
      </c>
      <c r="C856" s="4" t="s">
        <v>2628</v>
      </c>
      <c r="D856" s="22" t="s">
        <v>6090</v>
      </c>
      <c r="E856" s="4" t="s">
        <v>87</v>
      </c>
      <c r="F856" s="10" t="s">
        <v>6092</v>
      </c>
      <c r="G856" s="4" t="s">
        <v>57</v>
      </c>
      <c r="H856" s="4" t="s">
        <v>93</v>
      </c>
      <c r="I856" s="5">
        <v>45331</v>
      </c>
      <c r="J856" s="4" t="s">
        <v>40</v>
      </c>
      <c r="K856" s="5">
        <v>45617</v>
      </c>
      <c r="L856" s="4" t="s">
        <v>31</v>
      </c>
      <c r="M856" s="6">
        <v>28196</v>
      </c>
      <c r="N856" s="6">
        <v>1044</v>
      </c>
      <c r="O856" s="4" t="s">
        <v>32</v>
      </c>
      <c r="P856" s="4" t="s">
        <v>32</v>
      </c>
      <c r="Q856" s="4" t="s">
        <v>94</v>
      </c>
      <c r="R856" s="4" t="s">
        <v>94</v>
      </c>
      <c r="S856" s="4" t="s">
        <v>41</v>
      </c>
      <c r="T856" s="7">
        <v>27.0077</v>
      </c>
      <c r="U856" s="8">
        <v>286</v>
      </c>
      <c r="V856" s="8">
        <v>2024</v>
      </c>
      <c r="W856" s="4" t="s">
        <v>61</v>
      </c>
    </row>
    <row r="857" spans="1:23" s="9" customFormat="1" ht="15.75" hidden="1" customHeight="1" x14ac:dyDescent="0.25">
      <c r="A857" s="10" t="s">
        <v>2629</v>
      </c>
      <c r="B857" s="10" t="s">
        <v>2630</v>
      </c>
      <c r="C857" s="10" t="s">
        <v>2631</v>
      </c>
      <c r="D857" s="22" t="s">
        <v>6090</v>
      </c>
      <c r="E857" s="10" t="s">
        <v>26</v>
      </c>
      <c r="F857" s="10" t="s">
        <v>71</v>
      </c>
      <c r="G857" s="10" t="s">
        <v>28</v>
      </c>
      <c r="H857" s="10" t="s">
        <v>88</v>
      </c>
      <c r="I857" s="11">
        <v>45242</v>
      </c>
      <c r="J857" s="10" t="s">
        <v>40</v>
      </c>
      <c r="K857" s="11">
        <v>45386</v>
      </c>
      <c r="L857" s="10" t="s">
        <v>59</v>
      </c>
      <c r="M857" s="12">
        <v>50989</v>
      </c>
      <c r="N857" s="12">
        <v>8822</v>
      </c>
      <c r="O857" s="10">
        <v>44</v>
      </c>
      <c r="P857" s="11">
        <v>45430</v>
      </c>
      <c r="Q857" s="10" t="s">
        <v>94</v>
      </c>
      <c r="R857" s="10" t="s">
        <v>33</v>
      </c>
      <c r="S857" s="10" t="s">
        <v>34</v>
      </c>
      <c r="T857" s="13">
        <v>5.7797999999999998</v>
      </c>
      <c r="U857" s="14">
        <v>144</v>
      </c>
      <c r="V857" s="14">
        <v>2024</v>
      </c>
      <c r="W857" s="10" t="s">
        <v>47</v>
      </c>
    </row>
    <row r="858" spans="1:23" s="9" customFormat="1" ht="15.75" hidden="1" customHeight="1" x14ac:dyDescent="0.25">
      <c r="A858" s="4" t="s">
        <v>2632</v>
      </c>
      <c r="B858" s="4" t="s">
        <v>2633</v>
      </c>
      <c r="C858" s="4" t="s">
        <v>2634</v>
      </c>
      <c r="D858" s="21" t="s">
        <v>6089</v>
      </c>
      <c r="E858" s="4" t="s">
        <v>26</v>
      </c>
      <c r="F858" s="4" t="s">
        <v>65</v>
      </c>
      <c r="G858" s="4" t="s">
        <v>5</v>
      </c>
      <c r="H858" s="4" t="s">
        <v>161</v>
      </c>
      <c r="I858" s="5">
        <v>45336</v>
      </c>
      <c r="J858" s="4" t="s">
        <v>30</v>
      </c>
      <c r="K858" s="5">
        <v>45645</v>
      </c>
      <c r="L858" s="4" t="s">
        <v>59</v>
      </c>
      <c r="M858" s="6">
        <v>67550</v>
      </c>
      <c r="N858" s="6">
        <v>5932</v>
      </c>
      <c r="O858" s="4">
        <v>8</v>
      </c>
      <c r="P858" s="5">
        <v>45653</v>
      </c>
      <c r="Q858" s="4" t="s">
        <v>33</v>
      </c>
      <c r="R858" s="4" t="s">
        <v>33</v>
      </c>
      <c r="S858" s="4" t="s">
        <v>60</v>
      </c>
      <c r="T858" s="7">
        <v>11.3874</v>
      </c>
      <c r="U858" s="8">
        <v>309</v>
      </c>
      <c r="V858" s="8">
        <v>2024</v>
      </c>
      <c r="W858" s="4" t="s">
        <v>89</v>
      </c>
    </row>
    <row r="859" spans="1:23" s="9" customFormat="1" ht="15.75" hidden="1" customHeight="1" x14ac:dyDescent="0.25">
      <c r="A859" s="10" t="s">
        <v>2635</v>
      </c>
      <c r="B859" s="10" t="s">
        <v>2636</v>
      </c>
      <c r="C859" s="10" t="s">
        <v>2637</v>
      </c>
      <c r="D859" s="21" t="s">
        <v>6088</v>
      </c>
      <c r="E859" s="10" t="s">
        <v>26</v>
      </c>
      <c r="F859" s="10" t="s">
        <v>27</v>
      </c>
      <c r="G859" s="10" t="s">
        <v>57</v>
      </c>
      <c r="H859" s="10" t="s">
        <v>29</v>
      </c>
      <c r="I859" s="11">
        <v>44955</v>
      </c>
      <c r="J859" s="10" t="s">
        <v>40</v>
      </c>
      <c r="K859" s="11">
        <v>45300</v>
      </c>
      <c r="L859" s="10" t="s">
        <v>59</v>
      </c>
      <c r="M859" s="12">
        <v>62278</v>
      </c>
      <c r="N859" s="12">
        <v>4254</v>
      </c>
      <c r="O859" s="10">
        <v>24</v>
      </c>
      <c r="P859" s="11">
        <v>45324</v>
      </c>
      <c r="Q859" s="10" t="s">
        <v>33</v>
      </c>
      <c r="R859" s="10" t="s">
        <v>33</v>
      </c>
      <c r="S859" s="10" t="s">
        <v>34</v>
      </c>
      <c r="T859" s="13">
        <v>14.639900000000001</v>
      </c>
      <c r="U859" s="14">
        <v>345</v>
      </c>
      <c r="V859" s="14">
        <v>2024</v>
      </c>
      <c r="W859" s="10" t="s">
        <v>73</v>
      </c>
    </row>
    <row r="860" spans="1:23" s="9" customFormat="1" ht="15.75" hidden="1" customHeight="1" x14ac:dyDescent="0.25">
      <c r="A860" s="4" t="s">
        <v>2638</v>
      </c>
      <c r="B860" s="4" t="s">
        <v>2639</v>
      </c>
      <c r="C860" s="4" t="s">
        <v>2640</v>
      </c>
      <c r="D860" s="21" t="s">
        <v>6089</v>
      </c>
      <c r="E860" s="4" t="s">
        <v>51</v>
      </c>
      <c r="F860" s="21" t="s">
        <v>6092</v>
      </c>
      <c r="G860" s="4" t="s">
        <v>5</v>
      </c>
      <c r="H860" s="4" t="s">
        <v>29</v>
      </c>
      <c r="I860" s="5">
        <v>45447</v>
      </c>
      <c r="J860" s="4" t="s">
        <v>40</v>
      </c>
      <c r="K860" s="5">
        <v>45504</v>
      </c>
      <c r="L860" s="4" t="s">
        <v>31</v>
      </c>
      <c r="M860" s="6">
        <v>60778</v>
      </c>
      <c r="N860" s="6">
        <v>4104</v>
      </c>
      <c r="O860" s="4" t="s">
        <v>32</v>
      </c>
      <c r="P860" s="4" t="s">
        <v>32</v>
      </c>
      <c r="Q860" s="4" t="s">
        <v>33</v>
      </c>
      <c r="R860" s="4" t="s">
        <v>33</v>
      </c>
      <c r="S860" s="4" t="s">
        <v>41</v>
      </c>
      <c r="T860" s="7">
        <v>14.8095</v>
      </c>
      <c r="U860" s="8">
        <v>57</v>
      </c>
      <c r="V860" s="8">
        <v>2024</v>
      </c>
      <c r="W860" s="4" t="s">
        <v>42</v>
      </c>
    </row>
    <row r="861" spans="1:23" s="9" customFormat="1" ht="15.75" hidden="1" customHeight="1" x14ac:dyDescent="0.25">
      <c r="A861" s="10" t="s">
        <v>2641</v>
      </c>
      <c r="B861" s="10" t="s">
        <v>2642</v>
      </c>
      <c r="C861" s="10" t="s">
        <v>2643</v>
      </c>
      <c r="D861" s="21" t="s">
        <v>6091</v>
      </c>
      <c r="E861" s="10" t="s">
        <v>26</v>
      </c>
      <c r="F861" s="10" t="s">
        <v>56</v>
      </c>
      <c r="G861" s="10" t="s">
        <v>28</v>
      </c>
      <c r="H861" s="10" t="s">
        <v>93</v>
      </c>
      <c r="I861" s="11">
        <v>45461</v>
      </c>
      <c r="J861" s="10" t="s">
        <v>40</v>
      </c>
      <c r="K861" s="11">
        <v>45500</v>
      </c>
      <c r="L861" s="10" t="s">
        <v>59</v>
      </c>
      <c r="M861" s="12">
        <v>11459</v>
      </c>
      <c r="N861" s="12">
        <v>4207</v>
      </c>
      <c r="O861" s="10">
        <v>4</v>
      </c>
      <c r="P861" s="11">
        <v>45504</v>
      </c>
      <c r="Q861" s="10" t="s">
        <v>33</v>
      </c>
      <c r="R861" s="10" t="s">
        <v>33</v>
      </c>
      <c r="S861" s="10" t="s">
        <v>60</v>
      </c>
      <c r="T861" s="13">
        <v>2.7238000000000002</v>
      </c>
      <c r="U861" s="14">
        <v>39</v>
      </c>
      <c r="V861" s="14">
        <v>2024</v>
      </c>
      <c r="W861" s="10" t="s">
        <v>42</v>
      </c>
    </row>
    <row r="862" spans="1:23" s="9" customFormat="1" ht="15.75" hidden="1" customHeight="1" x14ac:dyDescent="0.25">
      <c r="A862" s="4" t="s">
        <v>2644</v>
      </c>
      <c r="B862" s="4" t="s">
        <v>2645</v>
      </c>
      <c r="C862" s="4" t="s">
        <v>2646</v>
      </c>
      <c r="D862" s="21" t="s">
        <v>6091</v>
      </c>
      <c r="E862" s="4" t="s">
        <v>51</v>
      </c>
      <c r="F862" s="4" t="s">
        <v>65</v>
      </c>
      <c r="G862" s="4" t="s">
        <v>5</v>
      </c>
      <c r="H862" s="4" t="s">
        <v>58</v>
      </c>
      <c r="I862" s="5">
        <v>45084</v>
      </c>
      <c r="J862" s="4" t="s">
        <v>30</v>
      </c>
      <c r="K862" s="5">
        <v>45335</v>
      </c>
      <c r="L862" s="4" t="s">
        <v>59</v>
      </c>
      <c r="M862" s="6">
        <v>9267</v>
      </c>
      <c r="N862" s="6">
        <v>6831</v>
      </c>
      <c r="O862" s="4">
        <v>8</v>
      </c>
      <c r="P862" s="5">
        <v>45343</v>
      </c>
      <c r="Q862" s="4" t="s">
        <v>33</v>
      </c>
      <c r="R862" s="4" t="s">
        <v>33</v>
      </c>
      <c r="S862" s="4" t="s">
        <v>34</v>
      </c>
      <c r="T862" s="7">
        <v>1.3566</v>
      </c>
      <c r="U862" s="8">
        <v>251</v>
      </c>
      <c r="V862" s="8">
        <v>2024</v>
      </c>
      <c r="W862" s="4" t="s">
        <v>35</v>
      </c>
    </row>
    <row r="863" spans="1:23" s="9" customFormat="1" ht="15.75" hidden="1" customHeight="1" x14ac:dyDescent="0.25">
      <c r="A863" s="10" t="s">
        <v>2647</v>
      </c>
      <c r="B863" s="10" t="s">
        <v>2648</v>
      </c>
      <c r="C863" s="10" t="s">
        <v>2649</v>
      </c>
      <c r="D863" s="22" t="s">
        <v>6090</v>
      </c>
      <c r="E863" s="10" t="s">
        <v>26</v>
      </c>
      <c r="F863" s="10" t="s">
        <v>71</v>
      </c>
      <c r="G863" s="10" t="s">
        <v>5</v>
      </c>
      <c r="H863" s="10" t="s">
        <v>88</v>
      </c>
      <c r="I863" s="11">
        <v>45402</v>
      </c>
      <c r="J863" s="10" t="s">
        <v>30</v>
      </c>
      <c r="K863" s="11">
        <v>45470</v>
      </c>
      <c r="L863" s="10" t="s">
        <v>31</v>
      </c>
      <c r="M863" s="12">
        <v>45269</v>
      </c>
      <c r="N863" s="12">
        <v>4947</v>
      </c>
      <c r="O863" s="10" t="s">
        <v>32</v>
      </c>
      <c r="P863" s="10" t="s">
        <v>32</v>
      </c>
      <c r="Q863" s="10" t="s">
        <v>94</v>
      </c>
      <c r="R863" s="10" t="s">
        <v>94</v>
      </c>
      <c r="S863" s="10" t="s">
        <v>60</v>
      </c>
      <c r="T863" s="13">
        <v>9.1508000000000003</v>
      </c>
      <c r="U863" s="14">
        <v>68</v>
      </c>
      <c r="V863" s="14">
        <v>2024</v>
      </c>
      <c r="W863" s="10" t="s">
        <v>67</v>
      </c>
    </row>
    <row r="864" spans="1:23" s="9" customFormat="1" ht="15.75" hidden="1" customHeight="1" x14ac:dyDescent="0.25">
      <c r="A864" s="4" t="s">
        <v>2650</v>
      </c>
      <c r="B864" s="4" t="s">
        <v>2651</v>
      </c>
      <c r="C864" s="4" t="s">
        <v>2652</v>
      </c>
      <c r="D864" s="22" t="s">
        <v>6090</v>
      </c>
      <c r="E864" s="4" t="s">
        <v>51</v>
      </c>
      <c r="F864" s="4" t="s">
        <v>27</v>
      </c>
      <c r="G864" s="4" t="s">
        <v>57</v>
      </c>
      <c r="H864" s="4" t="s">
        <v>58</v>
      </c>
      <c r="I864" s="5">
        <v>45156</v>
      </c>
      <c r="J864" s="4" t="s">
        <v>40</v>
      </c>
      <c r="K864" s="5">
        <v>45401</v>
      </c>
      <c r="L864" s="4" t="s">
        <v>59</v>
      </c>
      <c r="M864" s="6">
        <v>42408</v>
      </c>
      <c r="N864" s="6">
        <v>4374</v>
      </c>
      <c r="O864" s="4">
        <v>22</v>
      </c>
      <c r="P864" s="5">
        <v>45423</v>
      </c>
      <c r="Q864" s="4" t="s">
        <v>33</v>
      </c>
      <c r="R864" s="4" t="s">
        <v>33</v>
      </c>
      <c r="S864" s="4" t="s">
        <v>60</v>
      </c>
      <c r="T864" s="7">
        <v>9.6954999999999991</v>
      </c>
      <c r="U864" s="8">
        <v>245</v>
      </c>
      <c r="V864" s="8">
        <v>2024</v>
      </c>
      <c r="W864" s="4" t="s">
        <v>47</v>
      </c>
    </row>
    <row r="865" spans="1:23" s="9" customFormat="1" ht="15.75" hidden="1" customHeight="1" x14ac:dyDescent="0.25">
      <c r="A865" s="10" t="s">
        <v>2653</v>
      </c>
      <c r="B865" s="10" t="s">
        <v>2654</v>
      </c>
      <c r="C865" s="10" t="s">
        <v>2655</v>
      </c>
      <c r="D865" s="22" t="s">
        <v>6090</v>
      </c>
      <c r="E865" s="10" t="s">
        <v>87</v>
      </c>
      <c r="F865" s="10" t="s">
        <v>56</v>
      </c>
      <c r="G865" s="10" t="s">
        <v>5</v>
      </c>
      <c r="H865" s="10" t="s">
        <v>39</v>
      </c>
      <c r="I865" s="11">
        <v>45379</v>
      </c>
      <c r="J865" s="10" t="s">
        <v>30</v>
      </c>
      <c r="K865" s="11">
        <v>45451</v>
      </c>
      <c r="L865" s="10" t="s">
        <v>59</v>
      </c>
      <c r="M865" s="12">
        <v>10401</v>
      </c>
      <c r="N865" s="12">
        <v>4798</v>
      </c>
      <c r="O865" s="10">
        <v>14</v>
      </c>
      <c r="P865" s="11">
        <v>45465</v>
      </c>
      <c r="Q865" s="10" t="s">
        <v>33</v>
      </c>
      <c r="R865" s="10" t="s">
        <v>33</v>
      </c>
      <c r="S865" s="10" t="s">
        <v>41</v>
      </c>
      <c r="T865" s="13">
        <v>2.1678000000000002</v>
      </c>
      <c r="U865" s="14">
        <v>72</v>
      </c>
      <c r="V865" s="14">
        <v>2024</v>
      </c>
      <c r="W865" s="10" t="s">
        <v>67</v>
      </c>
    </row>
    <row r="866" spans="1:23" s="9" customFormat="1" ht="15.75" hidden="1" customHeight="1" x14ac:dyDescent="0.25">
      <c r="A866" s="4" t="s">
        <v>2656</v>
      </c>
      <c r="B866" s="4" t="s">
        <v>2657</v>
      </c>
      <c r="C866" s="4" t="s">
        <v>2658</v>
      </c>
      <c r="D866" s="22" t="s">
        <v>6087</v>
      </c>
      <c r="E866" s="4" t="s">
        <v>87</v>
      </c>
      <c r="F866" s="4" t="s">
        <v>65</v>
      </c>
      <c r="G866" s="4" t="s">
        <v>5</v>
      </c>
      <c r="H866" s="4" t="s">
        <v>161</v>
      </c>
      <c r="I866" s="5">
        <v>45300</v>
      </c>
      <c r="J866" s="4" t="s">
        <v>40</v>
      </c>
      <c r="K866" s="5">
        <v>45414</v>
      </c>
      <c r="L866" s="4" t="s">
        <v>66</v>
      </c>
      <c r="M866" s="6">
        <v>30583</v>
      </c>
      <c r="N866" s="6">
        <v>8812</v>
      </c>
      <c r="O866" s="4" t="s">
        <v>32</v>
      </c>
      <c r="P866" s="4" t="s">
        <v>32</v>
      </c>
      <c r="Q866" s="4" t="s">
        <v>33</v>
      </c>
      <c r="R866" s="4" t="s">
        <v>33</v>
      </c>
      <c r="S866" s="4" t="s">
        <v>60</v>
      </c>
      <c r="T866" s="7">
        <v>3.4706000000000001</v>
      </c>
      <c r="U866" s="8">
        <v>114</v>
      </c>
      <c r="V866" s="8">
        <v>2024</v>
      </c>
      <c r="W866" s="4" t="s">
        <v>52</v>
      </c>
    </row>
    <row r="867" spans="1:23" s="9" customFormat="1" ht="15.75" hidden="1" customHeight="1" x14ac:dyDescent="0.25">
      <c r="A867" s="10" t="s">
        <v>2659</v>
      </c>
      <c r="B867" s="10" t="s">
        <v>2660</v>
      </c>
      <c r="C867" s="10" t="s">
        <v>2661</v>
      </c>
      <c r="D867" s="22" t="s">
        <v>6087</v>
      </c>
      <c r="E867" s="10" t="s">
        <v>87</v>
      </c>
      <c r="F867" s="10" t="s">
        <v>71</v>
      </c>
      <c r="G867" s="10" t="s">
        <v>57</v>
      </c>
      <c r="H867" s="10" t="s">
        <v>39</v>
      </c>
      <c r="I867" s="11">
        <v>45062</v>
      </c>
      <c r="J867" s="10" t="s">
        <v>30</v>
      </c>
      <c r="K867" s="11">
        <v>45325</v>
      </c>
      <c r="L867" s="10" t="s">
        <v>66</v>
      </c>
      <c r="M867" s="12">
        <v>13096</v>
      </c>
      <c r="N867" s="12">
        <v>8630</v>
      </c>
      <c r="O867" s="10" t="s">
        <v>32</v>
      </c>
      <c r="P867" s="10" t="s">
        <v>32</v>
      </c>
      <c r="Q867" s="10" t="s">
        <v>33</v>
      </c>
      <c r="R867" s="10" t="s">
        <v>33</v>
      </c>
      <c r="S867" s="10" t="s">
        <v>41</v>
      </c>
      <c r="T867" s="13">
        <v>1.5175000000000001</v>
      </c>
      <c r="U867" s="14">
        <v>263</v>
      </c>
      <c r="V867" s="14">
        <v>2024</v>
      </c>
      <c r="W867" s="10" t="s">
        <v>35</v>
      </c>
    </row>
    <row r="868" spans="1:23" s="9" customFormat="1" ht="15.75" hidden="1" customHeight="1" x14ac:dyDescent="0.25">
      <c r="A868" s="4" t="s">
        <v>2662</v>
      </c>
      <c r="B868" s="4" t="s">
        <v>2663</v>
      </c>
      <c r="C868" s="4" t="s">
        <v>2664</v>
      </c>
      <c r="D868" s="21" t="s">
        <v>6089</v>
      </c>
      <c r="E868" s="4" t="s">
        <v>87</v>
      </c>
      <c r="F868" s="4" t="s">
        <v>56</v>
      </c>
      <c r="G868" s="4" t="s">
        <v>28</v>
      </c>
      <c r="H868" s="4" t="s">
        <v>88</v>
      </c>
      <c r="I868" s="5">
        <v>45381</v>
      </c>
      <c r="J868" s="4" t="s">
        <v>30</v>
      </c>
      <c r="K868" s="5">
        <v>45466</v>
      </c>
      <c r="L868" s="4" t="s">
        <v>66</v>
      </c>
      <c r="M868" s="6">
        <v>17198</v>
      </c>
      <c r="N868" s="6">
        <v>3460</v>
      </c>
      <c r="O868" s="4" t="s">
        <v>32</v>
      </c>
      <c r="P868" s="4" t="s">
        <v>32</v>
      </c>
      <c r="Q868" s="4" t="s">
        <v>33</v>
      </c>
      <c r="R868" s="4" t="s">
        <v>33</v>
      </c>
      <c r="S868" s="4" t="s">
        <v>34</v>
      </c>
      <c r="T868" s="7">
        <v>4.9705000000000004</v>
      </c>
      <c r="U868" s="8">
        <v>85</v>
      </c>
      <c r="V868" s="8">
        <v>2024</v>
      </c>
      <c r="W868" s="4" t="s">
        <v>67</v>
      </c>
    </row>
    <row r="869" spans="1:23" s="9" customFormat="1" ht="15.75" hidden="1" customHeight="1" x14ac:dyDescent="0.25">
      <c r="A869" s="10" t="s">
        <v>2665</v>
      </c>
      <c r="B869" s="10" t="s">
        <v>2666</v>
      </c>
      <c r="C869" s="10" t="s">
        <v>2667</v>
      </c>
      <c r="D869" s="22" t="s">
        <v>6090</v>
      </c>
      <c r="E869" s="10" t="s">
        <v>87</v>
      </c>
      <c r="F869" s="10" t="s">
        <v>46</v>
      </c>
      <c r="G869" s="10" t="s">
        <v>57</v>
      </c>
      <c r="H869" s="10" t="s">
        <v>39</v>
      </c>
      <c r="I869" s="11">
        <v>45020</v>
      </c>
      <c r="J869" s="10" t="s">
        <v>40</v>
      </c>
      <c r="K869" s="11">
        <v>45342</v>
      </c>
      <c r="L869" s="10" t="s">
        <v>59</v>
      </c>
      <c r="M869" s="12">
        <v>46991</v>
      </c>
      <c r="N869" s="12">
        <v>3031</v>
      </c>
      <c r="O869" s="10">
        <v>26</v>
      </c>
      <c r="P869" s="11">
        <v>45368</v>
      </c>
      <c r="Q869" s="10" t="s">
        <v>33</v>
      </c>
      <c r="R869" s="10" t="s">
        <v>33</v>
      </c>
      <c r="S869" s="10" t="s">
        <v>60</v>
      </c>
      <c r="T869" s="13">
        <v>15.503500000000001</v>
      </c>
      <c r="U869" s="14">
        <v>322</v>
      </c>
      <c r="V869" s="14">
        <v>2024</v>
      </c>
      <c r="W869" s="10" t="s">
        <v>35</v>
      </c>
    </row>
    <row r="870" spans="1:23" s="9" customFormat="1" ht="15.75" hidden="1" customHeight="1" x14ac:dyDescent="0.25">
      <c r="A870" s="4" t="s">
        <v>2668</v>
      </c>
      <c r="B870" s="4" t="s">
        <v>2669</v>
      </c>
      <c r="C870" s="4" t="s">
        <v>2670</v>
      </c>
      <c r="D870" s="21" t="s">
        <v>6089</v>
      </c>
      <c r="E870" s="4" t="s">
        <v>87</v>
      </c>
      <c r="F870" s="4" t="s">
        <v>27</v>
      </c>
      <c r="G870" s="4" t="s">
        <v>57</v>
      </c>
      <c r="H870" s="4" t="s">
        <v>39</v>
      </c>
      <c r="I870" s="5">
        <v>45178</v>
      </c>
      <c r="J870" s="4" t="s">
        <v>40</v>
      </c>
      <c r="K870" s="5">
        <v>45377</v>
      </c>
      <c r="L870" s="4" t="s">
        <v>31</v>
      </c>
      <c r="M870" s="6">
        <v>38221</v>
      </c>
      <c r="N870" s="6">
        <v>8542</v>
      </c>
      <c r="O870" s="4" t="s">
        <v>32</v>
      </c>
      <c r="P870" s="4" t="s">
        <v>32</v>
      </c>
      <c r="Q870" s="4" t="s">
        <v>33</v>
      </c>
      <c r="R870" s="4" t="s">
        <v>33</v>
      </c>
      <c r="S870" s="4" t="s">
        <v>60</v>
      </c>
      <c r="T870" s="7">
        <v>4.4744999999999999</v>
      </c>
      <c r="U870" s="8">
        <v>199</v>
      </c>
      <c r="V870" s="8">
        <v>2024</v>
      </c>
      <c r="W870" s="4" t="s">
        <v>77</v>
      </c>
    </row>
    <row r="871" spans="1:23" s="9" customFormat="1" ht="15.75" hidden="1" customHeight="1" x14ac:dyDescent="0.25">
      <c r="A871" s="10" t="s">
        <v>2671</v>
      </c>
      <c r="B871" s="10" t="s">
        <v>2672</v>
      </c>
      <c r="C871" s="10" t="s">
        <v>2673</v>
      </c>
      <c r="D871" s="21" t="s">
        <v>6088</v>
      </c>
      <c r="E871" s="10" t="s">
        <v>51</v>
      </c>
      <c r="F871" s="10" t="s">
        <v>46</v>
      </c>
      <c r="G871" s="10" t="s">
        <v>5</v>
      </c>
      <c r="H871" s="10" t="s">
        <v>93</v>
      </c>
      <c r="I871" s="11">
        <v>45095</v>
      </c>
      <c r="J871" s="10" t="s">
        <v>30</v>
      </c>
      <c r="K871" s="11">
        <v>45454</v>
      </c>
      <c r="L871" s="10" t="s">
        <v>59</v>
      </c>
      <c r="M871" s="12">
        <v>49287</v>
      </c>
      <c r="N871" s="12">
        <v>7349</v>
      </c>
      <c r="O871" s="10">
        <v>36</v>
      </c>
      <c r="P871" s="11">
        <v>45490</v>
      </c>
      <c r="Q871" s="10" t="s">
        <v>33</v>
      </c>
      <c r="R871" s="10" t="s">
        <v>33</v>
      </c>
      <c r="S871" s="10" t="s">
        <v>41</v>
      </c>
      <c r="T871" s="13">
        <v>6.7065999999999999</v>
      </c>
      <c r="U871" s="14">
        <v>359</v>
      </c>
      <c r="V871" s="14">
        <v>2024</v>
      </c>
      <c r="W871" s="10" t="s">
        <v>67</v>
      </c>
    </row>
    <row r="872" spans="1:23" s="9" customFormat="1" ht="15.75" hidden="1" customHeight="1" x14ac:dyDescent="0.25">
      <c r="A872" s="4" t="s">
        <v>2674</v>
      </c>
      <c r="B872" s="4" t="s">
        <v>2675</v>
      </c>
      <c r="C872" s="4" t="s">
        <v>2676</v>
      </c>
      <c r="D872" s="21" t="s">
        <v>6091</v>
      </c>
      <c r="E872" s="4" t="s">
        <v>51</v>
      </c>
      <c r="F872" s="4" t="s">
        <v>46</v>
      </c>
      <c r="G872" s="4" t="s">
        <v>57</v>
      </c>
      <c r="H872" s="4" t="s">
        <v>118</v>
      </c>
      <c r="I872" s="5">
        <v>45189</v>
      </c>
      <c r="J872" s="4" t="s">
        <v>30</v>
      </c>
      <c r="K872" s="5">
        <v>45511</v>
      </c>
      <c r="L872" s="4" t="s">
        <v>59</v>
      </c>
      <c r="M872" s="6">
        <v>12281</v>
      </c>
      <c r="N872" s="6">
        <v>6481</v>
      </c>
      <c r="O872" s="4">
        <v>33</v>
      </c>
      <c r="P872" s="5">
        <v>45544</v>
      </c>
      <c r="Q872" s="4" t="s">
        <v>33</v>
      </c>
      <c r="R872" s="4" t="s">
        <v>33</v>
      </c>
      <c r="S872" s="4" t="s">
        <v>41</v>
      </c>
      <c r="T872" s="7">
        <v>1.8949</v>
      </c>
      <c r="U872" s="8">
        <v>322</v>
      </c>
      <c r="V872" s="8">
        <v>2024</v>
      </c>
      <c r="W872" s="4" t="s">
        <v>114</v>
      </c>
    </row>
    <row r="873" spans="1:23" s="9" customFormat="1" ht="15.75" hidden="1" customHeight="1" x14ac:dyDescent="0.25">
      <c r="A873" s="10" t="s">
        <v>2677</v>
      </c>
      <c r="B873" s="10" t="s">
        <v>2678</v>
      </c>
      <c r="C873" s="10" t="s">
        <v>2679</v>
      </c>
      <c r="D873" s="22" t="s">
        <v>6090</v>
      </c>
      <c r="E873" s="10" t="s">
        <v>87</v>
      </c>
      <c r="F873" s="10" t="s">
        <v>46</v>
      </c>
      <c r="G873" s="10" t="s">
        <v>57</v>
      </c>
      <c r="H873" s="10" t="s">
        <v>161</v>
      </c>
      <c r="I873" s="11">
        <v>45191</v>
      </c>
      <c r="J873" s="10" t="s">
        <v>30</v>
      </c>
      <c r="K873" s="11">
        <v>45433</v>
      </c>
      <c r="L873" s="10" t="s">
        <v>59</v>
      </c>
      <c r="M873" s="12">
        <v>29635</v>
      </c>
      <c r="N873" s="12">
        <v>7092</v>
      </c>
      <c r="O873" s="10">
        <v>30</v>
      </c>
      <c r="P873" s="11">
        <v>45463</v>
      </c>
      <c r="Q873" s="10" t="s">
        <v>33</v>
      </c>
      <c r="R873" s="10" t="s">
        <v>33</v>
      </c>
      <c r="S873" s="10" t="s">
        <v>41</v>
      </c>
      <c r="T873" s="13">
        <v>4.1787000000000001</v>
      </c>
      <c r="U873" s="14">
        <v>242</v>
      </c>
      <c r="V873" s="14">
        <v>2024</v>
      </c>
      <c r="W873" s="10" t="s">
        <v>52</v>
      </c>
    </row>
    <row r="874" spans="1:23" s="9" customFormat="1" ht="15.75" hidden="1" customHeight="1" x14ac:dyDescent="0.25">
      <c r="A874" s="4" t="s">
        <v>2680</v>
      </c>
      <c r="B874" s="4" t="s">
        <v>2681</v>
      </c>
      <c r="C874" s="4" t="s">
        <v>2682</v>
      </c>
      <c r="D874" s="22" t="s">
        <v>6087</v>
      </c>
      <c r="E874" s="4" t="s">
        <v>87</v>
      </c>
      <c r="F874" s="4" t="s">
        <v>46</v>
      </c>
      <c r="G874" s="4" t="s">
        <v>57</v>
      </c>
      <c r="H874" s="4" t="s">
        <v>58</v>
      </c>
      <c r="I874" s="5">
        <v>45243</v>
      </c>
      <c r="J874" s="4" t="s">
        <v>40</v>
      </c>
      <c r="K874" s="5">
        <v>45558</v>
      </c>
      <c r="L874" s="4" t="s">
        <v>31</v>
      </c>
      <c r="M874" s="6">
        <v>14702</v>
      </c>
      <c r="N874" s="6">
        <v>5634</v>
      </c>
      <c r="O874" s="4" t="s">
        <v>32</v>
      </c>
      <c r="P874" s="4" t="s">
        <v>32</v>
      </c>
      <c r="Q874" s="4" t="s">
        <v>33</v>
      </c>
      <c r="R874" s="4" t="s">
        <v>33</v>
      </c>
      <c r="S874" s="4" t="s">
        <v>41</v>
      </c>
      <c r="T874" s="7">
        <v>2.6095000000000002</v>
      </c>
      <c r="U874" s="8">
        <v>315</v>
      </c>
      <c r="V874" s="8">
        <v>2024</v>
      </c>
      <c r="W874" s="4" t="s">
        <v>168</v>
      </c>
    </row>
    <row r="875" spans="1:23" s="9" customFormat="1" ht="15.75" hidden="1" customHeight="1" x14ac:dyDescent="0.25">
      <c r="A875" s="10" t="s">
        <v>2683</v>
      </c>
      <c r="B875" s="10" t="s">
        <v>2684</v>
      </c>
      <c r="C875" s="10" t="s">
        <v>2685</v>
      </c>
      <c r="D875" s="21" t="s">
        <v>6089</v>
      </c>
      <c r="E875" s="10" t="s">
        <v>26</v>
      </c>
      <c r="F875" s="10" t="s">
        <v>56</v>
      </c>
      <c r="G875" s="10" t="s">
        <v>57</v>
      </c>
      <c r="H875" s="10" t="s">
        <v>118</v>
      </c>
      <c r="I875" s="11">
        <v>45245</v>
      </c>
      <c r="J875" s="10" t="s">
        <v>30</v>
      </c>
      <c r="K875" s="11">
        <v>45430</v>
      </c>
      <c r="L875" s="10" t="s">
        <v>59</v>
      </c>
      <c r="M875" s="12">
        <v>36973</v>
      </c>
      <c r="N875" s="12">
        <v>4336</v>
      </c>
      <c r="O875" s="10">
        <v>28</v>
      </c>
      <c r="P875" s="11">
        <v>45458</v>
      </c>
      <c r="Q875" s="10" t="s">
        <v>33</v>
      </c>
      <c r="R875" s="10" t="s">
        <v>33</v>
      </c>
      <c r="S875" s="10" t="s">
        <v>34</v>
      </c>
      <c r="T875" s="13">
        <v>8.5269999999999992</v>
      </c>
      <c r="U875" s="14">
        <v>185</v>
      </c>
      <c r="V875" s="14">
        <v>2024</v>
      </c>
      <c r="W875" s="10" t="s">
        <v>52</v>
      </c>
    </row>
    <row r="876" spans="1:23" s="9" customFormat="1" ht="15.75" hidden="1" customHeight="1" x14ac:dyDescent="0.25">
      <c r="A876" s="4" t="s">
        <v>2686</v>
      </c>
      <c r="B876" s="4" t="s">
        <v>2687</v>
      </c>
      <c r="C876" s="4" t="s">
        <v>2688</v>
      </c>
      <c r="D876" s="21" t="s">
        <v>6086</v>
      </c>
      <c r="E876" s="4" t="s">
        <v>87</v>
      </c>
      <c r="F876" s="4" t="s">
        <v>56</v>
      </c>
      <c r="G876" s="4" t="s">
        <v>5</v>
      </c>
      <c r="H876" s="4" t="s">
        <v>29</v>
      </c>
      <c r="I876" s="5">
        <v>45137</v>
      </c>
      <c r="J876" s="4" t="s">
        <v>30</v>
      </c>
      <c r="K876" s="5">
        <v>45495</v>
      </c>
      <c r="L876" s="4" t="s">
        <v>59</v>
      </c>
      <c r="M876" s="6">
        <v>53439</v>
      </c>
      <c r="N876" s="6">
        <v>2445</v>
      </c>
      <c r="O876" s="4">
        <v>17</v>
      </c>
      <c r="P876" s="5">
        <v>45512</v>
      </c>
      <c r="Q876" s="4" t="s">
        <v>33</v>
      </c>
      <c r="R876" s="4" t="s">
        <v>33</v>
      </c>
      <c r="S876" s="4" t="s">
        <v>34</v>
      </c>
      <c r="T876" s="7">
        <v>21.856400000000001</v>
      </c>
      <c r="U876" s="8">
        <v>358</v>
      </c>
      <c r="V876" s="8">
        <v>2024</v>
      </c>
      <c r="W876" s="4" t="s">
        <v>42</v>
      </c>
    </row>
    <row r="877" spans="1:23" s="9" customFormat="1" ht="15.75" hidden="1" customHeight="1" x14ac:dyDescent="0.25">
      <c r="A877" s="10" t="s">
        <v>2689</v>
      </c>
      <c r="B877" s="10" t="s">
        <v>2690</v>
      </c>
      <c r="C877" s="10" t="s">
        <v>2691</v>
      </c>
      <c r="D877" s="22" t="s">
        <v>6090</v>
      </c>
      <c r="E877" s="10" t="s">
        <v>51</v>
      </c>
      <c r="F877" s="21" t="s">
        <v>6092</v>
      </c>
      <c r="G877" s="10" t="s">
        <v>28</v>
      </c>
      <c r="H877" s="10" t="s">
        <v>118</v>
      </c>
      <c r="I877" s="11">
        <v>45390</v>
      </c>
      <c r="J877" s="10" t="s">
        <v>30</v>
      </c>
      <c r="K877" s="11">
        <v>45521</v>
      </c>
      <c r="L877" s="10" t="s">
        <v>59</v>
      </c>
      <c r="M877" s="12">
        <v>59974</v>
      </c>
      <c r="N877" s="12">
        <v>4594</v>
      </c>
      <c r="O877" s="10">
        <v>20</v>
      </c>
      <c r="P877" s="11">
        <v>45541</v>
      </c>
      <c r="Q877" s="10" t="s">
        <v>33</v>
      </c>
      <c r="R877" s="10" t="s">
        <v>33</v>
      </c>
      <c r="S877" s="10" t="s">
        <v>34</v>
      </c>
      <c r="T877" s="13">
        <v>13.0549</v>
      </c>
      <c r="U877" s="14">
        <v>131</v>
      </c>
      <c r="V877" s="14">
        <v>2024</v>
      </c>
      <c r="W877" s="10" t="s">
        <v>114</v>
      </c>
    </row>
    <row r="878" spans="1:23" s="9" customFormat="1" ht="15.75" hidden="1" customHeight="1" x14ac:dyDescent="0.25">
      <c r="A878" s="4" t="s">
        <v>2692</v>
      </c>
      <c r="B878" s="4" t="s">
        <v>2693</v>
      </c>
      <c r="C878" s="4" t="s">
        <v>2694</v>
      </c>
      <c r="D878" s="22" t="s">
        <v>6087</v>
      </c>
      <c r="E878" s="4" t="s">
        <v>87</v>
      </c>
      <c r="F878" s="4" t="s">
        <v>46</v>
      </c>
      <c r="G878" s="4" t="s">
        <v>57</v>
      </c>
      <c r="H878" s="4" t="s">
        <v>88</v>
      </c>
      <c r="I878" s="5">
        <v>45234</v>
      </c>
      <c r="J878" s="4" t="s">
        <v>30</v>
      </c>
      <c r="K878" s="5">
        <v>45371</v>
      </c>
      <c r="L878" s="4" t="s">
        <v>59</v>
      </c>
      <c r="M878" s="6">
        <v>17485</v>
      </c>
      <c r="N878" s="6">
        <v>927</v>
      </c>
      <c r="O878" s="4">
        <v>10</v>
      </c>
      <c r="P878" s="5">
        <v>45381</v>
      </c>
      <c r="Q878" s="4" t="s">
        <v>33</v>
      </c>
      <c r="R878" s="4" t="s">
        <v>33</v>
      </c>
      <c r="S878" s="4" t="s">
        <v>60</v>
      </c>
      <c r="T878" s="7">
        <v>18.861899999999999</v>
      </c>
      <c r="U878" s="8">
        <v>137</v>
      </c>
      <c r="V878" s="8">
        <v>2024</v>
      </c>
      <c r="W878" s="4" t="s">
        <v>77</v>
      </c>
    </row>
    <row r="879" spans="1:23" s="9" customFormat="1" ht="15.75" hidden="1" customHeight="1" x14ac:dyDescent="0.25">
      <c r="A879" s="10" t="s">
        <v>2695</v>
      </c>
      <c r="B879" s="10" t="s">
        <v>2696</v>
      </c>
      <c r="C879" s="10" t="s">
        <v>2697</v>
      </c>
      <c r="D879" s="22" t="s">
        <v>6090</v>
      </c>
      <c r="E879" s="10" t="s">
        <v>87</v>
      </c>
      <c r="F879" s="10" t="s">
        <v>46</v>
      </c>
      <c r="G879" s="10" t="s">
        <v>28</v>
      </c>
      <c r="H879" s="10" t="s">
        <v>118</v>
      </c>
      <c r="I879" s="11">
        <v>45421</v>
      </c>
      <c r="J879" s="10" t="s">
        <v>30</v>
      </c>
      <c r="K879" s="11">
        <v>45479</v>
      </c>
      <c r="L879" s="10" t="s">
        <v>59</v>
      </c>
      <c r="M879" s="12">
        <v>56319</v>
      </c>
      <c r="N879" s="12">
        <v>6786</v>
      </c>
      <c r="O879" s="10">
        <v>27</v>
      </c>
      <c r="P879" s="11">
        <v>45506</v>
      </c>
      <c r="Q879" s="10" t="s">
        <v>33</v>
      </c>
      <c r="R879" s="10" t="s">
        <v>33</v>
      </c>
      <c r="S879" s="10" t="s">
        <v>41</v>
      </c>
      <c r="T879" s="13">
        <v>8.2993000000000006</v>
      </c>
      <c r="U879" s="14">
        <v>58</v>
      </c>
      <c r="V879" s="14">
        <v>2024</v>
      </c>
      <c r="W879" s="10" t="s">
        <v>42</v>
      </c>
    </row>
    <row r="880" spans="1:23" s="9" customFormat="1" ht="15.75" hidden="1" customHeight="1" x14ac:dyDescent="0.25">
      <c r="A880" s="4" t="s">
        <v>2698</v>
      </c>
      <c r="B880" s="4" t="s">
        <v>2699</v>
      </c>
      <c r="C880" s="4" t="s">
        <v>2700</v>
      </c>
      <c r="D880" s="22" t="s">
        <v>6087</v>
      </c>
      <c r="E880" s="4" t="s">
        <v>26</v>
      </c>
      <c r="F880" s="4" t="s">
        <v>71</v>
      </c>
      <c r="G880" s="4" t="s">
        <v>5</v>
      </c>
      <c r="H880" s="4" t="s">
        <v>161</v>
      </c>
      <c r="I880" s="5">
        <v>45338</v>
      </c>
      <c r="J880" s="4" t="s">
        <v>40</v>
      </c>
      <c r="K880" s="5">
        <v>45613</v>
      </c>
      <c r="L880" s="4" t="s">
        <v>66</v>
      </c>
      <c r="M880" s="6">
        <v>16284</v>
      </c>
      <c r="N880" s="6">
        <v>600</v>
      </c>
      <c r="O880" s="4" t="s">
        <v>32</v>
      </c>
      <c r="P880" s="4" t="s">
        <v>32</v>
      </c>
      <c r="Q880" s="4" t="s">
        <v>33</v>
      </c>
      <c r="R880" s="4" t="s">
        <v>33</v>
      </c>
      <c r="S880" s="4" t="s">
        <v>41</v>
      </c>
      <c r="T880" s="7">
        <v>27.14</v>
      </c>
      <c r="U880" s="8">
        <v>275</v>
      </c>
      <c r="V880" s="8">
        <v>2024</v>
      </c>
      <c r="W880" s="4" t="s">
        <v>61</v>
      </c>
    </row>
    <row r="881" spans="1:23" s="9" customFormat="1" ht="15.75" hidden="1" customHeight="1" x14ac:dyDescent="0.25">
      <c r="A881" s="10" t="s">
        <v>2701</v>
      </c>
      <c r="B881" s="10" t="s">
        <v>2702</v>
      </c>
      <c r="C881" s="10" t="s">
        <v>2703</v>
      </c>
      <c r="D881" s="22" t="s">
        <v>6090</v>
      </c>
      <c r="E881" s="10" t="s">
        <v>87</v>
      </c>
      <c r="F881" s="10" t="s">
        <v>71</v>
      </c>
      <c r="G881" s="10" t="s">
        <v>57</v>
      </c>
      <c r="H881" s="10" t="s">
        <v>39</v>
      </c>
      <c r="I881" s="11">
        <v>45303</v>
      </c>
      <c r="J881" s="10" t="s">
        <v>40</v>
      </c>
      <c r="K881" s="11">
        <v>45650</v>
      </c>
      <c r="L881" s="10" t="s">
        <v>59</v>
      </c>
      <c r="M881" s="12">
        <v>3064</v>
      </c>
      <c r="N881" s="12">
        <v>2151</v>
      </c>
      <c r="O881" s="10">
        <v>18</v>
      </c>
      <c r="P881" s="11">
        <v>45668</v>
      </c>
      <c r="Q881" s="10" t="s">
        <v>33</v>
      </c>
      <c r="R881" s="10" t="s">
        <v>33</v>
      </c>
      <c r="S881" s="10" t="s">
        <v>41</v>
      </c>
      <c r="T881" s="13">
        <v>1.4245000000000001</v>
      </c>
      <c r="U881" s="14">
        <v>347</v>
      </c>
      <c r="V881" s="14">
        <v>2024</v>
      </c>
      <c r="W881" s="10" t="s">
        <v>89</v>
      </c>
    </row>
    <row r="882" spans="1:23" s="9" customFormat="1" ht="15.75" hidden="1" customHeight="1" x14ac:dyDescent="0.25">
      <c r="A882" s="4" t="s">
        <v>2704</v>
      </c>
      <c r="B882" s="4" t="s">
        <v>2705</v>
      </c>
      <c r="C882" s="4" t="s">
        <v>2706</v>
      </c>
      <c r="D882" s="21" t="s">
        <v>6088</v>
      </c>
      <c r="E882" s="4" t="s">
        <v>87</v>
      </c>
      <c r="F882" s="4" t="s">
        <v>46</v>
      </c>
      <c r="G882" s="4" t="s">
        <v>57</v>
      </c>
      <c r="H882" s="4" t="s">
        <v>58</v>
      </c>
      <c r="I882" s="5">
        <v>45113</v>
      </c>
      <c r="J882" s="4" t="s">
        <v>30</v>
      </c>
      <c r="K882" s="5">
        <v>45413</v>
      </c>
      <c r="L882" s="4" t="s">
        <v>59</v>
      </c>
      <c r="M882" s="6">
        <v>18784</v>
      </c>
      <c r="N882" s="6">
        <v>6172</v>
      </c>
      <c r="O882" s="4">
        <v>14</v>
      </c>
      <c r="P882" s="5">
        <v>45427</v>
      </c>
      <c r="Q882" s="4" t="s">
        <v>33</v>
      </c>
      <c r="R882" s="4" t="s">
        <v>33</v>
      </c>
      <c r="S882" s="4" t="s">
        <v>34</v>
      </c>
      <c r="T882" s="7">
        <v>3.0434000000000001</v>
      </c>
      <c r="U882" s="8">
        <v>300</v>
      </c>
      <c r="V882" s="8">
        <v>2024</v>
      </c>
      <c r="W882" s="4" t="s">
        <v>52</v>
      </c>
    </row>
    <row r="883" spans="1:23" s="9" customFormat="1" ht="15.75" hidden="1" customHeight="1" x14ac:dyDescent="0.25">
      <c r="A883" s="10" t="s">
        <v>2707</v>
      </c>
      <c r="B883" s="10" t="s">
        <v>2708</v>
      </c>
      <c r="C883" s="10" t="s">
        <v>2709</v>
      </c>
      <c r="D883" s="21" t="s">
        <v>6086</v>
      </c>
      <c r="E883" s="10" t="s">
        <v>87</v>
      </c>
      <c r="F883" s="21" t="s">
        <v>6092</v>
      </c>
      <c r="G883" s="10" t="s">
        <v>5</v>
      </c>
      <c r="H883" s="10" t="s">
        <v>118</v>
      </c>
      <c r="I883" s="11">
        <v>45409</v>
      </c>
      <c r="J883" s="10" t="s">
        <v>30</v>
      </c>
      <c r="K883" s="11">
        <v>45518</v>
      </c>
      <c r="L883" s="10" t="s">
        <v>59</v>
      </c>
      <c r="M883" s="12">
        <v>93131</v>
      </c>
      <c r="N883" s="12">
        <v>622</v>
      </c>
      <c r="O883" s="10">
        <v>15</v>
      </c>
      <c r="P883" s="11">
        <v>45533</v>
      </c>
      <c r="Q883" s="10" t="s">
        <v>33</v>
      </c>
      <c r="R883" s="10" t="s">
        <v>33</v>
      </c>
      <c r="S883" s="10" t="s">
        <v>60</v>
      </c>
      <c r="T883" s="13">
        <v>149.72829999999999</v>
      </c>
      <c r="U883" s="14">
        <v>109</v>
      </c>
      <c r="V883" s="14">
        <v>2024</v>
      </c>
      <c r="W883" s="10" t="s">
        <v>114</v>
      </c>
    </row>
    <row r="884" spans="1:23" s="9" customFormat="1" ht="27.75" customHeight="1" x14ac:dyDescent="0.25">
      <c r="A884" s="4" t="s">
        <v>2710</v>
      </c>
      <c r="B884" s="4" t="s">
        <v>2711</v>
      </c>
      <c r="C884" s="4" t="s">
        <v>2712</v>
      </c>
      <c r="D884" s="22" t="s">
        <v>6090</v>
      </c>
      <c r="E884" s="4" t="s">
        <v>26</v>
      </c>
      <c r="F884" s="10" t="s">
        <v>6092</v>
      </c>
      <c r="G884" s="4" t="s">
        <v>5</v>
      </c>
      <c r="H884" s="4" t="s">
        <v>93</v>
      </c>
      <c r="I884" s="5">
        <v>45301</v>
      </c>
      <c r="J884" s="4" t="s">
        <v>40</v>
      </c>
      <c r="K884" s="5">
        <v>45437</v>
      </c>
      <c r="L884" s="4" t="s">
        <v>59</v>
      </c>
      <c r="M884" s="6">
        <v>14796</v>
      </c>
      <c r="N884" s="6">
        <v>1829</v>
      </c>
      <c r="O884" s="4">
        <v>20</v>
      </c>
      <c r="P884" s="5">
        <v>45457</v>
      </c>
      <c r="Q884" s="4" t="s">
        <v>94</v>
      </c>
      <c r="R884" s="4" t="s">
        <v>94</v>
      </c>
      <c r="S884" s="4" t="s">
        <v>60</v>
      </c>
      <c r="T884" s="7">
        <v>8.0897000000000006</v>
      </c>
      <c r="U884" s="8">
        <v>136</v>
      </c>
      <c r="V884" s="8">
        <v>2024</v>
      </c>
      <c r="W884" s="4" t="s">
        <v>52</v>
      </c>
    </row>
    <row r="885" spans="1:23" s="9" customFormat="1" ht="15.75" hidden="1" customHeight="1" x14ac:dyDescent="0.25">
      <c r="A885" s="10" t="s">
        <v>2713</v>
      </c>
      <c r="B885" s="10" t="s">
        <v>2714</v>
      </c>
      <c r="C885" s="10" t="s">
        <v>2715</v>
      </c>
      <c r="D885" s="22" t="s">
        <v>6090</v>
      </c>
      <c r="E885" s="10" t="s">
        <v>26</v>
      </c>
      <c r="F885" s="21" t="s">
        <v>6092</v>
      </c>
      <c r="G885" s="10" t="s">
        <v>28</v>
      </c>
      <c r="H885" s="10" t="s">
        <v>72</v>
      </c>
      <c r="I885" s="11">
        <v>45284</v>
      </c>
      <c r="J885" s="10" t="s">
        <v>30</v>
      </c>
      <c r="K885" s="11">
        <v>45605</v>
      </c>
      <c r="L885" s="10" t="s">
        <v>59</v>
      </c>
      <c r="M885" s="12">
        <v>57175</v>
      </c>
      <c r="N885" s="12">
        <v>4703</v>
      </c>
      <c r="O885" s="10">
        <v>35</v>
      </c>
      <c r="P885" s="11">
        <v>45640</v>
      </c>
      <c r="Q885" s="10" t="s">
        <v>33</v>
      </c>
      <c r="R885" s="10" t="s">
        <v>33</v>
      </c>
      <c r="S885" s="10" t="s">
        <v>41</v>
      </c>
      <c r="T885" s="13">
        <v>12.1571</v>
      </c>
      <c r="U885" s="14">
        <v>321</v>
      </c>
      <c r="V885" s="14">
        <v>2024</v>
      </c>
      <c r="W885" s="10" t="s">
        <v>61</v>
      </c>
    </row>
    <row r="886" spans="1:23" s="9" customFormat="1" ht="15.75" hidden="1" customHeight="1" x14ac:dyDescent="0.25">
      <c r="A886" s="4" t="s">
        <v>2716</v>
      </c>
      <c r="B886" s="4" t="s">
        <v>2717</v>
      </c>
      <c r="C886" s="4" t="s">
        <v>2718</v>
      </c>
      <c r="D886" s="21" t="s">
        <v>6086</v>
      </c>
      <c r="E886" s="4" t="s">
        <v>26</v>
      </c>
      <c r="F886" s="4" t="s">
        <v>27</v>
      </c>
      <c r="G886" s="4" t="s">
        <v>28</v>
      </c>
      <c r="H886" s="4" t="s">
        <v>39</v>
      </c>
      <c r="I886" s="5">
        <v>45070</v>
      </c>
      <c r="J886" s="4" t="s">
        <v>40</v>
      </c>
      <c r="K886" s="5">
        <v>45391</v>
      </c>
      <c r="L886" s="4" t="s">
        <v>59</v>
      </c>
      <c r="M886" s="6">
        <v>68360</v>
      </c>
      <c r="N886" s="6">
        <v>3570</v>
      </c>
      <c r="O886" s="4">
        <v>33</v>
      </c>
      <c r="P886" s="5">
        <v>45424</v>
      </c>
      <c r="Q886" s="4" t="s">
        <v>33</v>
      </c>
      <c r="R886" s="4" t="s">
        <v>33</v>
      </c>
      <c r="S886" s="4" t="s">
        <v>60</v>
      </c>
      <c r="T886" s="7">
        <v>19.148499999999999</v>
      </c>
      <c r="U886" s="8">
        <v>321</v>
      </c>
      <c r="V886" s="8">
        <v>2024</v>
      </c>
      <c r="W886" s="4" t="s">
        <v>47</v>
      </c>
    </row>
    <row r="887" spans="1:23" s="9" customFormat="1" ht="15.75" hidden="1" customHeight="1" x14ac:dyDescent="0.25">
      <c r="A887" s="10" t="s">
        <v>2719</v>
      </c>
      <c r="B887" s="10" t="s">
        <v>2720</v>
      </c>
      <c r="C887" s="10" t="s">
        <v>2721</v>
      </c>
      <c r="D887" s="22" t="s">
        <v>6090</v>
      </c>
      <c r="E887" s="10" t="s">
        <v>51</v>
      </c>
      <c r="F887" s="10" t="s">
        <v>27</v>
      </c>
      <c r="G887" s="10" t="s">
        <v>57</v>
      </c>
      <c r="H887" s="10" t="s">
        <v>72</v>
      </c>
      <c r="I887" s="11">
        <v>45220</v>
      </c>
      <c r="J887" s="10" t="s">
        <v>40</v>
      </c>
      <c r="K887" s="11">
        <v>45562</v>
      </c>
      <c r="L887" s="10" t="s">
        <v>59</v>
      </c>
      <c r="M887" s="12">
        <v>15274</v>
      </c>
      <c r="N887" s="12">
        <v>3303</v>
      </c>
      <c r="O887" s="10">
        <v>33</v>
      </c>
      <c r="P887" s="11">
        <v>45595</v>
      </c>
      <c r="Q887" s="10" t="s">
        <v>94</v>
      </c>
      <c r="R887" s="10" t="s">
        <v>33</v>
      </c>
      <c r="S887" s="10" t="s">
        <v>60</v>
      </c>
      <c r="T887" s="13">
        <v>4.6242999999999999</v>
      </c>
      <c r="U887" s="14">
        <v>342</v>
      </c>
      <c r="V887" s="14">
        <v>2024</v>
      </c>
      <c r="W887" s="10" t="s">
        <v>168</v>
      </c>
    </row>
    <row r="888" spans="1:23" s="9" customFormat="1" ht="15.75" hidden="1" customHeight="1" x14ac:dyDescent="0.25">
      <c r="A888" s="4" t="s">
        <v>2722</v>
      </c>
      <c r="B888" s="4" t="s">
        <v>2723</v>
      </c>
      <c r="C888" s="4" t="s">
        <v>2724</v>
      </c>
      <c r="D888" s="22" t="s">
        <v>6090</v>
      </c>
      <c r="E888" s="4" t="s">
        <v>87</v>
      </c>
      <c r="F888" s="4" t="s">
        <v>65</v>
      </c>
      <c r="G888" s="4" t="s">
        <v>28</v>
      </c>
      <c r="H888" s="4" t="s">
        <v>161</v>
      </c>
      <c r="I888" s="5">
        <v>45199</v>
      </c>
      <c r="J888" s="4" t="s">
        <v>40</v>
      </c>
      <c r="K888" s="5">
        <v>45296</v>
      </c>
      <c r="L888" s="4" t="s">
        <v>59</v>
      </c>
      <c r="M888" s="6">
        <v>28459</v>
      </c>
      <c r="N888" s="6">
        <v>2827</v>
      </c>
      <c r="O888" s="4">
        <v>44</v>
      </c>
      <c r="P888" s="5">
        <v>45340</v>
      </c>
      <c r="Q888" s="4" t="s">
        <v>33</v>
      </c>
      <c r="R888" s="4" t="s">
        <v>33</v>
      </c>
      <c r="S888" s="4" t="s">
        <v>41</v>
      </c>
      <c r="T888" s="7">
        <v>10.0669</v>
      </c>
      <c r="U888" s="8">
        <v>97</v>
      </c>
      <c r="V888" s="8">
        <v>2024</v>
      </c>
      <c r="W888" s="4" t="s">
        <v>73</v>
      </c>
    </row>
    <row r="889" spans="1:23" s="9" customFormat="1" ht="15.75" hidden="1" customHeight="1" x14ac:dyDescent="0.25">
      <c r="A889" s="10" t="s">
        <v>2725</v>
      </c>
      <c r="B889" s="10" t="s">
        <v>2726</v>
      </c>
      <c r="C889" s="10" t="s">
        <v>2727</v>
      </c>
      <c r="D889" s="22" t="s">
        <v>6090</v>
      </c>
      <c r="E889" s="10" t="s">
        <v>26</v>
      </c>
      <c r="F889" s="10" t="s">
        <v>46</v>
      </c>
      <c r="G889" s="10" t="s">
        <v>57</v>
      </c>
      <c r="H889" s="10" t="s">
        <v>118</v>
      </c>
      <c r="I889" s="11">
        <v>45404</v>
      </c>
      <c r="J889" s="10" t="s">
        <v>30</v>
      </c>
      <c r="K889" s="11">
        <v>45555</v>
      </c>
      <c r="L889" s="10" t="s">
        <v>31</v>
      </c>
      <c r="M889" s="12">
        <v>58200</v>
      </c>
      <c r="N889" s="12">
        <v>2995</v>
      </c>
      <c r="O889" s="10" t="s">
        <v>32</v>
      </c>
      <c r="P889" s="10" t="s">
        <v>32</v>
      </c>
      <c r="Q889" s="10" t="s">
        <v>33</v>
      </c>
      <c r="R889" s="10" t="s">
        <v>33</v>
      </c>
      <c r="S889" s="10" t="s">
        <v>60</v>
      </c>
      <c r="T889" s="13">
        <v>19.432400000000001</v>
      </c>
      <c r="U889" s="14">
        <v>151</v>
      </c>
      <c r="V889" s="14">
        <v>2024</v>
      </c>
      <c r="W889" s="10" t="s">
        <v>168</v>
      </c>
    </row>
    <row r="890" spans="1:23" s="9" customFormat="1" ht="27.75" customHeight="1" x14ac:dyDescent="0.25">
      <c r="A890" s="4" t="s">
        <v>2728</v>
      </c>
      <c r="B890" s="4" t="s">
        <v>2729</v>
      </c>
      <c r="C890" s="4" t="s">
        <v>2730</v>
      </c>
      <c r="D890" s="22" t="s">
        <v>6087</v>
      </c>
      <c r="E890" s="4" t="s">
        <v>87</v>
      </c>
      <c r="F890" s="10" t="s">
        <v>6092</v>
      </c>
      <c r="G890" s="4" t="s">
        <v>28</v>
      </c>
      <c r="H890" s="4" t="s">
        <v>39</v>
      </c>
      <c r="I890" s="5">
        <v>45483</v>
      </c>
      <c r="J890" s="4" t="s">
        <v>40</v>
      </c>
      <c r="K890" s="5">
        <v>45648</v>
      </c>
      <c r="L890" s="4" t="s">
        <v>66</v>
      </c>
      <c r="M890" s="6">
        <v>14754</v>
      </c>
      <c r="N890" s="6">
        <v>1003</v>
      </c>
      <c r="O890" s="4" t="s">
        <v>32</v>
      </c>
      <c r="P890" s="4" t="s">
        <v>32</v>
      </c>
      <c r="Q890" s="4" t="s">
        <v>94</v>
      </c>
      <c r="R890" s="4" t="s">
        <v>94</v>
      </c>
      <c r="S890" s="4" t="s">
        <v>34</v>
      </c>
      <c r="T890" s="7">
        <v>14.709899999999999</v>
      </c>
      <c r="U890" s="8">
        <v>165</v>
      </c>
      <c r="V890" s="8">
        <v>2024</v>
      </c>
      <c r="W890" s="4" t="s">
        <v>89</v>
      </c>
    </row>
    <row r="891" spans="1:23" s="9" customFormat="1" ht="15.75" hidden="1" customHeight="1" x14ac:dyDescent="0.25">
      <c r="A891" s="10" t="s">
        <v>2731</v>
      </c>
      <c r="B891" s="10" t="s">
        <v>2732</v>
      </c>
      <c r="C891" s="10" t="s">
        <v>2733</v>
      </c>
      <c r="D891" s="21" t="s">
        <v>6089</v>
      </c>
      <c r="E891" s="10" t="s">
        <v>26</v>
      </c>
      <c r="F891" s="10" t="s">
        <v>56</v>
      </c>
      <c r="G891" s="10" t="s">
        <v>5</v>
      </c>
      <c r="H891" s="10" t="s">
        <v>118</v>
      </c>
      <c r="I891" s="11">
        <v>45251</v>
      </c>
      <c r="J891" s="10" t="s">
        <v>30</v>
      </c>
      <c r="K891" s="11">
        <v>45591</v>
      </c>
      <c r="L891" s="10" t="s">
        <v>59</v>
      </c>
      <c r="M891" s="12">
        <v>35948</v>
      </c>
      <c r="N891" s="12">
        <v>2799</v>
      </c>
      <c r="O891" s="10">
        <v>11</v>
      </c>
      <c r="P891" s="11">
        <v>45602</v>
      </c>
      <c r="Q891" s="10" t="s">
        <v>94</v>
      </c>
      <c r="R891" s="10" t="s">
        <v>94</v>
      </c>
      <c r="S891" s="10" t="s">
        <v>34</v>
      </c>
      <c r="T891" s="13">
        <v>12.8432</v>
      </c>
      <c r="U891" s="14">
        <v>340</v>
      </c>
      <c r="V891" s="14">
        <v>2024</v>
      </c>
      <c r="W891" s="10" t="s">
        <v>95</v>
      </c>
    </row>
    <row r="892" spans="1:23" s="9" customFormat="1" ht="15.75" hidden="1" customHeight="1" x14ac:dyDescent="0.25">
      <c r="A892" s="4" t="s">
        <v>2734</v>
      </c>
      <c r="B892" s="4" t="s">
        <v>2735</v>
      </c>
      <c r="C892" s="4" t="s">
        <v>2736</v>
      </c>
      <c r="D892" s="21" t="s">
        <v>6088</v>
      </c>
      <c r="E892" s="4" t="s">
        <v>87</v>
      </c>
      <c r="F892" s="4" t="s">
        <v>56</v>
      </c>
      <c r="G892" s="4" t="s">
        <v>28</v>
      </c>
      <c r="H892" s="4" t="s">
        <v>29</v>
      </c>
      <c r="I892" s="5">
        <v>45163</v>
      </c>
      <c r="J892" s="4" t="s">
        <v>30</v>
      </c>
      <c r="K892" s="5">
        <v>45443</v>
      </c>
      <c r="L892" s="4" t="s">
        <v>31</v>
      </c>
      <c r="M892" s="6">
        <v>16122</v>
      </c>
      <c r="N892" s="6">
        <v>8482</v>
      </c>
      <c r="O892" s="4" t="s">
        <v>32</v>
      </c>
      <c r="P892" s="4" t="s">
        <v>32</v>
      </c>
      <c r="Q892" s="4" t="s">
        <v>33</v>
      </c>
      <c r="R892" s="4" t="s">
        <v>33</v>
      </c>
      <c r="S892" s="4" t="s">
        <v>41</v>
      </c>
      <c r="T892" s="7">
        <v>1.9007000000000001</v>
      </c>
      <c r="U892" s="8">
        <v>280</v>
      </c>
      <c r="V892" s="8">
        <v>2024</v>
      </c>
      <c r="W892" s="4" t="s">
        <v>52</v>
      </c>
    </row>
    <row r="893" spans="1:23" s="9" customFormat="1" ht="15.75" hidden="1" customHeight="1" x14ac:dyDescent="0.25">
      <c r="A893" s="10" t="s">
        <v>2737</v>
      </c>
      <c r="B893" s="10" t="s">
        <v>2738</v>
      </c>
      <c r="C893" s="10" t="s">
        <v>2739</v>
      </c>
      <c r="D893" s="21" t="s">
        <v>6091</v>
      </c>
      <c r="E893" s="10" t="s">
        <v>87</v>
      </c>
      <c r="F893" s="10" t="s">
        <v>65</v>
      </c>
      <c r="G893" s="10" t="s">
        <v>5</v>
      </c>
      <c r="H893" s="10" t="s">
        <v>118</v>
      </c>
      <c r="I893" s="11">
        <v>45183</v>
      </c>
      <c r="J893" s="10" t="s">
        <v>30</v>
      </c>
      <c r="K893" s="11">
        <v>45543</v>
      </c>
      <c r="L893" s="10" t="s">
        <v>59</v>
      </c>
      <c r="M893" s="12">
        <v>17337</v>
      </c>
      <c r="N893" s="12">
        <v>5629</v>
      </c>
      <c r="O893" s="10">
        <v>30</v>
      </c>
      <c r="P893" s="11">
        <v>45573</v>
      </c>
      <c r="Q893" s="10" t="s">
        <v>33</v>
      </c>
      <c r="R893" s="10" t="s">
        <v>33</v>
      </c>
      <c r="S893" s="10" t="s">
        <v>60</v>
      </c>
      <c r="T893" s="13">
        <v>3.0798999999999999</v>
      </c>
      <c r="U893" s="14">
        <v>360</v>
      </c>
      <c r="V893" s="14">
        <v>2024</v>
      </c>
      <c r="W893" s="10" t="s">
        <v>168</v>
      </c>
    </row>
    <row r="894" spans="1:23" s="9" customFormat="1" ht="15.75" hidden="1" customHeight="1" x14ac:dyDescent="0.25">
      <c r="A894" s="4" t="s">
        <v>2740</v>
      </c>
      <c r="B894" s="4" t="s">
        <v>2741</v>
      </c>
      <c r="C894" s="4" t="s">
        <v>2742</v>
      </c>
      <c r="D894" s="21" t="s">
        <v>6086</v>
      </c>
      <c r="E894" s="4" t="s">
        <v>87</v>
      </c>
      <c r="F894" s="4" t="s">
        <v>56</v>
      </c>
      <c r="G894" s="4" t="s">
        <v>57</v>
      </c>
      <c r="H894" s="4" t="s">
        <v>161</v>
      </c>
      <c r="I894" s="5">
        <v>45308</v>
      </c>
      <c r="J894" s="4" t="s">
        <v>40</v>
      </c>
      <c r="K894" s="5">
        <v>45491</v>
      </c>
      <c r="L894" s="4" t="s">
        <v>31</v>
      </c>
      <c r="M894" s="6">
        <v>52419</v>
      </c>
      <c r="N894" s="6">
        <v>6450</v>
      </c>
      <c r="O894" s="4" t="s">
        <v>32</v>
      </c>
      <c r="P894" s="4" t="s">
        <v>32</v>
      </c>
      <c r="Q894" s="4" t="s">
        <v>33</v>
      </c>
      <c r="R894" s="4" t="s">
        <v>33</v>
      </c>
      <c r="S894" s="4" t="s">
        <v>60</v>
      </c>
      <c r="T894" s="7">
        <v>8.1270000000000007</v>
      </c>
      <c r="U894" s="8">
        <v>183</v>
      </c>
      <c r="V894" s="8">
        <v>2024</v>
      </c>
      <c r="W894" s="4" t="s">
        <v>42</v>
      </c>
    </row>
    <row r="895" spans="1:23" s="9" customFormat="1" ht="15.75" hidden="1" customHeight="1" x14ac:dyDescent="0.25">
      <c r="A895" s="10" t="s">
        <v>2743</v>
      </c>
      <c r="B895" s="10" t="s">
        <v>2744</v>
      </c>
      <c r="C895" s="10" t="s">
        <v>2745</v>
      </c>
      <c r="D895" s="21" t="s">
        <v>6088</v>
      </c>
      <c r="E895" s="10" t="s">
        <v>26</v>
      </c>
      <c r="F895" s="10" t="s">
        <v>56</v>
      </c>
      <c r="G895" s="10" t="s">
        <v>57</v>
      </c>
      <c r="H895" s="10" t="s">
        <v>58</v>
      </c>
      <c r="I895" s="11">
        <v>45359</v>
      </c>
      <c r="J895" s="10" t="s">
        <v>30</v>
      </c>
      <c r="K895" s="11">
        <v>45529</v>
      </c>
      <c r="L895" s="10" t="s">
        <v>31</v>
      </c>
      <c r="M895" s="12">
        <v>18295</v>
      </c>
      <c r="N895" s="12">
        <v>579</v>
      </c>
      <c r="O895" s="10" t="s">
        <v>32</v>
      </c>
      <c r="P895" s="10" t="s">
        <v>32</v>
      </c>
      <c r="Q895" s="10" t="s">
        <v>33</v>
      </c>
      <c r="R895" s="10" t="s">
        <v>33</v>
      </c>
      <c r="S895" s="10" t="s">
        <v>41</v>
      </c>
      <c r="T895" s="13">
        <v>31.5976</v>
      </c>
      <c r="U895" s="14">
        <v>170</v>
      </c>
      <c r="V895" s="14">
        <v>2024</v>
      </c>
      <c r="W895" s="10" t="s">
        <v>114</v>
      </c>
    </row>
    <row r="896" spans="1:23" s="9" customFormat="1" ht="15.75" hidden="1" customHeight="1" x14ac:dyDescent="0.25">
      <c r="A896" s="4" t="s">
        <v>2746</v>
      </c>
      <c r="B896" s="4" t="s">
        <v>2747</v>
      </c>
      <c r="C896" s="4" t="s">
        <v>2748</v>
      </c>
      <c r="D896" s="22" t="s">
        <v>6087</v>
      </c>
      <c r="E896" s="4" t="s">
        <v>26</v>
      </c>
      <c r="F896" s="4" t="s">
        <v>46</v>
      </c>
      <c r="G896" s="4" t="s">
        <v>57</v>
      </c>
      <c r="H896" s="4" t="s">
        <v>93</v>
      </c>
      <c r="I896" s="5">
        <v>45073</v>
      </c>
      <c r="J896" s="4" t="s">
        <v>40</v>
      </c>
      <c r="K896" s="5">
        <v>45406</v>
      </c>
      <c r="L896" s="4" t="s">
        <v>59</v>
      </c>
      <c r="M896" s="6">
        <v>16614</v>
      </c>
      <c r="N896" s="6">
        <v>2246</v>
      </c>
      <c r="O896" s="4">
        <v>8</v>
      </c>
      <c r="P896" s="5">
        <v>45414</v>
      </c>
      <c r="Q896" s="4" t="s">
        <v>33</v>
      </c>
      <c r="R896" s="4" t="s">
        <v>33</v>
      </c>
      <c r="S896" s="4" t="s">
        <v>41</v>
      </c>
      <c r="T896" s="7">
        <v>7.3971999999999998</v>
      </c>
      <c r="U896" s="8">
        <v>333</v>
      </c>
      <c r="V896" s="8">
        <v>2024</v>
      </c>
      <c r="W896" s="4" t="s">
        <v>47</v>
      </c>
    </row>
    <row r="897" spans="1:23" s="9" customFormat="1" ht="15.75" hidden="1" customHeight="1" x14ac:dyDescent="0.25">
      <c r="A897" s="10" t="s">
        <v>2749</v>
      </c>
      <c r="B897" s="10" t="s">
        <v>2750</v>
      </c>
      <c r="C897" s="10" t="s">
        <v>2751</v>
      </c>
      <c r="D897" s="22" t="s">
        <v>6087</v>
      </c>
      <c r="E897" s="10" t="s">
        <v>26</v>
      </c>
      <c r="F897" s="10" t="s">
        <v>27</v>
      </c>
      <c r="G897" s="10" t="s">
        <v>57</v>
      </c>
      <c r="H897" s="10" t="s">
        <v>29</v>
      </c>
      <c r="I897" s="11">
        <v>45322</v>
      </c>
      <c r="J897" s="10" t="s">
        <v>40</v>
      </c>
      <c r="K897" s="11">
        <v>45608</v>
      </c>
      <c r="L897" s="10" t="s">
        <v>59</v>
      </c>
      <c r="M897" s="12">
        <v>26320</v>
      </c>
      <c r="N897" s="12">
        <v>2723</v>
      </c>
      <c r="O897" s="10">
        <v>31</v>
      </c>
      <c r="P897" s="11">
        <v>45639</v>
      </c>
      <c r="Q897" s="10" t="s">
        <v>33</v>
      </c>
      <c r="R897" s="10" t="s">
        <v>33</v>
      </c>
      <c r="S897" s="10" t="s">
        <v>34</v>
      </c>
      <c r="T897" s="13">
        <v>9.6658000000000008</v>
      </c>
      <c r="U897" s="14">
        <v>286</v>
      </c>
      <c r="V897" s="14">
        <v>2024</v>
      </c>
      <c r="W897" s="10" t="s">
        <v>61</v>
      </c>
    </row>
    <row r="898" spans="1:23" s="9" customFormat="1" ht="15.75" hidden="1" customHeight="1" x14ac:dyDescent="0.25">
      <c r="A898" s="4" t="s">
        <v>2752</v>
      </c>
      <c r="B898" s="4" t="s">
        <v>2753</v>
      </c>
      <c r="C898" s="4" t="s">
        <v>2754</v>
      </c>
      <c r="D898" s="22" t="s">
        <v>6087</v>
      </c>
      <c r="E898" s="4" t="s">
        <v>87</v>
      </c>
      <c r="F898" s="4" t="s">
        <v>71</v>
      </c>
      <c r="G898" s="4" t="s">
        <v>57</v>
      </c>
      <c r="H898" s="4" t="s">
        <v>58</v>
      </c>
      <c r="I898" s="5">
        <v>45485</v>
      </c>
      <c r="J898" s="4" t="s">
        <v>40</v>
      </c>
      <c r="K898" s="5">
        <v>45634</v>
      </c>
      <c r="L898" s="4" t="s">
        <v>59</v>
      </c>
      <c r="M898" s="6">
        <v>15278</v>
      </c>
      <c r="N898" s="6">
        <v>5316</v>
      </c>
      <c r="O898" s="4">
        <v>40</v>
      </c>
      <c r="P898" s="5">
        <v>45674</v>
      </c>
      <c r="Q898" s="4" t="s">
        <v>94</v>
      </c>
      <c r="R898" s="4" t="s">
        <v>94</v>
      </c>
      <c r="S898" s="4" t="s">
        <v>34</v>
      </c>
      <c r="T898" s="7">
        <v>2.8740000000000001</v>
      </c>
      <c r="U898" s="8">
        <v>149</v>
      </c>
      <c r="V898" s="8">
        <v>2024</v>
      </c>
      <c r="W898" s="4" t="s">
        <v>89</v>
      </c>
    </row>
    <row r="899" spans="1:23" s="9" customFormat="1" ht="15.75" hidden="1" customHeight="1" x14ac:dyDescent="0.25">
      <c r="A899" s="10" t="s">
        <v>2755</v>
      </c>
      <c r="B899" s="10" t="s">
        <v>2756</v>
      </c>
      <c r="C899" s="10" t="s">
        <v>2757</v>
      </c>
      <c r="D899" s="22" t="s">
        <v>6090</v>
      </c>
      <c r="E899" s="10" t="s">
        <v>51</v>
      </c>
      <c r="F899" s="10" t="s">
        <v>27</v>
      </c>
      <c r="G899" s="10" t="s">
        <v>28</v>
      </c>
      <c r="H899" s="10" t="s">
        <v>118</v>
      </c>
      <c r="I899" s="11">
        <v>45271</v>
      </c>
      <c r="J899" s="10" t="s">
        <v>40</v>
      </c>
      <c r="K899" s="11">
        <v>45585</v>
      </c>
      <c r="L899" s="10" t="s">
        <v>59</v>
      </c>
      <c r="M899" s="12">
        <v>33207</v>
      </c>
      <c r="N899" s="12">
        <v>4541</v>
      </c>
      <c r="O899" s="10">
        <v>33</v>
      </c>
      <c r="P899" s="11">
        <v>45618</v>
      </c>
      <c r="Q899" s="10" t="s">
        <v>33</v>
      </c>
      <c r="R899" s="10" t="s">
        <v>33</v>
      </c>
      <c r="S899" s="10" t="s">
        <v>60</v>
      </c>
      <c r="T899" s="13">
        <v>7.3127000000000004</v>
      </c>
      <c r="U899" s="14">
        <v>314</v>
      </c>
      <c r="V899" s="14">
        <v>2024</v>
      </c>
      <c r="W899" s="10" t="s">
        <v>95</v>
      </c>
    </row>
    <row r="900" spans="1:23" s="9" customFormat="1" ht="15.75" hidden="1" customHeight="1" x14ac:dyDescent="0.25">
      <c r="A900" s="4" t="s">
        <v>2758</v>
      </c>
      <c r="B900" s="4" t="s">
        <v>2759</v>
      </c>
      <c r="C900" s="4" t="s">
        <v>2760</v>
      </c>
      <c r="D900" s="21" t="s">
        <v>6089</v>
      </c>
      <c r="E900" s="4" t="s">
        <v>87</v>
      </c>
      <c r="F900" s="4" t="s">
        <v>46</v>
      </c>
      <c r="G900" s="4" t="s">
        <v>28</v>
      </c>
      <c r="H900" s="4" t="s">
        <v>88</v>
      </c>
      <c r="I900" s="5">
        <v>45250</v>
      </c>
      <c r="J900" s="4" t="s">
        <v>30</v>
      </c>
      <c r="K900" s="5">
        <v>45416</v>
      </c>
      <c r="L900" s="4" t="s">
        <v>59</v>
      </c>
      <c r="M900" s="6">
        <v>64279</v>
      </c>
      <c r="N900" s="6">
        <v>6577</v>
      </c>
      <c r="O900" s="4">
        <v>4</v>
      </c>
      <c r="P900" s="5">
        <v>45420</v>
      </c>
      <c r="Q900" s="4" t="s">
        <v>33</v>
      </c>
      <c r="R900" s="4" t="s">
        <v>33</v>
      </c>
      <c r="S900" s="4" t="s">
        <v>34</v>
      </c>
      <c r="T900" s="7">
        <v>9.7733000000000008</v>
      </c>
      <c r="U900" s="8">
        <v>166</v>
      </c>
      <c r="V900" s="8">
        <v>2024</v>
      </c>
      <c r="W900" s="4" t="s">
        <v>52</v>
      </c>
    </row>
    <row r="901" spans="1:23" s="9" customFormat="1" ht="15.75" hidden="1" customHeight="1" x14ac:dyDescent="0.25">
      <c r="A901" s="10" t="s">
        <v>2761</v>
      </c>
      <c r="B901" s="10" t="s">
        <v>2762</v>
      </c>
      <c r="C901" s="10" t="s">
        <v>2763</v>
      </c>
      <c r="D901" s="21" t="s">
        <v>6091</v>
      </c>
      <c r="E901" s="10" t="s">
        <v>51</v>
      </c>
      <c r="F901" s="21" t="s">
        <v>6092</v>
      </c>
      <c r="G901" s="10" t="s">
        <v>28</v>
      </c>
      <c r="H901" s="10" t="s">
        <v>118</v>
      </c>
      <c r="I901" s="11">
        <v>45315</v>
      </c>
      <c r="J901" s="10" t="s">
        <v>30</v>
      </c>
      <c r="K901" s="11">
        <v>45443</v>
      </c>
      <c r="L901" s="10" t="s">
        <v>59</v>
      </c>
      <c r="M901" s="12">
        <v>3566</v>
      </c>
      <c r="N901" s="12">
        <v>8126</v>
      </c>
      <c r="O901" s="10">
        <v>5</v>
      </c>
      <c r="P901" s="11">
        <v>45448</v>
      </c>
      <c r="Q901" s="10" t="s">
        <v>94</v>
      </c>
      <c r="R901" s="10" t="s">
        <v>33</v>
      </c>
      <c r="S901" s="10" t="s">
        <v>34</v>
      </c>
      <c r="T901" s="13">
        <v>0.43880000000000002</v>
      </c>
      <c r="U901" s="14">
        <v>128</v>
      </c>
      <c r="V901" s="14">
        <v>2024</v>
      </c>
      <c r="W901" s="10" t="s">
        <v>52</v>
      </c>
    </row>
    <row r="902" spans="1:23" s="9" customFormat="1" ht="15.75" hidden="1" customHeight="1" x14ac:dyDescent="0.25">
      <c r="A902" s="4" t="s">
        <v>2764</v>
      </c>
      <c r="B902" s="4" t="s">
        <v>2765</v>
      </c>
      <c r="C902" s="4" t="s">
        <v>2766</v>
      </c>
      <c r="D902" s="22" t="s">
        <v>6090</v>
      </c>
      <c r="E902" s="4" t="s">
        <v>87</v>
      </c>
      <c r="F902" s="4" t="s">
        <v>56</v>
      </c>
      <c r="G902" s="4" t="s">
        <v>28</v>
      </c>
      <c r="H902" s="4" t="s">
        <v>39</v>
      </c>
      <c r="I902" s="5">
        <v>45288</v>
      </c>
      <c r="J902" s="4" t="s">
        <v>30</v>
      </c>
      <c r="K902" s="5">
        <v>45321</v>
      </c>
      <c r="L902" s="4" t="s">
        <v>59</v>
      </c>
      <c r="M902" s="6">
        <v>55400</v>
      </c>
      <c r="N902" s="6">
        <v>1713</v>
      </c>
      <c r="O902" s="4">
        <v>28</v>
      </c>
      <c r="P902" s="5">
        <v>45349</v>
      </c>
      <c r="Q902" s="4" t="s">
        <v>33</v>
      </c>
      <c r="R902" s="4" t="s">
        <v>33</v>
      </c>
      <c r="S902" s="4" t="s">
        <v>41</v>
      </c>
      <c r="T902" s="7">
        <v>32.340899999999998</v>
      </c>
      <c r="U902" s="8">
        <v>33</v>
      </c>
      <c r="V902" s="8">
        <v>2024</v>
      </c>
      <c r="W902" s="4" t="s">
        <v>73</v>
      </c>
    </row>
    <row r="903" spans="1:23" s="9" customFormat="1" ht="15.75" hidden="1" customHeight="1" x14ac:dyDescent="0.25">
      <c r="A903" s="10" t="s">
        <v>2767</v>
      </c>
      <c r="B903" s="10" t="s">
        <v>2768</v>
      </c>
      <c r="C903" s="10" t="s">
        <v>2769</v>
      </c>
      <c r="D903" s="22" t="s">
        <v>6087</v>
      </c>
      <c r="E903" s="10" t="s">
        <v>51</v>
      </c>
      <c r="F903" s="21" t="s">
        <v>6092</v>
      </c>
      <c r="G903" s="10" t="s">
        <v>28</v>
      </c>
      <c r="H903" s="10" t="s">
        <v>88</v>
      </c>
      <c r="I903" s="11">
        <v>45321</v>
      </c>
      <c r="J903" s="10" t="s">
        <v>30</v>
      </c>
      <c r="K903" s="11">
        <v>45595</v>
      </c>
      <c r="L903" s="10" t="s">
        <v>59</v>
      </c>
      <c r="M903" s="12">
        <v>4876</v>
      </c>
      <c r="N903" s="12">
        <v>8988</v>
      </c>
      <c r="O903" s="10">
        <v>18</v>
      </c>
      <c r="P903" s="11">
        <v>45613</v>
      </c>
      <c r="Q903" s="10" t="s">
        <v>33</v>
      </c>
      <c r="R903" s="10" t="s">
        <v>33</v>
      </c>
      <c r="S903" s="10" t="s">
        <v>60</v>
      </c>
      <c r="T903" s="13">
        <v>0.54249999999999998</v>
      </c>
      <c r="U903" s="14">
        <v>274</v>
      </c>
      <c r="V903" s="14">
        <v>2024</v>
      </c>
      <c r="W903" s="10" t="s">
        <v>95</v>
      </c>
    </row>
    <row r="904" spans="1:23" s="9" customFormat="1" ht="15.75" hidden="1" customHeight="1" x14ac:dyDescent="0.25">
      <c r="A904" s="4" t="s">
        <v>2770</v>
      </c>
      <c r="B904" s="4" t="s">
        <v>2771</v>
      </c>
      <c r="C904" s="4" t="s">
        <v>2772</v>
      </c>
      <c r="D904" s="21" t="s">
        <v>6089</v>
      </c>
      <c r="E904" s="4" t="s">
        <v>87</v>
      </c>
      <c r="F904" s="21" t="s">
        <v>6092</v>
      </c>
      <c r="G904" s="4" t="s">
        <v>57</v>
      </c>
      <c r="H904" s="4" t="s">
        <v>118</v>
      </c>
      <c r="I904" s="5">
        <v>45086</v>
      </c>
      <c r="J904" s="4" t="s">
        <v>40</v>
      </c>
      <c r="K904" s="5">
        <v>45343</v>
      </c>
      <c r="L904" s="4" t="s">
        <v>66</v>
      </c>
      <c r="M904" s="6">
        <v>45304</v>
      </c>
      <c r="N904" s="6">
        <v>2416</v>
      </c>
      <c r="O904" s="4" t="s">
        <v>32</v>
      </c>
      <c r="P904" s="4" t="s">
        <v>32</v>
      </c>
      <c r="Q904" s="4" t="s">
        <v>33</v>
      </c>
      <c r="R904" s="4" t="s">
        <v>33</v>
      </c>
      <c r="S904" s="4" t="s">
        <v>41</v>
      </c>
      <c r="T904" s="7">
        <v>18.7517</v>
      </c>
      <c r="U904" s="8">
        <v>257</v>
      </c>
      <c r="V904" s="8">
        <v>2024</v>
      </c>
      <c r="W904" s="4" t="s">
        <v>35</v>
      </c>
    </row>
    <row r="905" spans="1:23" s="9" customFormat="1" ht="15.75" hidden="1" customHeight="1" x14ac:dyDescent="0.25">
      <c r="A905" s="10" t="s">
        <v>2773</v>
      </c>
      <c r="B905" s="10" t="s">
        <v>2774</v>
      </c>
      <c r="C905" s="10" t="s">
        <v>2775</v>
      </c>
      <c r="D905" s="22" t="s">
        <v>6090</v>
      </c>
      <c r="E905" s="10" t="s">
        <v>87</v>
      </c>
      <c r="F905" s="10" t="s">
        <v>71</v>
      </c>
      <c r="G905" s="10" t="s">
        <v>28</v>
      </c>
      <c r="H905" s="10" t="s">
        <v>39</v>
      </c>
      <c r="I905" s="11">
        <v>45198</v>
      </c>
      <c r="J905" s="10" t="s">
        <v>40</v>
      </c>
      <c r="K905" s="11">
        <v>45430</v>
      </c>
      <c r="L905" s="10" t="s">
        <v>31</v>
      </c>
      <c r="M905" s="12">
        <v>13017</v>
      </c>
      <c r="N905" s="12">
        <v>2418</v>
      </c>
      <c r="O905" s="10" t="s">
        <v>32</v>
      </c>
      <c r="P905" s="10" t="s">
        <v>32</v>
      </c>
      <c r="Q905" s="10" t="s">
        <v>33</v>
      </c>
      <c r="R905" s="10" t="s">
        <v>33</v>
      </c>
      <c r="S905" s="10" t="s">
        <v>60</v>
      </c>
      <c r="T905" s="13">
        <v>5.3834</v>
      </c>
      <c r="U905" s="14">
        <v>232</v>
      </c>
      <c r="V905" s="14">
        <v>2024</v>
      </c>
      <c r="W905" s="10" t="s">
        <v>52</v>
      </c>
    </row>
    <row r="906" spans="1:23" s="9" customFormat="1" ht="15.75" hidden="1" customHeight="1" x14ac:dyDescent="0.25">
      <c r="A906" s="4" t="s">
        <v>2776</v>
      </c>
      <c r="B906" s="4" t="s">
        <v>2777</v>
      </c>
      <c r="C906" s="4" t="s">
        <v>2778</v>
      </c>
      <c r="D906" s="22" t="s">
        <v>6090</v>
      </c>
      <c r="E906" s="4" t="s">
        <v>51</v>
      </c>
      <c r="F906" s="4" t="s">
        <v>71</v>
      </c>
      <c r="G906" s="4" t="s">
        <v>57</v>
      </c>
      <c r="H906" s="4" t="s">
        <v>88</v>
      </c>
      <c r="I906" s="5">
        <v>45302</v>
      </c>
      <c r="J906" s="4" t="s">
        <v>40</v>
      </c>
      <c r="K906" s="5">
        <v>45421</v>
      </c>
      <c r="L906" s="4" t="s">
        <v>59</v>
      </c>
      <c r="M906" s="6">
        <v>7886</v>
      </c>
      <c r="N906" s="6">
        <v>7835</v>
      </c>
      <c r="O906" s="4">
        <v>14</v>
      </c>
      <c r="P906" s="5">
        <v>45435</v>
      </c>
      <c r="Q906" s="4" t="s">
        <v>33</v>
      </c>
      <c r="R906" s="4" t="s">
        <v>33</v>
      </c>
      <c r="S906" s="4" t="s">
        <v>60</v>
      </c>
      <c r="T906" s="7">
        <v>1.0065</v>
      </c>
      <c r="U906" s="8">
        <v>119</v>
      </c>
      <c r="V906" s="8">
        <v>2024</v>
      </c>
      <c r="W906" s="4" t="s">
        <v>52</v>
      </c>
    </row>
    <row r="907" spans="1:23" s="9" customFormat="1" ht="15.75" hidden="1" customHeight="1" x14ac:dyDescent="0.25">
      <c r="A907" s="10" t="s">
        <v>2779</v>
      </c>
      <c r="B907" s="10" t="s">
        <v>2780</v>
      </c>
      <c r="C907" s="10" t="s">
        <v>2781</v>
      </c>
      <c r="D907" s="21" t="s">
        <v>6086</v>
      </c>
      <c r="E907" s="10" t="s">
        <v>26</v>
      </c>
      <c r="F907" s="10" t="s">
        <v>46</v>
      </c>
      <c r="G907" s="10" t="s">
        <v>57</v>
      </c>
      <c r="H907" s="10" t="s">
        <v>93</v>
      </c>
      <c r="I907" s="11">
        <v>45249</v>
      </c>
      <c r="J907" s="10" t="s">
        <v>40</v>
      </c>
      <c r="K907" s="11">
        <v>45399</v>
      </c>
      <c r="L907" s="10" t="s">
        <v>59</v>
      </c>
      <c r="M907" s="12">
        <v>50730</v>
      </c>
      <c r="N907" s="12">
        <v>7129</v>
      </c>
      <c r="O907" s="10">
        <v>4</v>
      </c>
      <c r="P907" s="11">
        <v>45403</v>
      </c>
      <c r="Q907" s="10" t="s">
        <v>33</v>
      </c>
      <c r="R907" s="10" t="s">
        <v>33</v>
      </c>
      <c r="S907" s="10" t="s">
        <v>41</v>
      </c>
      <c r="T907" s="13">
        <v>7.1159999999999997</v>
      </c>
      <c r="U907" s="14">
        <v>150</v>
      </c>
      <c r="V907" s="14">
        <v>2024</v>
      </c>
      <c r="W907" s="10" t="s">
        <v>47</v>
      </c>
    </row>
    <row r="908" spans="1:23" s="9" customFormat="1" ht="15.75" hidden="1" customHeight="1" x14ac:dyDescent="0.25">
      <c r="A908" s="4" t="s">
        <v>2782</v>
      </c>
      <c r="B908" s="4" t="s">
        <v>2783</v>
      </c>
      <c r="C908" s="4" t="s">
        <v>2784</v>
      </c>
      <c r="D908" s="21" t="s">
        <v>6086</v>
      </c>
      <c r="E908" s="4" t="s">
        <v>26</v>
      </c>
      <c r="F908" s="4" t="s">
        <v>56</v>
      </c>
      <c r="G908" s="4" t="s">
        <v>28</v>
      </c>
      <c r="H908" s="4" t="s">
        <v>72</v>
      </c>
      <c r="I908" s="5">
        <v>45402</v>
      </c>
      <c r="J908" s="4" t="s">
        <v>40</v>
      </c>
      <c r="K908" s="5">
        <v>45656</v>
      </c>
      <c r="L908" s="4" t="s">
        <v>59</v>
      </c>
      <c r="M908" s="6">
        <v>33761</v>
      </c>
      <c r="N908" s="6">
        <v>2046</v>
      </c>
      <c r="O908" s="4">
        <v>14</v>
      </c>
      <c r="P908" s="5">
        <v>45670</v>
      </c>
      <c r="Q908" s="4" t="s">
        <v>33</v>
      </c>
      <c r="R908" s="4" t="s">
        <v>33</v>
      </c>
      <c r="S908" s="4" t="s">
        <v>41</v>
      </c>
      <c r="T908" s="7">
        <v>16.501000000000001</v>
      </c>
      <c r="U908" s="8">
        <v>254</v>
      </c>
      <c r="V908" s="8">
        <v>2024</v>
      </c>
      <c r="W908" s="4" t="s">
        <v>89</v>
      </c>
    </row>
    <row r="909" spans="1:23" s="9" customFormat="1" ht="15.75" hidden="1" customHeight="1" x14ac:dyDescent="0.25">
      <c r="A909" s="10" t="s">
        <v>2785</v>
      </c>
      <c r="B909" s="10" t="s">
        <v>2786</v>
      </c>
      <c r="C909" s="10" t="s">
        <v>2787</v>
      </c>
      <c r="D909" s="21" t="s">
        <v>6088</v>
      </c>
      <c r="E909" s="10" t="s">
        <v>87</v>
      </c>
      <c r="F909" s="10" t="s">
        <v>71</v>
      </c>
      <c r="G909" s="10" t="s">
        <v>5</v>
      </c>
      <c r="H909" s="10" t="s">
        <v>161</v>
      </c>
      <c r="I909" s="11">
        <v>45105</v>
      </c>
      <c r="J909" s="10" t="s">
        <v>40</v>
      </c>
      <c r="K909" s="11">
        <v>45377</v>
      </c>
      <c r="L909" s="10" t="s">
        <v>66</v>
      </c>
      <c r="M909" s="12">
        <v>36925</v>
      </c>
      <c r="N909" s="12">
        <v>8912</v>
      </c>
      <c r="O909" s="10" t="s">
        <v>32</v>
      </c>
      <c r="P909" s="10" t="s">
        <v>32</v>
      </c>
      <c r="Q909" s="10" t="s">
        <v>33</v>
      </c>
      <c r="R909" s="10" t="s">
        <v>33</v>
      </c>
      <c r="S909" s="10" t="s">
        <v>60</v>
      </c>
      <c r="T909" s="13">
        <v>4.1433</v>
      </c>
      <c r="U909" s="14">
        <v>272</v>
      </c>
      <c r="V909" s="14">
        <v>2024</v>
      </c>
      <c r="W909" s="10" t="s">
        <v>77</v>
      </c>
    </row>
    <row r="910" spans="1:23" s="9" customFormat="1" ht="15.75" hidden="1" customHeight="1" x14ac:dyDescent="0.25">
      <c r="A910" s="4" t="s">
        <v>2788</v>
      </c>
      <c r="B910" s="4" t="s">
        <v>2789</v>
      </c>
      <c r="C910" s="4" t="s">
        <v>2790</v>
      </c>
      <c r="D910" s="22" t="s">
        <v>6090</v>
      </c>
      <c r="E910" s="4" t="s">
        <v>51</v>
      </c>
      <c r="F910" s="4" t="s">
        <v>56</v>
      </c>
      <c r="G910" s="4" t="s">
        <v>28</v>
      </c>
      <c r="H910" s="4" t="s">
        <v>29</v>
      </c>
      <c r="I910" s="5">
        <v>45233</v>
      </c>
      <c r="J910" s="4" t="s">
        <v>40</v>
      </c>
      <c r="K910" s="5">
        <v>45586</v>
      </c>
      <c r="L910" s="4" t="s">
        <v>59</v>
      </c>
      <c r="M910" s="6">
        <v>43255</v>
      </c>
      <c r="N910" s="6">
        <v>2505</v>
      </c>
      <c r="O910" s="4">
        <v>36</v>
      </c>
      <c r="P910" s="5">
        <v>45622</v>
      </c>
      <c r="Q910" s="4" t="s">
        <v>33</v>
      </c>
      <c r="R910" s="4" t="s">
        <v>33</v>
      </c>
      <c r="S910" s="4" t="s">
        <v>41</v>
      </c>
      <c r="T910" s="7">
        <v>17.267499999999998</v>
      </c>
      <c r="U910" s="8">
        <v>353</v>
      </c>
      <c r="V910" s="8">
        <v>2024</v>
      </c>
      <c r="W910" s="4" t="s">
        <v>95</v>
      </c>
    </row>
    <row r="911" spans="1:23" s="9" customFormat="1" ht="15.75" hidden="1" customHeight="1" x14ac:dyDescent="0.25">
      <c r="A911" s="10" t="s">
        <v>2791</v>
      </c>
      <c r="B911" s="10" t="s">
        <v>2792</v>
      </c>
      <c r="C911" s="10" t="s">
        <v>2793</v>
      </c>
      <c r="D911" s="22" t="s">
        <v>6090</v>
      </c>
      <c r="E911" s="10" t="s">
        <v>51</v>
      </c>
      <c r="F911" s="10" t="s">
        <v>65</v>
      </c>
      <c r="G911" s="10" t="s">
        <v>5</v>
      </c>
      <c r="H911" s="10" t="s">
        <v>72</v>
      </c>
      <c r="I911" s="11">
        <v>45238</v>
      </c>
      <c r="J911" s="10" t="s">
        <v>40</v>
      </c>
      <c r="K911" s="11">
        <v>45301</v>
      </c>
      <c r="L911" s="10" t="s">
        <v>31</v>
      </c>
      <c r="M911" s="12">
        <v>57382</v>
      </c>
      <c r="N911" s="12">
        <v>4011</v>
      </c>
      <c r="O911" s="10" t="s">
        <v>32</v>
      </c>
      <c r="P911" s="10" t="s">
        <v>32</v>
      </c>
      <c r="Q911" s="10" t="s">
        <v>33</v>
      </c>
      <c r="R911" s="10" t="s">
        <v>33</v>
      </c>
      <c r="S911" s="10" t="s">
        <v>60</v>
      </c>
      <c r="T911" s="13">
        <v>14.3062</v>
      </c>
      <c r="U911" s="14">
        <v>63</v>
      </c>
      <c r="V911" s="14">
        <v>2024</v>
      </c>
      <c r="W911" s="10" t="s">
        <v>73</v>
      </c>
    </row>
    <row r="912" spans="1:23" s="9" customFormat="1" ht="15.75" hidden="1" customHeight="1" x14ac:dyDescent="0.25">
      <c r="A912" s="4" t="s">
        <v>2794</v>
      </c>
      <c r="B912" s="4" t="s">
        <v>2795</v>
      </c>
      <c r="C912" s="4" t="s">
        <v>2796</v>
      </c>
      <c r="D912" s="21" t="s">
        <v>6086</v>
      </c>
      <c r="E912" s="4" t="s">
        <v>51</v>
      </c>
      <c r="F912" s="4" t="s">
        <v>56</v>
      </c>
      <c r="G912" s="4" t="s">
        <v>5</v>
      </c>
      <c r="H912" s="4" t="s">
        <v>88</v>
      </c>
      <c r="I912" s="5">
        <v>45216</v>
      </c>
      <c r="J912" s="4" t="s">
        <v>30</v>
      </c>
      <c r="K912" s="5">
        <v>45345</v>
      </c>
      <c r="L912" s="4" t="s">
        <v>31</v>
      </c>
      <c r="M912" s="6">
        <v>24018</v>
      </c>
      <c r="N912" s="6">
        <v>4898</v>
      </c>
      <c r="O912" s="4" t="s">
        <v>32</v>
      </c>
      <c r="P912" s="4" t="s">
        <v>32</v>
      </c>
      <c r="Q912" s="4" t="s">
        <v>94</v>
      </c>
      <c r="R912" s="4" t="s">
        <v>33</v>
      </c>
      <c r="S912" s="4" t="s">
        <v>60</v>
      </c>
      <c r="T912" s="7">
        <v>4.9036</v>
      </c>
      <c r="U912" s="8">
        <v>129</v>
      </c>
      <c r="V912" s="8">
        <v>2024</v>
      </c>
      <c r="W912" s="4" t="s">
        <v>35</v>
      </c>
    </row>
    <row r="913" spans="1:23" s="9" customFormat="1" ht="15.75" hidden="1" customHeight="1" x14ac:dyDescent="0.25">
      <c r="A913" s="10" t="s">
        <v>2797</v>
      </c>
      <c r="B913" s="10" t="s">
        <v>2798</v>
      </c>
      <c r="C913" s="10" t="s">
        <v>2799</v>
      </c>
      <c r="D913" s="21" t="s">
        <v>6089</v>
      </c>
      <c r="E913" s="10" t="s">
        <v>51</v>
      </c>
      <c r="F913" s="10" t="s">
        <v>71</v>
      </c>
      <c r="G913" s="10" t="s">
        <v>57</v>
      </c>
      <c r="H913" s="10" t="s">
        <v>39</v>
      </c>
      <c r="I913" s="11">
        <v>45414</v>
      </c>
      <c r="J913" s="10" t="s">
        <v>40</v>
      </c>
      <c r="K913" s="11">
        <v>45607</v>
      </c>
      <c r="L913" s="10" t="s">
        <v>59</v>
      </c>
      <c r="M913" s="12">
        <v>49883</v>
      </c>
      <c r="N913" s="12">
        <v>2846</v>
      </c>
      <c r="O913" s="10">
        <v>15</v>
      </c>
      <c r="P913" s="11">
        <v>45622</v>
      </c>
      <c r="Q913" s="10" t="s">
        <v>33</v>
      </c>
      <c r="R913" s="10" t="s">
        <v>33</v>
      </c>
      <c r="S913" s="10" t="s">
        <v>41</v>
      </c>
      <c r="T913" s="13">
        <v>17.5274</v>
      </c>
      <c r="U913" s="14">
        <v>193</v>
      </c>
      <c r="V913" s="14">
        <v>2024</v>
      </c>
      <c r="W913" s="10" t="s">
        <v>61</v>
      </c>
    </row>
    <row r="914" spans="1:23" s="9" customFormat="1" ht="15.75" hidden="1" customHeight="1" x14ac:dyDescent="0.25">
      <c r="A914" s="4" t="s">
        <v>2800</v>
      </c>
      <c r="B914" s="4" t="s">
        <v>2801</v>
      </c>
      <c r="C914" s="4" t="s">
        <v>2802</v>
      </c>
      <c r="D914" s="22" t="s">
        <v>6087</v>
      </c>
      <c r="E914" s="4" t="s">
        <v>87</v>
      </c>
      <c r="F914" s="4" t="s">
        <v>65</v>
      </c>
      <c r="G914" s="4" t="s">
        <v>28</v>
      </c>
      <c r="H914" s="4" t="s">
        <v>58</v>
      </c>
      <c r="I914" s="5">
        <v>45090</v>
      </c>
      <c r="J914" s="4" t="s">
        <v>30</v>
      </c>
      <c r="K914" s="5">
        <v>45433</v>
      </c>
      <c r="L914" s="4" t="s">
        <v>59</v>
      </c>
      <c r="M914" s="6">
        <v>24452</v>
      </c>
      <c r="N914" s="6">
        <v>6792</v>
      </c>
      <c r="O914" s="4">
        <v>33</v>
      </c>
      <c r="P914" s="5">
        <v>45466</v>
      </c>
      <c r="Q914" s="4" t="s">
        <v>33</v>
      </c>
      <c r="R914" s="4" t="s">
        <v>33</v>
      </c>
      <c r="S914" s="4" t="s">
        <v>34</v>
      </c>
      <c r="T914" s="7">
        <v>3.6000999999999999</v>
      </c>
      <c r="U914" s="8">
        <v>343</v>
      </c>
      <c r="V914" s="8">
        <v>2024</v>
      </c>
      <c r="W914" s="4" t="s">
        <v>52</v>
      </c>
    </row>
    <row r="915" spans="1:23" s="9" customFormat="1" ht="15.75" hidden="1" customHeight="1" x14ac:dyDescent="0.25">
      <c r="A915" s="10" t="s">
        <v>2803</v>
      </c>
      <c r="B915" s="10" t="s">
        <v>2804</v>
      </c>
      <c r="C915" s="10" t="s">
        <v>2805</v>
      </c>
      <c r="D915" s="22" t="s">
        <v>6087</v>
      </c>
      <c r="E915" s="10" t="s">
        <v>87</v>
      </c>
      <c r="F915" s="10" t="s">
        <v>56</v>
      </c>
      <c r="G915" s="10" t="s">
        <v>5</v>
      </c>
      <c r="H915" s="10" t="s">
        <v>39</v>
      </c>
      <c r="I915" s="11">
        <v>45314</v>
      </c>
      <c r="J915" s="10" t="s">
        <v>30</v>
      </c>
      <c r="K915" s="11">
        <v>45367</v>
      </c>
      <c r="L915" s="10" t="s">
        <v>31</v>
      </c>
      <c r="M915" s="12">
        <v>27307</v>
      </c>
      <c r="N915" s="12">
        <v>4090</v>
      </c>
      <c r="O915" s="10" t="s">
        <v>32</v>
      </c>
      <c r="P915" s="10" t="s">
        <v>32</v>
      </c>
      <c r="Q915" s="10" t="s">
        <v>33</v>
      </c>
      <c r="R915" s="10" t="s">
        <v>33</v>
      </c>
      <c r="S915" s="10" t="s">
        <v>41</v>
      </c>
      <c r="T915" s="13">
        <v>6.6764999999999999</v>
      </c>
      <c r="U915" s="14">
        <v>53</v>
      </c>
      <c r="V915" s="14">
        <v>2024</v>
      </c>
      <c r="W915" s="10" t="s">
        <v>77</v>
      </c>
    </row>
    <row r="916" spans="1:23" s="9" customFormat="1" ht="15.75" hidden="1" customHeight="1" x14ac:dyDescent="0.25">
      <c r="A916" s="4" t="s">
        <v>2806</v>
      </c>
      <c r="B916" s="4" t="s">
        <v>2807</v>
      </c>
      <c r="C916" s="4" t="s">
        <v>2808</v>
      </c>
      <c r="D916" s="21" t="s">
        <v>6086</v>
      </c>
      <c r="E916" s="4" t="s">
        <v>51</v>
      </c>
      <c r="F916" s="4" t="s">
        <v>46</v>
      </c>
      <c r="G916" s="4" t="s">
        <v>5</v>
      </c>
      <c r="H916" s="4" t="s">
        <v>58</v>
      </c>
      <c r="I916" s="5">
        <v>45055</v>
      </c>
      <c r="J916" s="4" t="s">
        <v>40</v>
      </c>
      <c r="K916" s="5">
        <v>45348</v>
      </c>
      <c r="L916" s="4" t="s">
        <v>59</v>
      </c>
      <c r="M916" s="6">
        <v>70517</v>
      </c>
      <c r="N916" s="6">
        <v>7462</v>
      </c>
      <c r="O916" s="4">
        <v>32</v>
      </c>
      <c r="P916" s="5">
        <v>45380</v>
      </c>
      <c r="Q916" s="4" t="s">
        <v>33</v>
      </c>
      <c r="R916" s="4" t="s">
        <v>33</v>
      </c>
      <c r="S916" s="4" t="s">
        <v>60</v>
      </c>
      <c r="T916" s="7">
        <v>9.4501000000000008</v>
      </c>
      <c r="U916" s="8">
        <v>293</v>
      </c>
      <c r="V916" s="8">
        <v>2024</v>
      </c>
      <c r="W916" s="4" t="s">
        <v>35</v>
      </c>
    </row>
    <row r="917" spans="1:23" s="9" customFormat="1" ht="15.75" hidden="1" customHeight="1" x14ac:dyDescent="0.25">
      <c r="A917" s="10" t="s">
        <v>2809</v>
      </c>
      <c r="B917" s="10" t="s">
        <v>2810</v>
      </c>
      <c r="C917" s="10" t="s">
        <v>2811</v>
      </c>
      <c r="D917" s="21" t="s">
        <v>6086</v>
      </c>
      <c r="E917" s="10" t="s">
        <v>87</v>
      </c>
      <c r="F917" s="10" t="s">
        <v>56</v>
      </c>
      <c r="G917" s="10" t="s">
        <v>28</v>
      </c>
      <c r="H917" s="10" t="s">
        <v>72</v>
      </c>
      <c r="I917" s="11">
        <v>45322</v>
      </c>
      <c r="J917" s="10" t="s">
        <v>40</v>
      </c>
      <c r="K917" s="11">
        <v>45600</v>
      </c>
      <c r="L917" s="10" t="s">
        <v>66</v>
      </c>
      <c r="M917" s="12">
        <v>16177</v>
      </c>
      <c r="N917" s="12">
        <v>1313</v>
      </c>
      <c r="O917" s="10" t="s">
        <v>32</v>
      </c>
      <c r="P917" s="10" t="s">
        <v>32</v>
      </c>
      <c r="Q917" s="10" t="s">
        <v>33</v>
      </c>
      <c r="R917" s="10" t="s">
        <v>33</v>
      </c>
      <c r="S917" s="10" t="s">
        <v>41</v>
      </c>
      <c r="T917" s="13">
        <v>12.320600000000001</v>
      </c>
      <c r="U917" s="14">
        <v>278</v>
      </c>
      <c r="V917" s="14">
        <v>2024</v>
      </c>
      <c r="W917" s="10" t="s">
        <v>61</v>
      </c>
    </row>
    <row r="918" spans="1:23" s="9" customFormat="1" ht="15.75" hidden="1" customHeight="1" x14ac:dyDescent="0.25">
      <c r="A918" s="4" t="s">
        <v>2812</v>
      </c>
      <c r="B918" s="4" t="s">
        <v>2813</v>
      </c>
      <c r="C918" s="4" t="s">
        <v>2814</v>
      </c>
      <c r="D918" s="21" t="s">
        <v>6088</v>
      </c>
      <c r="E918" s="4" t="s">
        <v>51</v>
      </c>
      <c r="F918" s="4" t="s">
        <v>27</v>
      </c>
      <c r="G918" s="4" t="s">
        <v>5</v>
      </c>
      <c r="H918" s="4" t="s">
        <v>72</v>
      </c>
      <c r="I918" s="5">
        <v>45173</v>
      </c>
      <c r="J918" s="4" t="s">
        <v>30</v>
      </c>
      <c r="K918" s="5">
        <v>45418</v>
      </c>
      <c r="L918" s="4" t="s">
        <v>31</v>
      </c>
      <c r="M918" s="6">
        <v>21951</v>
      </c>
      <c r="N918" s="6">
        <v>8096</v>
      </c>
      <c r="O918" s="4" t="s">
        <v>32</v>
      </c>
      <c r="P918" s="4" t="s">
        <v>32</v>
      </c>
      <c r="Q918" s="4" t="s">
        <v>33</v>
      </c>
      <c r="R918" s="4" t="s">
        <v>33</v>
      </c>
      <c r="S918" s="4" t="s">
        <v>60</v>
      </c>
      <c r="T918" s="7">
        <v>2.7113</v>
      </c>
      <c r="U918" s="8">
        <v>245</v>
      </c>
      <c r="V918" s="8">
        <v>2024</v>
      </c>
      <c r="W918" s="4" t="s">
        <v>52</v>
      </c>
    </row>
    <row r="919" spans="1:23" s="9" customFormat="1" ht="15.75" hidden="1" customHeight="1" x14ac:dyDescent="0.25">
      <c r="A919" s="10" t="s">
        <v>2815</v>
      </c>
      <c r="B919" s="10" t="s">
        <v>2816</v>
      </c>
      <c r="C919" s="10" t="s">
        <v>2817</v>
      </c>
      <c r="D919" s="22" t="s">
        <v>6087</v>
      </c>
      <c r="E919" s="10" t="s">
        <v>51</v>
      </c>
      <c r="F919" s="21" t="s">
        <v>6092</v>
      </c>
      <c r="G919" s="10" t="s">
        <v>5</v>
      </c>
      <c r="H919" s="10" t="s">
        <v>88</v>
      </c>
      <c r="I919" s="11">
        <v>45105</v>
      </c>
      <c r="J919" s="10" t="s">
        <v>40</v>
      </c>
      <c r="K919" s="11">
        <v>45300</v>
      </c>
      <c r="L919" s="10" t="s">
        <v>66</v>
      </c>
      <c r="M919" s="12">
        <v>23172</v>
      </c>
      <c r="N919" s="12">
        <v>5399</v>
      </c>
      <c r="O919" s="10" t="s">
        <v>32</v>
      </c>
      <c r="P919" s="10" t="s">
        <v>32</v>
      </c>
      <c r="Q919" s="10" t="s">
        <v>33</v>
      </c>
      <c r="R919" s="10" t="s">
        <v>33</v>
      </c>
      <c r="S919" s="10" t="s">
        <v>60</v>
      </c>
      <c r="T919" s="13">
        <v>4.2919</v>
      </c>
      <c r="U919" s="14">
        <v>195</v>
      </c>
      <c r="V919" s="14">
        <v>2024</v>
      </c>
      <c r="W919" s="10" t="s">
        <v>73</v>
      </c>
    </row>
    <row r="920" spans="1:23" s="9" customFormat="1" ht="15.75" hidden="1" customHeight="1" x14ac:dyDescent="0.25">
      <c r="A920" s="4" t="s">
        <v>2818</v>
      </c>
      <c r="B920" s="4" t="s">
        <v>2819</v>
      </c>
      <c r="C920" s="4" t="s">
        <v>2820</v>
      </c>
      <c r="D920" s="22" t="s">
        <v>6090</v>
      </c>
      <c r="E920" s="4" t="s">
        <v>26</v>
      </c>
      <c r="F920" s="4" t="s">
        <v>71</v>
      </c>
      <c r="G920" s="4" t="s">
        <v>28</v>
      </c>
      <c r="H920" s="4" t="s">
        <v>161</v>
      </c>
      <c r="I920" s="5">
        <v>45318</v>
      </c>
      <c r="J920" s="4" t="s">
        <v>30</v>
      </c>
      <c r="K920" s="5">
        <v>45541</v>
      </c>
      <c r="L920" s="4" t="s">
        <v>59</v>
      </c>
      <c r="M920" s="6">
        <v>49579</v>
      </c>
      <c r="N920" s="6">
        <v>7213</v>
      </c>
      <c r="O920" s="4">
        <v>20</v>
      </c>
      <c r="P920" s="5">
        <v>45561</v>
      </c>
      <c r="Q920" s="4" t="s">
        <v>33</v>
      </c>
      <c r="R920" s="4" t="s">
        <v>33</v>
      </c>
      <c r="S920" s="4" t="s">
        <v>41</v>
      </c>
      <c r="T920" s="7">
        <v>6.8735999999999997</v>
      </c>
      <c r="U920" s="8">
        <v>223</v>
      </c>
      <c r="V920" s="8">
        <v>2024</v>
      </c>
      <c r="W920" s="4" t="s">
        <v>168</v>
      </c>
    </row>
    <row r="921" spans="1:23" s="9" customFormat="1" ht="15.75" hidden="1" customHeight="1" x14ac:dyDescent="0.25">
      <c r="A921" s="10" t="s">
        <v>2821</v>
      </c>
      <c r="B921" s="10" t="s">
        <v>2822</v>
      </c>
      <c r="C921" s="10" t="s">
        <v>2823</v>
      </c>
      <c r="D921" s="22" t="s">
        <v>6090</v>
      </c>
      <c r="E921" s="10" t="s">
        <v>51</v>
      </c>
      <c r="F921" s="10" t="s">
        <v>56</v>
      </c>
      <c r="G921" s="10" t="s">
        <v>5</v>
      </c>
      <c r="H921" s="10" t="s">
        <v>39</v>
      </c>
      <c r="I921" s="11">
        <v>45386</v>
      </c>
      <c r="J921" s="10" t="s">
        <v>30</v>
      </c>
      <c r="K921" s="11">
        <v>45418</v>
      </c>
      <c r="L921" s="10" t="s">
        <v>59</v>
      </c>
      <c r="M921" s="12">
        <v>54024</v>
      </c>
      <c r="N921" s="12">
        <v>2736</v>
      </c>
      <c r="O921" s="10">
        <v>43</v>
      </c>
      <c r="P921" s="11">
        <v>45461</v>
      </c>
      <c r="Q921" s="10" t="s">
        <v>33</v>
      </c>
      <c r="R921" s="10" t="s">
        <v>33</v>
      </c>
      <c r="S921" s="10" t="s">
        <v>41</v>
      </c>
      <c r="T921" s="13">
        <v>19.7456</v>
      </c>
      <c r="U921" s="14">
        <v>32</v>
      </c>
      <c r="V921" s="14">
        <v>2024</v>
      </c>
      <c r="W921" s="10" t="s">
        <v>52</v>
      </c>
    </row>
    <row r="922" spans="1:23" s="9" customFormat="1" ht="15.75" hidden="1" customHeight="1" x14ac:dyDescent="0.25">
      <c r="A922" s="4" t="s">
        <v>2824</v>
      </c>
      <c r="B922" s="4" t="s">
        <v>2825</v>
      </c>
      <c r="C922" s="4" t="s">
        <v>2826</v>
      </c>
      <c r="D922" s="22" t="s">
        <v>6087</v>
      </c>
      <c r="E922" s="4" t="s">
        <v>87</v>
      </c>
      <c r="F922" s="4" t="s">
        <v>71</v>
      </c>
      <c r="G922" s="4" t="s">
        <v>5</v>
      </c>
      <c r="H922" s="4" t="s">
        <v>118</v>
      </c>
      <c r="I922" s="5">
        <v>45255</v>
      </c>
      <c r="J922" s="4" t="s">
        <v>30</v>
      </c>
      <c r="K922" s="5">
        <v>45405</v>
      </c>
      <c r="L922" s="4" t="s">
        <v>59</v>
      </c>
      <c r="M922" s="6">
        <v>20996</v>
      </c>
      <c r="N922" s="6">
        <v>6743</v>
      </c>
      <c r="O922" s="4">
        <v>20</v>
      </c>
      <c r="P922" s="5">
        <v>45425</v>
      </c>
      <c r="Q922" s="4" t="s">
        <v>33</v>
      </c>
      <c r="R922" s="4" t="s">
        <v>33</v>
      </c>
      <c r="S922" s="4" t="s">
        <v>41</v>
      </c>
      <c r="T922" s="7">
        <v>3.1137000000000001</v>
      </c>
      <c r="U922" s="8">
        <v>150</v>
      </c>
      <c r="V922" s="8">
        <v>2024</v>
      </c>
      <c r="W922" s="4" t="s">
        <v>47</v>
      </c>
    </row>
    <row r="923" spans="1:23" s="9" customFormat="1" ht="15.75" hidden="1" customHeight="1" x14ac:dyDescent="0.25">
      <c r="A923" s="10" t="s">
        <v>2827</v>
      </c>
      <c r="B923" s="10" t="s">
        <v>2828</v>
      </c>
      <c r="C923" s="10" t="s">
        <v>2829</v>
      </c>
      <c r="D923" s="22" t="s">
        <v>6090</v>
      </c>
      <c r="E923" s="10" t="s">
        <v>87</v>
      </c>
      <c r="F923" s="10" t="s">
        <v>56</v>
      </c>
      <c r="G923" s="10" t="s">
        <v>28</v>
      </c>
      <c r="H923" s="10" t="s">
        <v>39</v>
      </c>
      <c r="I923" s="11">
        <v>45109</v>
      </c>
      <c r="J923" s="10" t="s">
        <v>40</v>
      </c>
      <c r="K923" s="11">
        <v>45439</v>
      </c>
      <c r="L923" s="10" t="s">
        <v>59</v>
      </c>
      <c r="M923" s="12">
        <v>59969</v>
      </c>
      <c r="N923" s="12">
        <v>685</v>
      </c>
      <c r="O923" s="10">
        <v>29</v>
      </c>
      <c r="P923" s="11">
        <v>45468</v>
      </c>
      <c r="Q923" s="10" t="s">
        <v>33</v>
      </c>
      <c r="R923" s="10" t="s">
        <v>33</v>
      </c>
      <c r="S923" s="10" t="s">
        <v>41</v>
      </c>
      <c r="T923" s="13">
        <v>87.546000000000006</v>
      </c>
      <c r="U923" s="14">
        <v>330</v>
      </c>
      <c r="V923" s="14">
        <v>2024</v>
      </c>
      <c r="W923" s="10" t="s">
        <v>52</v>
      </c>
    </row>
    <row r="924" spans="1:23" s="9" customFormat="1" ht="15.75" hidden="1" customHeight="1" x14ac:dyDescent="0.25">
      <c r="A924" s="4" t="s">
        <v>2830</v>
      </c>
      <c r="B924" s="4" t="s">
        <v>2831</v>
      </c>
      <c r="C924" s="4" t="s">
        <v>2832</v>
      </c>
      <c r="D924" s="21" t="s">
        <v>6091</v>
      </c>
      <c r="E924" s="4" t="s">
        <v>26</v>
      </c>
      <c r="F924" s="4" t="s">
        <v>56</v>
      </c>
      <c r="G924" s="4" t="s">
        <v>5</v>
      </c>
      <c r="H924" s="4" t="s">
        <v>29</v>
      </c>
      <c r="I924" s="5">
        <v>45369</v>
      </c>
      <c r="J924" s="4" t="s">
        <v>40</v>
      </c>
      <c r="K924" s="5">
        <v>45514</v>
      </c>
      <c r="L924" s="4" t="s">
        <v>59</v>
      </c>
      <c r="M924" s="6">
        <v>8025</v>
      </c>
      <c r="N924" s="6">
        <v>1085</v>
      </c>
      <c r="O924" s="4">
        <v>40</v>
      </c>
      <c r="P924" s="5">
        <v>45554</v>
      </c>
      <c r="Q924" s="4" t="s">
        <v>33</v>
      </c>
      <c r="R924" s="4" t="s">
        <v>33</v>
      </c>
      <c r="S924" s="4" t="s">
        <v>60</v>
      </c>
      <c r="T924" s="7">
        <v>7.3963000000000001</v>
      </c>
      <c r="U924" s="8">
        <v>145</v>
      </c>
      <c r="V924" s="8">
        <v>2024</v>
      </c>
      <c r="W924" s="4" t="s">
        <v>114</v>
      </c>
    </row>
    <row r="925" spans="1:23" s="9" customFormat="1" ht="15.75" hidden="1" customHeight="1" x14ac:dyDescent="0.25">
      <c r="A925" s="10" t="s">
        <v>2833</v>
      </c>
      <c r="B925" s="10" t="s">
        <v>2834</v>
      </c>
      <c r="C925" s="10" t="s">
        <v>2835</v>
      </c>
      <c r="D925" s="21" t="s">
        <v>6089</v>
      </c>
      <c r="E925" s="10" t="s">
        <v>26</v>
      </c>
      <c r="F925" s="21" t="s">
        <v>6092</v>
      </c>
      <c r="G925" s="10" t="s">
        <v>5</v>
      </c>
      <c r="H925" s="10" t="s">
        <v>118</v>
      </c>
      <c r="I925" s="11">
        <v>45405</v>
      </c>
      <c r="J925" s="10" t="s">
        <v>30</v>
      </c>
      <c r="K925" s="11">
        <v>45443</v>
      </c>
      <c r="L925" s="10" t="s">
        <v>31</v>
      </c>
      <c r="M925" s="12">
        <v>40052</v>
      </c>
      <c r="N925" s="12">
        <v>1791</v>
      </c>
      <c r="O925" s="10" t="s">
        <v>32</v>
      </c>
      <c r="P925" s="10" t="s">
        <v>32</v>
      </c>
      <c r="Q925" s="10" t="s">
        <v>33</v>
      </c>
      <c r="R925" s="10" t="s">
        <v>33</v>
      </c>
      <c r="S925" s="10" t="s">
        <v>60</v>
      </c>
      <c r="T925" s="13">
        <v>22.3629</v>
      </c>
      <c r="U925" s="14">
        <v>38</v>
      </c>
      <c r="V925" s="14">
        <v>2024</v>
      </c>
      <c r="W925" s="10" t="s">
        <v>52</v>
      </c>
    </row>
    <row r="926" spans="1:23" s="9" customFormat="1" ht="15.75" hidden="1" customHeight="1" x14ac:dyDescent="0.25">
      <c r="A926" s="4" t="s">
        <v>2836</v>
      </c>
      <c r="B926" s="4" t="s">
        <v>2837</v>
      </c>
      <c r="C926" s="4" t="s">
        <v>2838</v>
      </c>
      <c r="D926" s="22" t="s">
        <v>6087</v>
      </c>
      <c r="E926" s="4" t="s">
        <v>26</v>
      </c>
      <c r="F926" s="4" t="s">
        <v>27</v>
      </c>
      <c r="G926" s="4" t="s">
        <v>5</v>
      </c>
      <c r="H926" s="4" t="s">
        <v>161</v>
      </c>
      <c r="I926" s="5">
        <v>45082</v>
      </c>
      <c r="J926" s="4" t="s">
        <v>40</v>
      </c>
      <c r="K926" s="5">
        <v>45405</v>
      </c>
      <c r="L926" s="4" t="s">
        <v>59</v>
      </c>
      <c r="M926" s="6">
        <v>35205</v>
      </c>
      <c r="N926" s="6">
        <v>4548</v>
      </c>
      <c r="O926" s="4">
        <v>17</v>
      </c>
      <c r="P926" s="5">
        <v>45422</v>
      </c>
      <c r="Q926" s="4" t="s">
        <v>33</v>
      </c>
      <c r="R926" s="4" t="s">
        <v>33</v>
      </c>
      <c r="S926" s="4" t="s">
        <v>41</v>
      </c>
      <c r="T926" s="7">
        <v>7.7408000000000001</v>
      </c>
      <c r="U926" s="8">
        <v>323</v>
      </c>
      <c r="V926" s="8">
        <v>2024</v>
      </c>
      <c r="W926" s="4" t="s">
        <v>47</v>
      </c>
    </row>
    <row r="927" spans="1:23" s="9" customFormat="1" ht="15.75" hidden="1" customHeight="1" x14ac:dyDescent="0.25">
      <c r="A927" s="10" t="s">
        <v>2839</v>
      </c>
      <c r="B927" s="10" t="s">
        <v>2840</v>
      </c>
      <c r="C927" s="10" t="s">
        <v>2841</v>
      </c>
      <c r="D927" s="22" t="s">
        <v>6090</v>
      </c>
      <c r="E927" s="10" t="s">
        <v>87</v>
      </c>
      <c r="F927" s="10" t="s">
        <v>46</v>
      </c>
      <c r="G927" s="10" t="s">
        <v>28</v>
      </c>
      <c r="H927" s="10" t="s">
        <v>161</v>
      </c>
      <c r="I927" s="11">
        <v>45437</v>
      </c>
      <c r="J927" s="10" t="s">
        <v>40</v>
      </c>
      <c r="K927" s="11">
        <v>45472</v>
      </c>
      <c r="L927" s="10" t="s">
        <v>59</v>
      </c>
      <c r="M927" s="12">
        <v>36932</v>
      </c>
      <c r="N927" s="12">
        <v>8710</v>
      </c>
      <c r="O927" s="10">
        <v>16</v>
      </c>
      <c r="P927" s="11">
        <v>45488</v>
      </c>
      <c r="Q927" s="10" t="s">
        <v>33</v>
      </c>
      <c r="R927" s="10" t="s">
        <v>33</v>
      </c>
      <c r="S927" s="10" t="s">
        <v>34</v>
      </c>
      <c r="T927" s="13">
        <v>4.2401999999999997</v>
      </c>
      <c r="U927" s="14">
        <v>35</v>
      </c>
      <c r="V927" s="14">
        <v>2024</v>
      </c>
      <c r="W927" s="10" t="s">
        <v>67</v>
      </c>
    </row>
    <row r="928" spans="1:23" s="9" customFormat="1" ht="15.75" hidden="1" customHeight="1" x14ac:dyDescent="0.25">
      <c r="A928" s="4" t="s">
        <v>2842</v>
      </c>
      <c r="B928" s="4" t="s">
        <v>2843</v>
      </c>
      <c r="C928" s="4" t="s">
        <v>2844</v>
      </c>
      <c r="D928" s="21" t="s">
        <v>6086</v>
      </c>
      <c r="E928" s="4" t="s">
        <v>87</v>
      </c>
      <c r="F928" s="4" t="s">
        <v>65</v>
      </c>
      <c r="G928" s="4" t="s">
        <v>28</v>
      </c>
      <c r="H928" s="4" t="s">
        <v>93</v>
      </c>
      <c r="I928" s="5">
        <v>45079</v>
      </c>
      <c r="J928" s="4" t="s">
        <v>30</v>
      </c>
      <c r="K928" s="5">
        <v>45332</v>
      </c>
      <c r="L928" s="4" t="s">
        <v>31</v>
      </c>
      <c r="M928" s="6">
        <v>71131</v>
      </c>
      <c r="N928" s="6">
        <v>3406</v>
      </c>
      <c r="O928" s="4" t="s">
        <v>32</v>
      </c>
      <c r="P928" s="4" t="s">
        <v>32</v>
      </c>
      <c r="Q928" s="4" t="s">
        <v>33</v>
      </c>
      <c r="R928" s="4" t="s">
        <v>33</v>
      </c>
      <c r="S928" s="4" t="s">
        <v>34</v>
      </c>
      <c r="T928" s="7">
        <v>20.884</v>
      </c>
      <c r="U928" s="8">
        <v>253</v>
      </c>
      <c r="V928" s="8">
        <v>2024</v>
      </c>
      <c r="W928" s="4" t="s">
        <v>35</v>
      </c>
    </row>
    <row r="929" spans="1:23" s="9" customFormat="1" ht="15.75" hidden="1" customHeight="1" x14ac:dyDescent="0.25">
      <c r="A929" s="10" t="s">
        <v>2845</v>
      </c>
      <c r="B929" s="10" t="s">
        <v>2846</v>
      </c>
      <c r="C929" s="10" t="s">
        <v>2847</v>
      </c>
      <c r="D929" s="21" t="s">
        <v>6089</v>
      </c>
      <c r="E929" s="10" t="s">
        <v>87</v>
      </c>
      <c r="F929" s="21" t="s">
        <v>6092</v>
      </c>
      <c r="G929" s="10" t="s">
        <v>5</v>
      </c>
      <c r="H929" s="10" t="s">
        <v>93</v>
      </c>
      <c r="I929" s="11">
        <v>45559</v>
      </c>
      <c r="J929" s="10" t="s">
        <v>30</v>
      </c>
      <c r="K929" s="11">
        <v>45652</v>
      </c>
      <c r="L929" s="10" t="s">
        <v>59</v>
      </c>
      <c r="M929" s="12">
        <v>52232</v>
      </c>
      <c r="N929" s="12">
        <v>6393</v>
      </c>
      <c r="O929" s="10">
        <v>35</v>
      </c>
      <c r="P929" s="11">
        <v>45687</v>
      </c>
      <c r="Q929" s="10" t="s">
        <v>33</v>
      </c>
      <c r="R929" s="10" t="s">
        <v>33</v>
      </c>
      <c r="S929" s="10" t="s">
        <v>60</v>
      </c>
      <c r="T929" s="13">
        <v>8.1701999999999995</v>
      </c>
      <c r="U929" s="14">
        <v>93</v>
      </c>
      <c r="V929" s="14">
        <v>2024</v>
      </c>
      <c r="W929" s="10" t="s">
        <v>89</v>
      </c>
    </row>
    <row r="930" spans="1:23" s="9" customFormat="1" ht="15.75" hidden="1" customHeight="1" x14ac:dyDescent="0.25">
      <c r="A930" s="4" t="s">
        <v>2848</v>
      </c>
      <c r="B930" s="4" t="s">
        <v>2849</v>
      </c>
      <c r="C930" s="4" t="s">
        <v>2850</v>
      </c>
      <c r="D930" s="21" t="s">
        <v>6086</v>
      </c>
      <c r="E930" s="4" t="s">
        <v>87</v>
      </c>
      <c r="F930" s="21" t="s">
        <v>6092</v>
      </c>
      <c r="G930" s="4" t="s">
        <v>57</v>
      </c>
      <c r="H930" s="4" t="s">
        <v>93</v>
      </c>
      <c r="I930" s="5">
        <v>45196</v>
      </c>
      <c r="J930" s="4" t="s">
        <v>30</v>
      </c>
      <c r="K930" s="5">
        <v>45359</v>
      </c>
      <c r="L930" s="4" t="s">
        <v>59</v>
      </c>
      <c r="M930" s="6">
        <v>59672</v>
      </c>
      <c r="N930" s="6">
        <v>3808</v>
      </c>
      <c r="O930" s="4">
        <v>9</v>
      </c>
      <c r="P930" s="5">
        <v>45368</v>
      </c>
      <c r="Q930" s="4" t="s">
        <v>94</v>
      </c>
      <c r="R930" s="4" t="s">
        <v>33</v>
      </c>
      <c r="S930" s="4" t="s">
        <v>41</v>
      </c>
      <c r="T930" s="7">
        <v>15.670199999999999</v>
      </c>
      <c r="U930" s="8">
        <v>163</v>
      </c>
      <c r="V930" s="8">
        <v>2024</v>
      </c>
      <c r="W930" s="4" t="s">
        <v>77</v>
      </c>
    </row>
    <row r="931" spans="1:23" s="9" customFormat="1" ht="15.75" hidden="1" customHeight="1" x14ac:dyDescent="0.25">
      <c r="A931" s="10" t="s">
        <v>2851</v>
      </c>
      <c r="B931" s="10" t="s">
        <v>2852</v>
      </c>
      <c r="C931" s="10" t="s">
        <v>2853</v>
      </c>
      <c r="D931" s="22" t="s">
        <v>6087</v>
      </c>
      <c r="E931" s="10" t="s">
        <v>26</v>
      </c>
      <c r="F931" s="10" t="s">
        <v>71</v>
      </c>
      <c r="G931" s="10" t="s">
        <v>28</v>
      </c>
      <c r="H931" s="10" t="s">
        <v>161</v>
      </c>
      <c r="I931" s="11">
        <v>45134</v>
      </c>
      <c r="J931" s="10" t="s">
        <v>40</v>
      </c>
      <c r="K931" s="11">
        <v>45453</v>
      </c>
      <c r="L931" s="10" t="s">
        <v>31</v>
      </c>
      <c r="M931" s="12">
        <v>26225</v>
      </c>
      <c r="N931" s="12">
        <v>6504</v>
      </c>
      <c r="O931" s="10" t="s">
        <v>32</v>
      </c>
      <c r="P931" s="10" t="s">
        <v>32</v>
      </c>
      <c r="Q931" s="10" t="s">
        <v>33</v>
      </c>
      <c r="R931" s="10" t="s">
        <v>33</v>
      </c>
      <c r="S931" s="10" t="s">
        <v>60</v>
      </c>
      <c r="T931" s="13">
        <v>4.0320999999999998</v>
      </c>
      <c r="U931" s="14">
        <v>319</v>
      </c>
      <c r="V931" s="14">
        <v>2024</v>
      </c>
      <c r="W931" s="10" t="s">
        <v>67</v>
      </c>
    </row>
    <row r="932" spans="1:23" s="9" customFormat="1" ht="15.75" hidden="1" customHeight="1" x14ac:dyDescent="0.25">
      <c r="A932" s="4" t="s">
        <v>2854</v>
      </c>
      <c r="B932" s="4" t="s">
        <v>2855</v>
      </c>
      <c r="C932" s="4" t="s">
        <v>2856</v>
      </c>
      <c r="D932" s="21" t="s">
        <v>6088</v>
      </c>
      <c r="E932" s="4" t="s">
        <v>51</v>
      </c>
      <c r="F932" s="4" t="s">
        <v>65</v>
      </c>
      <c r="G932" s="4" t="s">
        <v>28</v>
      </c>
      <c r="H932" s="4" t="s">
        <v>118</v>
      </c>
      <c r="I932" s="5">
        <v>45223</v>
      </c>
      <c r="J932" s="4" t="s">
        <v>40</v>
      </c>
      <c r="K932" s="5">
        <v>45397</v>
      </c>
      <c r="L932" s="4" t="s">
        <v>31</v>
      </c>
      <c r="M932" s="6">
        <v>50080</v>
      </c>
      <c r="N932" s="6">
        <v>5449</v>
      </c>
      <c r="O932" s="4" t="s">
        <v>32</v>
      </c>
      <c r="P932" s="4" t="s">
        <v>32</v>
      </c>
      <c r="Q932" s="4" t="s">
        <v>33</v>
      </c>
      <c r="R932" s="4" t="s">
        <v>33</v>
      </c>
      <c r="S932" s="4" t="s">
        <v>41</v>
      </c>
      <c r="T932" s="7">
        <v>9.1906999999999996</v>
      </c>
      <c r="U932" s="8">
        <v>174</v>
      </c>
      <c r="V932" s="8">
        <v>2024</v>
      </c>
      <c r="W932" s="4" t="s">
        <v>47</v>
      </c>
    </row>
    <row r="933" spans="1:23" s="9" customFormat="1" ht="15.75" hidden="1" customHeight="1" x14ac:dyDescent="0.25">
      <c r="A933" s="10" t="s">
        <v>2857</v>
      </c>
      <c r="B933" s="10" t="s">
        <v>2858</v>
      </c>
      <c r="C933" s="10" t="s">
        <v>2859</v>
      </c>
      <c r="D933" s="22" t="s">
        <v>6087</v>
      </c>
      <c r="E933" s="10" t="s">
        <v>87</v>
      </c>
      <c r="F933" s="10" t="s">
        <v>27</v>
      </c>
      <c r="G933" s="10" t="s">
        <v>5</v>
      </c>
      <c r="H933" s="10" t="s">
        <v>93</v>
      </c>
      <c r="I933" s="11">
        <v>45300</v>
      </c>
      <c r="J933" s="10" t="s">
        <v>30</v>
      </c>
      <c r="K933" s="11">
        <v>45365</v>
      </c>
      <c r="L933" s="10" t="s">
        <v>59</v>
      </c>
      <c r="M933" s="12">
        <v>3026</v>
      </c>
      <c r="N933" s="12">
        <v>6607</v>
      </c>
      <c r="O933" s="10">
        <v>17</v>
      </c>
      <c r="P933" s="11">
        <v>45382</v>
      </c>
      <c r="Q933" s="10" t="s">
        <v>33</v>
      </c>
      <c r="R933" s="10" t="s">
        <v>33</v>
      </c>
      <c r="S933" s="10" t="s">
        <v>34</v>
      </c>
      <c r="T933" s="13">
        <v>0.45800000000000002</v>
      </c>
      <c r="U933" s="14">
        <v>65</v>
      </c>
      <c r="V933" s="14">
        <v>2024</v>
      </c>
      <c r="W933" s="10" t="s">
        <v>77</v>
      </c>
    </row>
    <row r="934" spans="1:23" s="9" customFormat="1" ht="15.75" hidden="1" customHeight="1" x14ac:dyDescent="0.25">
      <c r="A934" s="4" t="s">
        <v>2860</v>
      </c>
      <c r="B934" s="4" t="s">
        <v>2861</v>
      </c>
      <c r="C934" s="4" t="s">
        <v>2862</v>
      </c>
      <c r="D934" s="22" t="s">
        <v>6087</v>
      </c>
      <c r="E934" s="4" t="s">
        <v>87</v>
      </c>
      <c r="F934" s="4" t="s">
        <v>27</v>
      </c>
      <c r="G934" s="4" t="s">
        <v>28</v>
      </c>
      <c r="H934" s="4" t="s">
        <v>29</v>
      </c>
      <c r="I934" s="5">
        <v>45585</v>
      </c>
      <c r="J934" s="4" t="s">
        <v>40</v>
      </c>
      <c r="K934" s="5">
        <v>45653</v>
      </c>
      <c r="L934" s="4" t="s">
        <v>59</v>
      </c>
      <c r="M934" s="6">
        <v>22400</v>
      </c>
      <c r="N934" s="6">
        <v>3861</v>
      </c>
      <c r="O934" s="4">
        <v>31</v>
      </c>
      <c r="P934" s="5">
        <v>45684</v>
      </c>
      <c r="Q934" s="4" t="s">
        <v>33</v>
      </c>
      <c r="R934" s="4" t="s">
        <v>33</v>
      </c>
      <c r="S934" s="4" t="s">
        <v>60</v>
      </c>
      <c r="T934" s="7">
        <v>5.8015999999999996</v>
      </c>
      <c r="U934" s="8">
        <v>68</v>
      </c>
      <c r="V934" s="8">
        <v>2024</v>
      </c>
      <c r="W934" s="4" t="s">
        <v>89</v>
      </c>
    </row>
    <row r="935" spans="1:23" s="9" customFormat="1" ht="27.75" customHeight="1" x14ac:dyDescent="0.25">
      <c r="A935" s="10" t="s">
        <v>2863</v>
      </c>
      <c r="B935" s="10" t="s">
        <v>2864</v>
      </c>
      <c r="C935" s="10" t="s">
        <v>2865</v>
      </c>
      <c r="D935" s="22" t="s">
        <v>6090</v>
      </c>
      <c r="E935" s="10" t="s">
        <v>87</v>
      </c>
      <c r="F935" s="10" t="s">
        <v>6092</v>
      </c>
      <c r="G935" s="10" t="s">
        <v>57</v>
      </c>
      <c r="H935" s="10" t="s">
        <v>58</v>
      </c>
      <c r="I935" s="11">
        <v>45449</v>
      </c>
      <c r="J935" s="10" t="s">
        <v>40</v>
      </c>
      <c r="K935" s="11">
        <v>45657</v>
      </c>
      <c r="L935" s="10" t="s">
        <v>59</v>
      </c>
      <c r="M935" s="12">
        <v>37043</v>
      </c>
      <c r="N935" s="12">
        <v>4842</v>
      </c>
      <c r="O935" s="10">
        <v>18</v>
      </c>
      <c r="P935" s="11">
        <v>45675</v>
      </c>
      <c r="Q935" s="10" t="s">
        <v>94</v>
      </c>
      <c r="R935" s="10" t="s">
        <v>94</v>
      </c>
      <c r="S935" s="10" t="s">
        <v>60</v>
      </c>
      <c r="T935" s="13">
        <v>7.6504000000000003</v>
      </c>
      <c r="U935" s="14">
        <v>208</v>
      </c>
      <c r="V935" s="14">
        <v>2024</v>
      </c>
      <c r="W935" s="10" t="s">
        <v>89</v>
      </c>
    </row>
    <row r="936" spans="1:23" s="9" customFormat="1" ht="15.75" hidden="1" customHeight="1" x14ac:dyDescent="0.25">
      <c r="A936" s="4" t="s">
        <v>2866</v>
      </c>
      <c r="B936" s="4" t="s">
        <v>2867</v>
      </c>
      <c r="C936" s="4" t="s">
        <v>2868</v>
      </c>
      <c r="D936" s="21" t="s">
        <v>6088</v>
      </c>
      <c r="E936" s="4" t="s">
        <v>26</v>
      </c>
      <c r="F936" s="4" t="s">
        <v>56</v>
      </c>
      <c r="G936" s="4" t="s">
        <v>57</v>
      </c>
      <c r="H936" s="4" t="s">
        <v>161</v>
      </c>
      <c r="I936" s="5">
        <v>45090</v>
      </c>
      <c r="J936" s="4" t="s">
        <v>30</v>
      </c>
      <c r="K936" s="5">
        <v>45295</v>
      </c>
      <c r="L936" s="4" t="s">
        <v>59</v>
      </c>
      <c r="M936" s="6">
        <v>19774</v>
      </c>
      <c r="N936" s="6">
        <v>4856</v>
      </c>
      <c r="O936" s="4">
        <v>39</v>
      </c>
      <c r="P936" s="5">
        <v>45334</v>
      </c>
      <c r="Q936" s="4" t="s">
        <v>33</v>
      </c>
      <c r="R936" s="4" t="s">
        <v>33</v>
      </c>
      <c r="S936" s="4" t="s">
        <v>60</v>
      </c>
      <c r="T936" s="7">
        <v>4.0720999999999998</v>
      </c>
      <c r="U936" s="8">
        <v>205</v>
      </c>
      <c r="V936" s="8">
        <v>2024</v>
      </c>
      <c r="W936" s="4" t="s">
        <v>73</v>
      </c>
    </row>
    <row r="937" spans="1:23" s="9" customFormat="1" ht="15.75" hidden="1" customHeight="1" x14ac:dyDescent="0.25">
      <c r="A937" s="10" t="s">
        <v>2869</v>
      </c>
      <c r="B937" s="10" t="s">
        <v>2870</v>
      </c>
      <c r="C937" s="10" t="s">
        <v>2871</v>
      </c>
      <c r="D937" s="22" t="s">
        <v>6087</v>
      </c>
      <c r="E937" s="10" t="s">
        <v>26</v>
      </c>
      <c r="F937" s="10" t="s">
        <v>46</v>
      </c>
      <c r="G937" s="10" t="s">
        <v>28</v>
      </c>
      <c r="H937" s="10" t="s">
        <v>93</v>
      </c>
      <c r="I937" s="11">
        <v>45048</v>
      </c>
      <c r="J937" s="10" t="s">
        <v>40</v>
      </c>
      <c r="K937" s="11">
        <v>45326</v>
      </c>
      <c r="L937" s="10" t="s">
        <v>59</v>
      </c>
      <c r="M937" s="12">
        <v>8165</v>
      </c>
      <c r="N937" s="12">
        <v>2472</v>
      </c>
      <c r="O937" s="10">
        <v>28</v>
      </c>
      <c r="P937" s="11">
        <v>45354</v>
      </c>
      <c r="Q937" s="10" t="s">
        <v>33</v>
      </c>
      <c r="R937" s="10" t="s">
        <v>33</v>
      </c>
      <c r="S937" s="10" t="s">
        <v>60</v>
      </c>
      <c r="T937" s="13">
        <v>3.3029999999999999</v>
      </c>
      <c r="U937" s="14">
        <v>278</v>
      </c>
      <c r="V937" s="14">
        <v>2024</v>
      </c>
      <c r="W937" s="10" t="s">
        <v>35</v>
      </c>
    </row>
    <row r="938" spans="1:23" s="9" customFormat="1" ht="15.75" hidden="1" customHeight="1" x14ac:dyDescent="0.25">
      <c r="A938" s="4" t="s">
        <v>2872</v>
      </c>
      <c r="B938" s="4" t="s">
        <v>2873</v>
      </c>
      <c r="C938" s="4" t="s">
        <v>2874</v>
      </c>
      <c r="D938" s="22" t="s">
        <v>6087</v>
      </c>
      <c r="E938" s="4" t="s">
        <v>26</v>
      </c>
      <c r="F938" s="4" t="s">
        <v>71</v>
      </c>
      <c r="G938" s="4" t="s">
        <v>57</v>
      </c>
      <c r="H938" s="4" t="s">
        <v>118</v>
      </c>
      <c r="I938" s="5">
        <v>45118</v>
      </c>
      <c r="J938" s="4" t="s">
        <v>30</v>
      </c>
      <c r="K938" s="5">
        <v>45429</v>
      </c>
      <c r="L938" s="4" t="s">
        <v>59</v>
      </c>
      <c r="M938" s="6">
        <v>11841</v>
      </c>
      <c r="N938" s="6">
        <v>8326</v>
      </c>
      <c r="O938" s="4">
        <v>11</v>
      </c>
      <c r="P938" s="5">
        <v>45440</v>
      </c>
      <c r="Q938" s="4" t="s">
        <v>94</v>
      </c>
      <c r="R938" s="4" t="s">
        <v>94</v>
      </c>
      <c r="S938" s="4" t="s">
        <v>60</v>
      </c>
      <c r="T938" s="7">
        <v>1.4221999999999999</v>
      </c>
      <c r="U938" s="8">
        <v>311</v>
      </c>
      <c r="V938" s="8">
        <v>2024</v>
      </c>
      <c r="W938" s="4" t="s">
        <v>52</v>
      </c>
    </row>
    <row r="939" spans="1:23" s="9" customFormat="1" ht="15.75" hidden="1" customHeight="1" x14ac:dyDescent="0.25">
      <c r="A939" s="10" t="s">
        <v>2875</v>
      </c>
      <c r="B939" s="10" t="s">
        <v>2876</v>
      </c>
      <c r="C939" s="10" t="s">
        <v>2877</v>
      </c>
      <c r="D939" s="22" t="s">
        <v>6087</v>
      </c>
      <c r="E939" s="10" t="s">
        <v>87</v>
      </c>
      <c r="F939" s="10" t="s">
        <v>46</v>
      </c>
      <c r="G939" s="10" t="s">
        <v>28</v>
      </c>
      <c r="H939" s="10" t="s">
        <v>72</v>
      </c>
      <c r="I939" s="11">
        <v>45292</v>
      </c>
      <c r="J939" s="10" t="s">
        <v>30</v>
      </c>
      <c r="K939" s="11">
        <v>45649</v>
      </c>
      <c r="L939" s="10" t="s">
        <v>59</v>
      </c>
      <c r="M939" s="12">
        <v>10393</v>
      </c>
      <c r="N939" s="12">
        <v>4046</v>
      </c>
      <c r="O939" s="10">
        <v>28</v>
      </c>
      <c r="P939" s="11">
        <v>45677</v>
      </c>
      <c r="Q939" s="10" t="s">
        <v>33</v>
      </c>
      <c r="R939" s="10" t="s">
        <v>33</v>
      </c>
      <c r="S939" s="10" t="s">
        <v>60</v>
      </c>
      <c r="T939" s="13">
        <v>2.5687000000000002</v>
      </c>
      <c r="U939" s="14">
        <v>357</v>
      </c>
      <c r="V939" s="14">
        <v>2024</v>
      </c>
      <c r="W939" s="10" t="s">
        <v>89</v>
      </c>
    </row>
    <row r="940" spans="1:23" s="9" customFormat="1" ht="15.75" hidden="1" customHeight="1" x14ac:dyDescent="0.25">
      <c r="A940" s="4" t="s">
        <v>2878</v>
      </c>
      <c r="B940" s="4" t="s">
        <v>2879</v>
      </c>
      <c r="C940" s="4" t="s">
        <v>2880</v>
      </c>
      <c r="D940" s="21" t="s">
        <v>6088</v>
      </c>
      <c r="E940" s="4" t="s">
        <v>26</v>
      </c>
      <c r="F940" s="4" t="s">
        <v>71</v>
      </c>
      <c r="G940" s="4" t="s">
        <v>5</v>
      </c>
      <c r="H940" s="4" t="s">
        <v>161</v>
      </c>
      <c r="I940" s="5">
        <v>45167</v>
      </c>
      <c r="J940" s="4" t="s">
        <v>30</v>
      </c>
      <c r="K940" s="5">
        <v>45384</v>
      </c>
      <c r="L940" s="4" t="s">
        <v>66</v>
      </c>
      <c r="M940" s="6">
        <v>11702</v>
      </c>
      <c r="N940" s="6">
        <v>6566</v>
      </c>
      <c r="O940" s="4" t="s">
        <v>32</v>
      </c>
      <c r="P940" s="4" t="s">
        <v>32</v>
      </c>
      <c r="Q940" s="4" t="s">
        <v>33</v>
      </c>
      <c r="R940" s="4" t="s">
        <v>33</v>
      </c>
      <c r="S940" s="4" t="s">
        <v>41</v>
      </c>
      <c r="T940" s="7">
        <v>1.7822</v>
      </c>
      <c r="U940" s="8">
        <v>217</v>
      </c>
      <c r="V940" s="8">
        <v>2024</v>
      </c>
      <c r="W940" s="4" t="s">
        <v>47</v>
      </c>
    </row>
    <row r="941" spans="1:23" s="9" customFormat="1" ht="15.75" hidden="1" customHeight="1" x14ac:dyDescent="0.25">
      <c r="A941" s="10" t="s">
        <v>2881</v>
      </c>
      <c r="B941" s="10" t="s">
        <v>2882</v>
      </c>
      <c r="C941" s="10" t="s">
        <v>2883</v>
      </c>
      <c r="D941" s="22" t="s">
        <v>6090</v>
      </c>
      <c r="E941" s="10" t="s">
        <v>87</v>
      </c>
      <c r="F941" s="10" t="s">
        <v>46</v>
      </c>
      <c r="G941" s="10" t="s">
        <v>28</v>
      </c>
      <c r="H941" s="10" t="s">
        <v>93</v>
      </c>
      <c r="I941" s="11">
        <v>45236</v>
      </c>
      <c r="J941" s="10" t="s">
        <v>30</v>
      </c>
      <c r="K941" s="11">
        <v>45292</v>
      </c>
      <c r="L941" s="10" t="s">
        <v>59</v>
      </c>
      <c r="M941" s="12">
        <v>37698</v>
      </c>
      <c r="N941" s="12">
        <v>4506</v>
      </c>
      <c r="O941" s="10">
        <v>15</v>
      </c>
      <c r="P941" s="11">
        <v>45307</v>
      </c>
      <c r="Q941" s="10" t="s">
        <v>33</v>
      </c>
      <c r="R941" s="10" t="s">
        <v>33</v>
      </c>
      <c r="S941" s="10" t="s">
        <v>41</v>
      </c>
      <c r="T941" s="13">
        <v>8.3661999999999992</v>
      </c>
      <c r="U941" s="14">
        <v>56</v>
      </c>
      <c r="V941" s="14">
        <v>2024</v>
      </c>
      <c r="W941" s="10" t="s">
        <v>73</v>
      </c>
    </row>
    <row r="942" spans="1:23" s="9" customFormat="1" ht="15.75" hidden="1" customHeight="1" x14ac:dyDescent="0.25">
      <c r="A942" s="4" t="s">
        <v>2884</v>
      </c>
      <c r="B942" s="4" t="s">
        <v>2885</v>
      </c>
      <c r="C942" s="4" t="s">
        <v>2886</v>
      </c>
      <c r="D942" s="21" t="s">
        <v>6089</v>
      </c>
      <c r="E942" s="4" t="s">
        <v>87</v>
      </c>
      <c r="F942" s="4" t="s">
        <v>71</v>
      </c>
      <c r="G942" s="4" t="s">
        <v>5</v>
      </c>
      <c r="H942" s="4" t="s">
        <v>72</v>
      </c>
      <c r="I942" s="5">
        <v>45419</v>
      </c>
      <c r="J942" s="4" t="s">
        <v>30</v>
      </c>
      <c r="K942" s="5">
        <v>45654</v>
      </c>
      <c r="L942" s="4" t="s">
        <v>59</v>
      </c>
      <c r="M942" s="6">
        <v>43568</v>
      </c>
      <c r="N942" s="6">
        <v>8510</v>
      </c>
      <c r="O942" s="4">
        <v>3</v>
      </c>
      <c r="P942" s="5">
        <v>45657</v>
      </c>
      <c r="Q942" s="4" t="s">
        <v>33</v>
      </c>
      <c r="R942" s="4" t="s">
        <v>33</v>
      </c>
      <c r="S942" s="4" t="s">
        <v>41</v>
      </c>
      <c r="T942" s="7">
        <v>5.1196000000000002</v>
      </c>
      <c r="U942" s="8">
        <v>235</v>
      </c>
      <c r="V942" s="8">
        <v>2024</v>
      </c>
      <c r="W942" s="4" t="s">
        <v>89</v>
      </c>
    </row>
    <row r="943" spans="1:23" s="9" customFormat="1" ht="15.75" hidden="1" customHeight="1" x14ac:dyDescent="0.25">
      <c r="A943" s="10" t="s">
        <v>2887</v>
      </c>
      <c r="B943" s="10" t="s">
        <v>2888</v>
      </c>
      <c r="C943" s="10" t="s">
        <v>2889</v>
      </c>
      <c r="D943" s="21" t="s">
        <v>6088</v>
      </c>
      <c r="E943" s="10" t="s">
        <v>87</v>
      </c>
      <c r="F943" s="10" t="s">
        <v>27</v>
      </c>
      <c r="G943" s="10" t="s">
        <v>28</v>
      </c>
      <c r="H943" s="10" t="s">
        <v>29</v>
      </c>
      <c r="I943" s="11">
        <v>45146</v>
      </c>
      <c r="J943" s="10" t="s">
        <v>40</v>
      </c>
      <c r="K943" s="11">
        <v>45465</v>
      </c>
      <c r="L943" s="10" t="s">
        <v>66</v>
      </c>
      <c r="M943" s="12">
        <v>54985</v>
      </c>
      <c r="N943" s="12">
        <v>7054</v>
      </c>
      <c r="O943" s="10" t="s">
        <v>32</v>
      </c>
      <c r="P943" s="10" t="s">
        <v>32</v>
      </c>
      <c r="Q943" s="10" t="s">
        <v>33</v>
      </c>
      <c r="R943" s="10" t="s">
        <v>33</v>
      </c>
      <c r="S943" s="10" t="s">
        <v>60</v>
      </c>
      <c r="T943" s="13">
        <v>7.7949000000000002</v>
      </c>
      <c r="U943" s="14">
        <v>319</v>
      </c>
      <c r="V943" s="14">
        <v>2024</v>
      </c>
      <c r="W943" s="10" t="s">
        <v>67</v>
      </c>
    </row>
    <row r="944" spans="1:23" s="9" customFormat="1" ht="15.75" hidden="1" customHeight="1" x14ac:dyDescent="0.25">
      <c r="A944" s="4" t="s">
        <v>2890</v>
      </c>
      <c r="B944" s="4" t="s">
        <v>2891</v>
      </c>
      <c r="C944" s="4" t="s">
        <v>2892</v>
      </c>
      <c r="D944" s="22" t="s">
        <v>6087</v>
      </c>
      <c r="E944" s="4" t="s">
        <v>26</v>
      </c>
      <c r="F944" s="21" t="s">
        <v>6092</v>
      </c>
      <c r="G944" s="4" t="s">
        <v>57</v>
      </c>
      <c r="H944" s="4" t="s">
        <v>29</v>
      </c>
      <c r="I944" s="5">
        <v>45246</v>
      </c>
      <c r="J944" s="4" t="s">
        <v>40</v>
      </c>
      <c r="K944" s="5">
        <v>45537</v>
      </c>
      <c r="L944" s="4" t="s">
        <v>66</v>
      </c>
      <c r="M944" s="6">
        <v>21586</v>
      </c>
      <c r="N944" s="6">
        <v>7678</v>
      </c>
      <c r="O944" s="4" t="s">
        <v>32</v>
      </c>
      <c r="P944" s="4" t="s">
        <v>32</v>
      </c>
      <c r="Q944" s="4" t="s">
        <v>33</v>
      </c>
      <c r="R944" s="4" t="s">
        <v>33</v>
      </c>
      <c r="S944" s="4" t="s">
        <v>60</v>
      </c>
      <c r="T944" s="7">
        <v>2.8113999999999999</v>
      </c>
      <c r="U944" s="8">
        <v>291</v>
      </c>
      <c r="V944" s="8">
        <v>2024</v>
      </c>
      <c r="W944" s="4" t="s">
        <v>168</v>
      </c>
    </row>
    <row r="945" spans="1:23" s="9" customFormat="1" ht="15.75" hidden="1" customHeight="1" x14ac:dyDescent="0.25">
      <c r="A945" s="10" t="s">
        <v>2893</v>
      </c>
      <c r="B945" s="10" t="s">
        <v>2894</v>
      </c>
      <c r="C945" s="10" t="s">
        <v>2895</v>
      </c>
      <c r="D945" s="22" t="s">
        <v>6087</v>
      </c>
      <c r="E945" s="10" t="s">
        <v>51</v>
      </c>
      <c r="F945" s="10" t="s">
        <v>56</v>
      </c>
      <c r="G945" s="10" t="s">
        <v>57</v>
      </c>
      <c r="H945" s="10" t="s">
        <v>58</v>
      </c>
      <c r="I945" s="11">
        <v>45474</v>
      </c>
      <c r="J945" s="10" t="s">
        <v>30</v>
      </c>
      <c r="K945" s="11">
        <v>45509</v>
      </c>
      <c r="L945" s="10" t="s">
        <v>59</v>
      </c>
      <c r="M945" s="12">
        <v>29571</v>
      </c>
      <c r="N945" s="12">
        <v>1896</v>
      </c>
      <c r="O945" s="10">
        <v>30</v>
      </c>
      <c r="P945" s="11">
        <v>45539</v>
      </c>
      <c r="Q945" s="10" t="s">
        <v>94</v>
      </c>
      <c r="R945" s="10" t="s">
        <v>33</v>
      </c>
      <c r="S945" s="10" t="s">
        <v>41</v>
      </c>
      <c r="T945" s="13">
        <v>15.596500000000001</v>
      </c>
      <c r="U945" s="14">
        <v>35</v>
      </c>
      <c r="V945" s="14">
        <v>2024</v>
      </c>
      <c r="W945" s="10" t="s">
        <v>114</v>
      </c>
    </row>
    <row r="946" spans="1:23" s="9" customFormat="1" ht="15.75" hidden="1" customHeight="1" x14ac:dyDescent="0.25">
      <c r="A946" s="4" t="s">
        <v>2896</v>
      </c>
      <c r="B946" s="4" t="s">
        <v>2897</v>
      </c>
      <c r="C946" s="4" t="s">
        <v>2898</v>
      </c>
      <c r="D946" s="21" t="s">
        <v>6086</v>
      </c>
      <c r="E946" s="4" t="s">
        <v>87</v>
      </c>
      <c r="F946" s="21" t="s">
        <v>6092</v>
      </c>
      <c r="G946" s="4" t="s">
        <v>5</v>
      </c>
      <c r="H946" s="4" t="s">
        <v>39</v>
      </c>
      <c r="I946" s="5">
        <v>45042</v>
      </c>
      <c r="J946" s="4" t="s">
        <v>40</v>
      </c>
      <c r="K946" s="5">
        <v>45398</v>
      </c>
      <c r="L946" s="4" t="s">
        <v>59</v>
      </c>
      <c r="M946" s="6">
        <v>28526</v>
      </c>
      <c r="N946" s="6">
        <v>1770</v>
      </c>
      <c r="O946" s="4">
        <v>13</v>
      </c>
      <c r="P946" s="5">
        <v>45411</v>
      </c>
      <c r="Q946" s="4" t="s">
        <v>33</v>
      </c>
      <c r="R946" s="4" t="s">
        <v>33</v>
      </c>
      <c r="S946" s="4" t="s">
        <v>60</v>
      </c>
      <c r="T946" s="7">
        <v>16.116399999999999</v>
      </c>
      <c r="U946" s="8">
        <v>356</v>
      </c>
      <c r="V946" s="8">
        <v>2024</v>
      </c>
      <c r="W946" s="4" t="s">
        <v>47</v>
      </c>
    </row>
    <row r="947" spans="1:23" s="9" customFormat="1" ht="15.75" hidden="1" customHeight="1" x14ac:dyDescent="0.25">
      <c r="A947" s="10" t="s">
        <v>2899</v>
      </c>
      <c r="B947" s="10" t="s">
        <v>2900</v>
      </c>
      <c r="C947" s="10" t="s">
        <v>2901</v>
      </c>
      <c r="D947" s="22" t="s">
        <v>6090</v>
      </c>
      <c r="E947" s="10" t="s">
        <v>26</v>
      </c>
      <c r="F947" s="10" t="s">
        <v>71</v>
      </c>
      <c r="G947" s="10" t="s">
        <v>5</v>
      </c>
      <c r="H947" s="10" t="s">
        <v>39</v>
      </c>
      <c r="I947" s="11">
        <v>45335</v>
      </c>
      <c r="J947" s="10" t="s">
        <v>40</v>
      </c>
      <c r="K947" s="11">
        <v>45504</v>
      </c>
      <c r="L947" s="10" t="s">
        <v>59</v>
      </c>
      <c r="M947" s="12">
        <v>49781</v>
      </c>
      <c r="N947" s="12">
        <v>4485</v>
      </c>
      <c r="O947" s="10">
        <v>4</v>
      </c>
      <c r="P947" s="11">
        <v>45508</v>
      </c>
      <c r="Q947" s="10" t="s">
        <v>33</v>
      </c>
      <c r="R947" s="10" t="s">
        <v>33</v>
      </c>
      <c r="S947" s="10" t="s">
        <v>41</v>
      </c>
      <c r="T947" s="13">
        <v>11.099399999999999</v>
      </c>
      <c r="U947" s="14">
        <v>169</v>
      </c>
      <c r="V947" s="14">
        <v>2024</v>
      </c>
      <c r="W947" s="10" t="s">
        <v>42</v>
      </c>
    </row>
    <row r="948" spans="1:23" s="9" customFormat="1" ht="15.75" hidden="1" customHeight="1" x14ac:dyDescent="0.25">
      <c r="A948" s="4" t="s">
        <v>2902</v>
      </c>
      <c r="B948" s="4" t="s">
        <v>2903</v>
      </c>
      <c r="C948" s="4" t="s">
        <v>2904</v>
      </c>
      <c r="D948" s="22" t="s">
        <v>6090</v>
      </c>
      <c r="E948" s="4" t="s">
        <v>51</v>
      </c>
      <c r="F948" s="4" t="s">
        <v>27</v>
      </c>
      <c r="G948" s="4" t="s">
        <v>57</v>
      </c>
      <c r="H948" s="4" t="s">
        <v>72</v>
      </c>
      <c r="I948" s="5">
        <v>45173</v>
      </c>
      <c r="J948" s="4" t="s">
        <v>40</v>
      </c>
      <c r="K948" s="5">
        <v>45318</v>
      </c>
      <c r="L948" s="4" t="s">
        <v>31</v>
      </c>
      <c r="M948" s="6">
        <v>33075</v>
      </c>
      <c r="N948" s="6">
        <v>8354</v>
      </c>
      <c r="O948" s="4" t="s">
        <v>32</v>
      </c>
      <c r="P948" s="4" t="s">
        <v>32</v>
      </c>
      <c r="Q948" s="4" t="s">
        <v>33</v>
      </c>
      <c r="R948" s="4" t="s">
        <v>33</v>
      </c>
      <c r="S948" s="4" t="s">
        <v>41</v>
      </c>
      <c r="T948" s="7">
        <v>3.9592000000000001</v>
      </c>
      <c r="U948" s="8">
        <v>145</v>
      </c>
      <c r="V948" s="8">
        <v>2024</v>
      </c>
      <c r="W948" s="4" t="s">
        <v>73</v>
      </c>
    </row>
    <row r="949" spans="1:23" s="9" customFormat="1" ht="15.75" hidden="1" customHeight="1" x14ac:dyDescent="0.25">
      <c r="A949" s="10" t="s">
        <v>2905</v>
      </c>
      <c r="B949" s="10" t="s">
        <v>2906</v>
      </c>
      <c r="C949" s="10" t="s">
        <v>2907</v>
      </c>
      <c r="D949" s="22" t="s">
        <v>6090</v>
      </c>
      <c r="E949" s="10" t="s">
        <v>87</v>
      </c>
      <c r="F949" s="21" t="s">
        <v>6092</v>
      </c>
      <c r="G949" s="10" t="s">
        <v>57</v>
      </c>
      <c r="H949" s="10" t="s">
        <v>118</v>
      </c>
      <c r="I949" s="11">
        <v>45073</v>
      </c>
      <c r="J949" s="10" t="s">
        <v>40</v>
      </c>
      <c r="K949" s="11">
        <v>45378</v>
      </c>
      <c r="L949" s="10" t="s">
        <v>59</v>
      </c>
      <c r="M949" s="12">
        <v>38797</v>
      </c>
      <c r="N949" s="12">
        <v>708</v>
      </c>
      <c r="O949" s="10">
        <v>23</v>
      </c>
      <c r="P949" s="11">
        <v>45401</v>
      </c>
      <c r="Q949" s="10" t="s">
        <v>33</v>
      </c>
      <c r="R949" s="10" t="s">
        <v>33</v>
      </c>
      <c r="S949" s="10" t="s">
        <v>41</v>
      </c>
      <c r="T949" s="13">
        <v>54.798000000000002</v>
      </c>
      <c r="U949" s="14">
        <v>305</v>
      </c>
      <c r="V949" s="14">
        <v>2024</v>
      </c>
      <c r="W949" s="10" t="s">
        <v>77</v>
      </c>
    </row>
    <row r="950" spans="1:23" s="9" customFormat="1" ht="15.75" hidden="1" customHeight="1" x14ac:dyDescent="0.25">
      <c r="A950" s="4" t="s">
        <v>2908</v>
      </c>
      <c r="B950" s="4" t="s">
        <v>2909</v>
      </c>
      <c r="C950" s="4" t="s">
        <v>2910</v>
      </c>
      <c r="D950" s="22" t="s">
        <v>6087</v>
      </c>
      <c r="E950" s="4" t="s">
        <v>26</v>
      </c>
      <c r="F950" s="4" t="s">
        <v>46</v>
      </c>
      <c r="G950" s="4" t="s">
        <v>57</v>
      </c>
      <c r="H950" s="4" t="s">
        <v>29</v>
      </c>
      <c r="I950" s="5">
        <v>45204</v>
      </c>
      <c r="J950" s="4" t="s">
        <v>40</v>
      </c>
      <c r="K950" s="5">
        <v>45552</v>
      </c>
      <c r="L950" s="4" t="s">
        <v>59</v>
      </c>
      <c r="M950" s="6">
        <v>25877</v>
      </c>
      <c r="N950" s="6">
        <v>5006</v>
      </c>
      <c r="O950" s="4">
        <v>6</v>
      </c>
      <c r="P950" s="5">
        <v>45558</v>
      </c>
      <c r="Q950" s="4" t="s">
        <v>33</v>
      </c>
      <c r="R950" s="4" t="s">
        <v>33</v>
      </c>
      <c r="S950" s="4" t="s">
        <v>41</v>
      </c>
      <c r="T950" s="7">
        <v>5.1692</v>
      </c>
      <c r="U950" s="8">
        <v>348</v>
      </c>
      <c r="V950" s="8">
        <v>2024</v>
      </c>
      <c r="W950" s="4" t="s">
        <v>168</v>
      </c>
    </row>
    <row r="951" spans="1:23" s="9" customFormat="1" ht="15.75" hidden="1" customHeight="1" x14ac:dyDescent="0.25">
      <c r="A951" s="10" t="s">
        <v>2911</v>
      </c>
      <c r="B951" s="10" t="s">
        <v>2912</v>
      </c>
      <c r="C951" s="10" t="s">
        <v>2913</v>
      </c>
      <c r="D951" s="21" t="s">
        <v>6091</v>
      </c>
      <c r="E951" s="10" t="s">
        <v>87</v>
      </c>
      <c r="F951" s="21" t="s">
        <v>6092</v>
      </c>
      <c r="G951" s="10" t="s">
        <v>28</v>
      </c>
      <c r="H951" s="10" t="s">
        <v>72</v>
      </c>
      <c r="I951" s="11">
        <v>45387</v>
      </c>
      <c r="J951" s="10" t="s">
        <v>30</v>
      </c>
      <c r="K951" s="11">
        <v>45652</v>
      </c>
      <c r="L951" s="10" t="s">
        <v>59</v>
      </c>
      <c r="M951" s="12">
        <v>19601</v>
      </c>
      <c r="N951" s="12">
        <v>8135</v>
      </c>
      <c r="O951" s="10">
        <v>14</v>
      </c>
      <c r="P951" s="11">
        <v>45666</v>
      </c>
      <c r="Q951" s="10" t="s">
        <v>33</v>
      </c>
      <c r="R951" s="10" t="s">
        <v>33</v>
      </c>
      <c r="S951" s="10" t="s">
        <v>34</v>
      </c>
      <c r="T951" s="13">
        <v>2.4095</v>
      </c>
      <c r="U951" s="14">
        <v>265</v>
      </c>
      <c r="V951" s="14">
        <v>2024</v>
      </c>
      <c r="W951" s="10" t="s">
        <v>89</v>
      </c>
    </row>
    <row r="952" spans="1:23" s="9" customFormat="1" ht="15.75" hidden="1" customHeight="1" x14ac:dyDescent="0.25">
      <c r="A952" s="4" t="s">
        <v>2914</v>
      </c>
      <c r="B952" s="4" t="s">
        <v>2915</v>
      </c>
      <c r="C952" s="4" t="s">
        <v>2916</v>
      </c>
      <c r="D952" s="22" t="s">
        <v>6090</v>
      </c>
      <c r="E952" s="4" t="s">
        <v>51</v>
      </c>
      <c r="F952" s="4" t="s">
        <v>71</v>
      </c>
      <c r="G952" s="4" t="s">
        <v>57</v>
      </c>
      <c r="H952" s="4" t="s">
        <v>93</v>
      </c>
      <c r="I952" s="5">
        <v>45252</v>
      </c>
      <c r="J952" s="4" t="s">
        <v>30</v>
      </c>
      <c r="K952" s="5">
        <v>45602</v>
      </c>
      <c r="L952" s="4" t="s">
        <v>31</v>
      </c>
      <c r="M952" s="6">
        <v>59894</v>
      </c>
      <c r="N952" s="6">
        <v>4532</v>
      </c>
      <c r="O952" s="4" t="s">
        <v>32</v>
      </c>
      <c r="P952" s="4" t="s">
        <v>32</v>
      </c>
      <c r="Q952" s="4" t="s">
        <v>33</v>
      </c>
      <c r="R952" s="4" t="s">
        <v>33</v>
      </c>
      <c r="S952" s="4" t="s">
        <v>60</v>
      </c>
      <c r="T952" s="7">
        <v>13.2158</v>
      </c>
      <c r="U952" s="8">
        <v>350</v>
      </c>
      <c r="V952" s="8">
        <v>2024</v>
      </c>
      <c r="W952" s="4" t="s">
        <v>61</v>
      </c>
    </row>
    <row r="953" spans="1:23" s="9" customFormat="1" ht="15.75" hidden="1" customHeight="1" x14ac:dyDescent="0.25">
      <c r="A953" s="10" t="s">
        <v>2917</v>
      </c>
      <c r="B953" s="10" t="s">
        <v>2918</v>
      </c>
      <c r="C953" s="10" t="s">
        <v>2919</v>
      </c>
      <c r="D953" s="22" t="s">
        <v>6087</v>
      </c>
      <c r="E953" s="10" t="s">
        <v>26</v>
      </c>
      <c r="F953" s="10" t="s">
        <v>46</v>
      </c>
      <c r="G953" s="10" t="s">
        <v>5</v>
      </c>
      <c r="H953" s="10" t="s">
        <v>58</v>
      </c>
      <c r="I953" s="11">
        <v>45414</v>
      </c>
      <c r="J953" s="10" t="s">
        <v>40</v>
      </c>
      <c r="K953" s="11">
        <v>45497</v>
      </c>
      <c r="L953" s="10" t="s">
        <v>59</v>
      </c>
      <c r="M953" s="12">
        <v>14503</v>
      </c>
      <c r="N953" s="12">
        <v>3332</v>
      </c>
      <c r="O953" s="10">
        <v>29</v>
      </c>
      <c r="P953" s="11">
        <v>45526</v>
      </c>
      <c r="Q953" s="10" t="s">
        <v>94</v>
      </c>
      <c r="R953" s="10" t="s">
        <v>33</v>
      </c>
      <c r="S953" s="10" t="s">
        <v>60</v>
      </c>
      <c r="T953" s="13">
        <v>4.3525999999999998</v>
      </c>
      <c r="U953" s="14">
        <v>83</v>
      </c>
      <c r="V953" s="14">
        <v>2024</v>
      </c>
      <c r="W953" s="10" t="s">
        <v>42</v>
      </c>
    </row>
    <row r="954" spans="1:23" s="9" customFormat="1" ht="15.75" hidden="1" customHeight="1" x14ac:dyDescent="0.25">
      <c r="A954" s="4" t="s">
        <v>2920</v>
      </c>
      <c r="B954" s="4" t="s">
        <v>2921</v>
      </c>
      <c r="C954" s="4" t="s">
        <v>2922</v>
      </c>
      <c r="D954" s="21" t="s">
        <v>6089</v>
      </c>
      <c r="E954" s="4" t="s">
        <v>26</v>
      </c>
      <c r="F954" s="4" t="s">
        <v>27</v>
      </c>
      <c r="G954" s="4" t="s">
        <v>28</v>
      </c>
      <c r="H954" s="4" t="s">
        <v>39</v>
      </c>
      <c r="I954" s="5">
        <v>45166</v>
      </c>
      <c r="J954" s="4" t="s">
        <v>40</v>
      </c>
      <c r="K954" s="5">
        <v>45516</v>
      </c>
      <c r="L954" s="4" t="s">
        <v>59</v>
      </c>
      <c r="M954" s="6">
        <v>44455</v>
      </c>
      <c r="N954" s="6">
        <v>4038</v>
      </c>
      <c r="O954" s="4">
        <v>32</v>
      </c>
      <c r="P954" s="5">
        <v>45548</v>
      </c>
      <c r="Q954" s="4" t="s">
        <v>33</v>
      </c>
      <c r="R954" s="4" t="s">
        <v>33</v>
      </c>
      <c r="S954" s="4" t="s">
        <v>41</v>
      </c>
      <c r="T954" s="7">
        <v>11.0092</v>
      </c>
      <c r="U954" s="8">
        <v>350</v>
      </c>
      <c r="V954" s="8">
        <v>2024</v>
      </c>
      <c r="W954" s="4" t="s">
        <v>114</v>
      </c>
    </row>
    <row r="955" spans="1:23" s="9" customFormat="1" ht="15.75" hidden="1" customHeight="1" x14ac:dyDescent="0.25">
      <c r="A955" s="10" t="s">
        <v>2923</v>
      </c>
      <c r="B955" s="10" t="s">
        <v>2924</v>
      </c>
      <c r="C955" s="10" t="s">
        <v>2925</v>
      </c>
      <c r="D955" s="21" t="s">
        <v>6086</v>
      </c>
      <c r="E955" s="10" t="s">
        <v>87</v>
      </c>
      <c r="F955" s="21" t="s">
        <v>6092</v>
      </c>
      <c r="G955" s="10" t="s">
        <v>28</v>
      </c>
      <c r="H955" s="10" t="s">
        <v>39</v>
      </c>
      <c r="I955" s="11">
        <v>45416</v>
      </c>
      <c r="J955" s="10" t="s">
        <v>30</v>
      </c>
      <c r="K955" s="11">
        <v>45520</v>
      </c>
      <c r="L955" s="10" t="s">
        <v>66</v>
      </c>
      <c r="M955" s="12">
        <v>21219</v>
      </c>
      <c r="N955" s="12">
        <v>4203</v>
      </c>
      <c r="O955" s="10" t="s">
        <v>32</v>
      </c>
      <c r="P955" s="10" t="s">
        <v>32</v>
      </c>
      <c r="Q955" s="10" t="s">
        <v>33</v>
      </c>
      <c r="R955" s="10" t="s">
        <v>33</v>
      </c>
      <c r="S955" s="10" t="s">
        <v>60</v>
      </c>
      <c r="T955" s="13">
        <v>5.0484999999999998</v>
      </c>
      <c r="U955" s="14">
        <v>104</v>
      </c>
      <c r="V955" s="14">
        <v>2024</v>
      </c>
      <c r="W955" s="10" t="s">
        <v>114</v>
      </c>
    </row>
    <row r="956" spans="1:23" s="9" customFormat="1" ht="15.75" hidden="1" customHeight="1" x14ac:dyDescent="0.25">
      <c r="A956" s="4" t="s">
        <v>2926</v>
      </c>
      <c r="B956" s="4" t="s">
        <v>2927</v>
      </c>
      <c r="C956" s="4" t="s">
        <v>2928</v>
      </c>
      <c r="D956" s="21" t="s">
        <v>6091</v>
      </c>
      <c r="E956" s="4" t="s">
        <v>26</v>
      </c>
      <c r="F956" s="4" t="s">
        <v>46</v>
      </c>
      <c r="G956" s="4" t="s">
        <v>5</v>
      </c>
      <c r="H956" s="4" t="s">
        <v>88</v>
      </c>
      <c r="I956" s="5">
        <v>45131</v>
      </c>
      <c r="J956" s="4" t="s">
        <v>30</v>
      </c>
      <c r="K956" s="5">
        <v>45458</v>
      </c>
      <c r="L956" s="4" t="s">
        <v>31</v>
      </c>
      <c r="M956" s="6">
        <v>12078</v>
      </c>
      <c r="N956" s="6">
        <v>5858</v>
      </c>
      <c r="O956" s="4" t="s">
        <v>32</v>
      </c>
      <c r="P956" s="4" t="s">
        <v>32</v>
      </c>
      <c r="Q956" s="4" t="s">
        <v>33</v>
      </c>
      <c r="R956" s="4" t="s">
        <v>33</v>
      </c>
      <c r="S956" s="4" t="s">
        <v>34</v>
      </c>
      <c r="T956" s="7">
        <v>2.0617999999999999</v>
      </c>
      <c r="U956" s="8">
        <v>327</v>
      </c>
      <c r="V956" s="8">
        <v>2024</v>
      </c>
      <c r="W956" s="4" t="s">
        <v>67</v>
      </c>
    </row>
    <row r="957" spans="1:23" s="9" customFormat="1" ht="15.75" hidden="1" customHeight="1" x14ac:dyDescent="0.25">
      <c r="A957" s="10" t="s">
        <v>2929</v>
      </c>
      <c r="B957" s="10" t="s">
        <v>2930</v>
      </c>
      <c r="C957" s="10" t="s">
        <v>2931</v>
      </c>
      <c r="D957" s="21" t="s">
        <v>6086</v>
      </c>
      <c r="E957" s="10" t="s">
        <v>87</v>
      </c>
      <c r="F957" s="10" t="s">
        <v>65</v>
      </c>
      <c r="G957" s="10" t="s">
        <v>57</v>
      </c>
      <c r="H957" s="10" t="s">
        <v>93</v>
      </c>
      <c r="I957" s="11">
        <v>45472</v>
      </c>
      <c r="J957" s="10" t="s">
        <v>40</v>
      </c>
      <c r="K957" s="11">
        <v>45533</v>
      </c>
      <c r="L957" s="10" t="s">
        <v>66</v>
      </c>
      <c r="M957" s="12">
        <v>80040</v>
      </c>
      <c r="N957" s="12">
        <v>1526</v>
      </c>
      <c r="O957" s="10" t="s">
        <v>32</v>
      </c>
      <c r="P957" s="10" t="s">
        <v>32</v>
      </c>
      <c r="Q957" s="10" t="s">
        <v>33</v>
      </c>
      <c r="R957" s="10" t="s">
        <v>33</v>
      </c>
      <c r="S957" s="10" t="s">
        <v>60</v>
      </c>
      <c r="T957" s="13">
        <v>52.450899999999997</v>
      </c>
      <c r="U957" s="14">
        <v>61</v>
      </c>
      <c r="V957" s="14">
        <v>2024</v>
      </c>
      <c r="W957" s="10" t="s">
        <v>114</v>
      </c>
    </row>
    <row r="958" spans="1:23" s="9" customFormat="1" ht="15.75" hidden="1" customHeight="1" x14ac:dyDescent="0.25">
      <c r="A958" s="4" t="s">
        <v>2932</v>
      </c>
      <c r="B958" s="4" t="s">
        <v>2933</v>
      </c>
      <c r="C958" s="4" t="s">
        <v>2934</v>
      </c>
      <c r="D958" s="21" t="s">
        <v>6086</v>
      </c>
      <c r="E958" s="4" t="s">
        <v>51</v>
      </c>
      <c r="F958" s="4" t="s">
        <v>71</v>
      </c>
      <c r="G958" s="4" t="s">
        <v>57</v>
      </c>
      <c r="H958" s="4" t="s">
        <v>118</v>
      </c>
      <c r="I958" s="5">
        <v>45424</v>
      </c>
      <c r="J958" s="4" t="s">
        <v>30</v>
      </c>
      <c r="K958" s="5">
        <v>45468</v>
      </c>
      <c r="L958" s="4" t="s">
        <v>59</v>
      </c>
      <c r="M958" s="6">
        <v>78281</v>
      </c>
      <c r="N958" s="6">
        <v>5689</v>
      </c>
      <c r="O958" s="4">
        <v>36</v>
      </c>
      <c r="P958" s="5">
        <v>45504</v>
      </c>
      <c r="Q958" s="4" t="s">
        <v>33</v>
      </c>
      <c r="R958" s="4" t="s">
        <v>33</v>
      </c>
      <c r="S958" s="4" t="s">
        <v>60</v>
      </c>
      <c r="T958" s="7">
        <v>13.7601</v>
      </c>
      <c r="U958" s="8">
        <v>44</v>
      </c>
      <c r="V958" s="8">
        <v>2024</v>
      </c>
      <c r="W958" s="4" t="s">
        <v>67</v>
      </c>
    </row>
    <row r="959" spans="1:23" s="9" customFormat="1" ht="15.75" hidden="1" customHeight="1" x14ac:dyDescent="0.25">
      <c r="A959" s="10" t="s">
        <v>2935</v>
      </c>
      <c r="B959" s="10" t="s">
        <v>2936</v>
      </c>
      <c r="C959" s="10" t="s">
        <v>2937</v>
      </c>
      <c r="D959" s="22" t="s">
        <v>6090</v>
      </c>
      <c r="E959" s="10" t="s">
        <v>26</v>
      </c>
      <c r="F959" s="10" t="s">
        <v>65</v>
      </c>
      <c r="G959" s="10" t="s">
        <v>5</v>
      </c>
      <c r="H959" s="10" t="s">
        <v>72</v>
      </c>
      <c r="I959" s="11">
        <v>45152</v>
      </c>
      <c r="J959" s="10" t="s">
        <v>40</v>
      </c>
      <c r="K959" s="11">
        <v>45453</v>
      </c>
      <c r="L959" s="10" t="s">
        <v>59</v>
      </c>
      <c r="M959" s="12">
        <v>44788</v>
      </c>
      <c r="N959" s="12">
        <v>1527</v>
      </c>
      <c r="O959" s="10">
        <v>10</v>
      </c>
      <c r="P959" s="11">
        <v>45463</v>
      </c>
      <c r="Q959" s="10" t="s">
        <v>94</v>
      </c>
      <c r="R959" s="10" t="s">
        <v>33</v>
      </c>
      <c r="S959" s="10" t="s">
        <v>34</v>
      </c>
      <c r="T959" s="13">
        <v>29.3307</v>
      </c>
      <c r="U959" s="14">
        <v>301</v>
      </c>
      <c r="V959" s="14">
        <v>2024</v>
      </c>
      <c r="W959" s="10" t="s">
        <v>67</v>
      </c>
    </row>
    <row r="960" spans="1:23" s="9" customFormat="1" ht="15.75" hidden="1" customHeight="1" x14ac:dyDescent="0.25">
      <c r="A960" s="4" t="s">
        <v>2938</v>
      </c>
      <c r="B960" s="4" t="s">
        <v>2939</v>
      </c>
      <c r="C960" s="4" t="s">
        <v>2940</v>
      </c>
      <c r="D960" s="22" t="s">
        <v>6087</v>
      </c>
      <c r="E960" s="4" t="s">
        <v>51</v>
      </c>
      <c r="F960" s="4" t="s">
        <v>46</v>
      </c>
      <c r="G960" s="4" t="s">
        <v>28</v>
      </c>
      <c r="H960" s="4" t="s">
        <v>161</v>
      </c>
      <c r="I960" s="5">
        <v>45562</v>
      </c>
      <c r="J960" s="4" t="s">
        <v>30</v>
      </c>
      <c r="K960" s="5">
        <v>45635</v>
      </c>
      <c r="L960" s="4" t="s">
        <v>59</v>
      </c>
      <c r="M960" s="6">
        <v>35528</v>
      </c>
      <c r="N960" s="6">
        <v>1969</v>
      </c>
      <c r="O960" s="4">
        <v>21</v>
      </c>
      <c r="P960" s="5">
        <v>45656</v>
      </c>
      <c r="Q960" s="4" t="s">
        <v>33</v>
      </c>
      <c r="R960" s="4" t="s">
        <v>33</v>
      </c>
      <c r="S960" s="4" t="s">
        <v>60</v>
      </c>
      <c r="T960" s="7">
        <v>18.043700000000001</v>
      </c>
      <c r="U960" s="8">
        <v>73</v>
      </c>
      <c r="V960" s="8">
        <v>2024</v>
      </c>
      <c r="W960" s="4" t="s">
        <v>89</v>
      </c>
    </row>
    <row r="961" spans="1:23" s="9" customFormat="1" ht="15.75" hidden="1" customHeight="1" x14ac:dyDescent="0.25">
      <c r="A961" s="10" t="s">
        <v>2941</v>
      </c>
      <c r="B961" s="10" t="s">
        <v>2942</v>
      </c>
      <c r="C961" s="10" t="s">
        <v>2943</v>
      </c>
      <c r="D961" s="21" t="s">
        <v>6088</v>
      </c>
      <c r="E961" s="10" t="s">
        <v>26</v>
      </c>
      <c r="F961" s="10" t="s">
        <v>71</v>
      </c>
      <c r="G961" s="10" t="s">
        <v>28</v>
      </c>
      <c r="H961" s="10" t="s">
        <v>72</v>
      </c>
      <c r="I961" s="11">
        <v>45347</v>
      </c>
      <c r="J961" s="10" t="s">
        <v>40</v>
      </c>
      <c r="K961" s="11">
        <v>45568</v>
      </c>
      <c r="L961" s="10" t="s">
        <v>59</v>
      </c>
      <c r="M961" s="12">
        <v>13382</v>
      </c>
      <c r="N961" s="12">
        <v>5700</v>
      </c>
      <c r="O961" s="10">
        <v>3</v>
      </c>
      <c r="P961" s="11">
        <v>45571</v>
      </c>
      <c r="Q961" s="10" t="s">
        <v>33</v>
      </c>
      <c r="R961" s="10" t="s">
        <v>33</v>
      </c>
      <c r="S961" s="10" t="s">
        <v>41</v>
      </c>
      <c r="T961" s="13">
        <v>2.3477000000000001</v>
      </c>
      <c r="U961" s="14">
        <v>221</v>
      </c>
      <c r="V961" s="14">
        <v>2024</v>
      </c>
      <c r="W961" s="10" t="s">
        <v>95</v>
      </c>
    </row>
    <row r="962" spans="1:23" s="9" customFormat="1" ht="15.75" hidden="1" customHeight="1" x14ac:dyDescent="0.25">
      <c r="A962" s="4" t="s">
        <v>2944</v>
      </c>
      <c r="B962" s="4" t="s">
        <v>2945</v>
      </c>
      <c r="C962" s="4" t="s">
        <v>2946</v>
      </c>
      <c r="D962" s="21" t="s">
        <v>6086</v>
      </c>
      <c r="E962" s="4" t="s">
        <v>87</v>
      </c>
      <c r="F962" s="4" t="s">
        <v>65</v>
      </c>
      <c r="G962" s="4" t="s">
        <v>57</v>
      </c>
      <c r="H962" s="4" t="s">
        <v>58</v>
      </c>
      <c r="I962" s="5">
        <v>45194</v>
      </c>
      <c r="J962" s="4" t="s">
        <v>30</v>
      </c>
      <c r="K962" s="5">
        <v>45405</v>
      </c>
      <c r="L962" s="4" t="s">
        <v>59</v>
      </c>
      <c r="M962" s="6">
        <v>97686</v>
      </c>
      <c r="N962" s="6">
        <v>1381</v>
      </c>
      <c r="O962" s="4">
        <v>8</v>
      </c>
      <c r="P962" s="5">
        <v>45413</v>
      </c>
      <c r="Q962" s="4" t="s">
        <v>33</v>
      </c>
      <c r="R962" s="4" t="s">
        <v>33</v>
      </c>
      <c r="S962" s="4" t="s">
        <v>41</v>
      </c>
      <c r="T962" s="7">
        <v>70.735699999999994</v>
      </c>
      <c r="U962" s="8">
        <v>211</v>
      </c>
      <c r="V962" s="8">
        <v>2024</v>
      </c>
      <c r="W962" s="4" t="s">
        <v>47</v>
      </c>
    </row>
    <row r="963" spans="1:23" s="9" customFormat="1" ht="15.75" hidden="1" customHeight="1" x14ac:dyDescent="0.25">
      <c r="A963" s="10" t="s">
        <v>2947</v>
      </c>
      <c r="B963" s="10" t="s">
        <v>2948</v>
      </c>
      <c r="C963" s="10" t="s">
        <v>2949</v>
      </c>
      <c r="D963" s="22" t="s">
        <v>6090</v>
      </c>
      <c r="E963" s="10" t="s">
        <v>87</v>
      </c>
      <c r="F963" s="10" t="s">
        <v>56</v>
      </c>
      <c r="G963" s="10" t="s">
        <v>57</v>
      </c>
      <c r="H963" s="10" t="s">
        <v>161</v>
      </c>
      <c r="I963" s="11">
        <v>45578</v>
      </c>
      <c r="J963" s="10" t="s">
        <v>40</v>
      </c>
      <c r="K963" s="11">
        <v>45633</v>
      </c>
      <c r="L963" s="10" t="s">
        <v>59</v>
      </c>
      <c r="M963" s="12">
        <v>23098</v>
      </c>
      <c r="N963" s="12">
        <v>3610</v>
      </c>
      <c r="O963" s="10">
        <v>9</v>
      </c>
      <c r="P963" s="11">
        <v>45642</v>
      </c>
      <c r="Q963" s="10" t="s">
        <v>33</v>
      </c>
      <c r="R963" s="10" t="s">
        <v>33</v>
      </c>
      <c r="S963" s="10" t="s">
        <v>41</v>
      </c>
      <c r="T963" s="13">
        <v>6.3982999999999999</v>
      </c>
      <c r="U963" s="14">
        <v>55</v>
      </c>
      <c r="V963" s="14">
        <v>2024</v>
      </c>
      <c r="W963" s="10" t="s">
        <v>89</v>
      </c>
    </row>
    <row r="964" spans="1:23" s="9" customFormat="1" ht="15.75" hidden="1" customHeight="1" x14ac:dyDescent="0.25">
      <c r="A964" s="4" t="s">
        <v>2950</v>
      </c>
      <c r="B964" s="4" t="s">
        <v>2951</v>
      </c>
      <c r="C964" s="4" t="s">
        <v>2952</v>
      </c>
      <c r="D964" s="22" t="s">
        <v>6087</v>
      </c>
      <c r="E964" s="4" t="s">
        <v>51</v>
      </c>
      <c r="F964" s="4" t="s">
        <v>65</v>
      </c>
      <c r="G964" s="4" t="s">
        <v>5</v>
      </c>
      <c r="H964" s="4" t="s">
        <v>29</v>
      </c>
      <c r="I964" s="5">
        <v>45251</v>
      </c>
      <c r="J964" s="4" t="s">
        <v>30</v>
      </c>
      <c r="K964" s="5">
        <v>45294</v>
      </c>
      <c r="L964" s="4" t="s">
        <v>59</v>
      </c>
      <c r="M964" s="6">
        <v>9158</v>
      </c>
      <c r="N964" s="6">
        <v>1967</v>
      </c>
      <c r="O964" s="4">
        <v>23</v>
      </c>
      <c r="P964" s="5">
        <v>45317</v>
      </c>
      <c r="Q964" s="4" t="s">
        <v>94</v>
      </c>
      <c r="R964" s="4" t="s">
        <v>33</v>
      </c>
      <c r="S964" s="4" t="s">
        <v>41</v>
      </c>
      <c r="T964" s="7">
        <v>4.6558000000000002</v>
      </c>
      <c r="U964" s="8">
        <v>43</v>
      </c>
      <c r="V964" s="8">
        <v>2024</v>
      </c>
      <c r="W964" s="4" t="s">
        <v>73</v>
      </c>
    </row>
    <row r="965" spans="1:23" s="9" customFormat="1" ht="15.75" hidden="1" customHeight="1" x14ac:dyDescent="0.25">
      <c r="A965" s="10" t="s">
        <v>2953</v>
      </c>
      <c r="B965" s="10" t="s">
        <v>2954</v>
      </c>
      <c r="C965" s="10" t="s">
        <v>2955</v>
      </c>
      <c r="D965" s="22" t="s">
        <v>6087</v>
      </c>
      <c r="E965" s="10" t="s">
        <v>51</v>
      </c>
      <c r="F965" s="21" t="s">
        <v>6092</v>
      </c>
      <c r="G965" s="10" t="s">
        <v>5</v>
      </c>
      <c r="H965" s="10" t="s">
        <v>93</v>
      </c>
      <c r="I965" s="11">
        <v>45260</v>
      </c>
      <c r="J965" s="10" t="s">
        <v>40</v>
      </c>
      <c r="K965" s="11">
        <v>45603</v>
      </c>
      <c r="L965" s="10" t="s">
        <v>66</v>
      </c>
      <c r="M965" s="12">
        <v>34442</v>
      </c>
      <c r="N965" s="12">
        <v>7633</v>
      </c>
      <c r="O965" s="10" t="s">
        <v>32</v>
      </c>
      <c r="P965" s="10" t="s">
        <v>32</v>
      </c>
      <c r="Q965" s="10" t="s">
        <v>33</v>
      </c>
      <c r="R965" s="10" t="s">
        <v>33</v>
      </c>
      <c r="S965" s="10" t="s">
        <v>34</v>
      </c>
      <c r="T965" s="13">
        <v>4.5122</v>
      </c>
      <c r="U965" s="14">
        <v>343</v>
      </c>
      <c r="V965" s="14">
        <v>2024</v>
      </c>
      <c r="W965" s="10" t="s">
        <v>61</v>
      </c>
    </row>
    <row r="966" spans="1:23" s="9" customFormat="1" ht="15.75" hidden="1" customHeight="1" x14ac:dyDescent="0.25">
      <c r="A966" s="4" t="s">
        <v>2956</v>
      </c>
      <c r="B966" s="4" t="s">
        <v>2957</v>
      </c>
      <c r="C966" s="4" t="s">
        <v>2958</v>
      </c>
      <c r="D966" s="22" t="s">
        <v>6090</v>
      </c>
      <c r="E966" s="4" t="s">
        <v>51</v>
      </c>
      <c r="F966" s="4" t="s">
        <v>27</v>
      </c>
      <c r="G966" s="4" t="s">
        <v>28</v>
      </c>
      <c r="H966" s="4" t="s">
        <v>93</v>
      </c>
      <c r="I966" s="5">
        <v>44944</v>
      </c>
      <c r="J966" s="4" t="s">
        <v>40</v>
      </c>
      <c r="K966" s="5">
        <v>45299</v>
      </c>
      <c r="L966" s="4" t="s">
        <v>31</v>
      </c>
      <c r="M966" s="6">
        <v>19784</v>
      </c>
      <c r="N966" s="6">
        <v>8896</v>
      </c>
      <c r="O966" s="4" t="s">
        <v>32</v>
      </c>
      <c r="P966" s="4" t="s">
        <v>32</v>
      </c>
      <c r="Q966" s="4" t="s">
        <v>33</v>
      </c>
      <c r="R966" s="4" t="s">
        <v>33</v>
      </c>
      <c r="S966" s="4" t="s">
        <v>60</v>
      </c>
      <c r="T966" s="7">
        <v>2.2239</v>
      </c>
      <c r="U966" s="8">
        <v>355</v>
      </c>
      <c r="V966" s="8">
        <v>2024</v>
      </c>
      <c r="W966" s="4" t="s">
        <v>73</v>
      </c>
    </row>
    <row r="967" spans="1:23" s="9" customFormat="1" ht="15.75" hidden="1" customHeight="1" x14ac:dyDescent="0.25">
      <c r="A967" s="10" t="s">
        <v>2959</v>
      </c>
      <c r="B967" s="10" t="s">
        <v>2960</v>
      </c>
      <c r="C967" s="10" t="s">
        <v>2961</v>
      </c>
      <c r="D967" s="22" t="s">
        <v>6090</v>
      </c>
      <c r="E967" s="10" t="s">
        <v>87</v>
      </c>
      <c r="F967" s="10" t="s">
        <v>27</v>
      </c>
      <c r="G967" s="10" t="s">
        <v>57</v>
      </c>
      <c r="H967" s="10" t="s">
        <v>88</v>
      </c>
      <c r="I967" s="11">
        <v>45190</v>
      </c>
      <c r="J967" s="10" t="s">
        <v>40</v>
      </c>
      <c r="K967" s="11">
        <v>45481</v>
      </c>
      <c r="L967" s="10" t="s">
        <v>59</v>
      </c>
      <c r="M967" s="12">
        <v>38398</v>
      </c>
      <c r="N967" s="12">
        <v>5655</v>
      </c>
      <c r="O967" s="10">
        <v>35</v>
      </c>
      <c r="P967" s="11">
        <v>45516</v>
      </c>
      <c r="Q967" s="10" t="s">
        <v>33</v>
      </c>
      <c r="R967" s="10" t="s">
        <v>33</v>
      </c>
      <c r="S967" s="10" t="s">
        <v>34</v>
      </c>
      <c r="T967" s="13">
        <v>6.7900999999999998</v>
      </c>
      <c r="U967" s="14">
        <v>291</v>
      </c>
      <c r="V967" s="14">
        <v>2024</v>
      </c>
      <c r="W967" s="10" t="s">
        <v>42</v>
      </c>
    </row>
    <row r="968" spans="1:23" s="9" customFormat="1" ht="15.75" hidden="1" customHeight="1" x14ac:dyDescent="0.25">
      <c r="A968" s="4" t="s">
        <v>2962</v>
      </c>
      <c r="B968" s="4" t="s">
        <v>2963</v>
      </c>
      <c r="C968" s="4" t="s">
        <v>2964</v>
      </c>
      <c r="D968" s="22" t="s">
        <v>6090</v>
      </c>
      <c r="E968" s="4" t="s">
        <v>26</v>
      </c>
      <c r="F968" s="4" t="s">
        <v>56</v>
      </c>
      <c r="G968" s="4" t="s">
        <v>57</v>
      </c>
      <c r="H968" s="4" t="s">
        <v>118</v>
      </c>
      <c r="I968" s="5">
        <v>45253</v>
      </c>
      <c r="J968" s="4" t="s">
        <v>30</v>
      </c>
      <c r="K968" s="5">
        <v>45608</v>
      </c>
      <c r="L968" s="4" t="s">
        <v>66</v>
      </c>
      <c r="M968" s="6">
        <v>55422</v>
      </c>
      <c r="N968" s="6">
        <v>3093</v>
      </c>
      <c r="O968" s="4" t="s">
        <v>32</v>
      </c>
      <c r="P968" s="4" t="s">
        <v>32</v>
      </c>
      <c r="Q968" s="4" t="s">
        <v>33</v>
      </c>
      <c r="R968" s="4" t="s">
        <v>33</v>
      </c>
      <c r="S968" s="4" t="s">
        <v>60</v>
      </c>
      <c r="T968" s="7">
        <v>17.918500000000002</v>
      </c>
      <c r="U968" s="8">
        <v>355</v>
      </c>
      <c r="V968" s="8">
        <v>2024</v>
      </c>
      <c r="W968" s="4" t="s">
        <v>61</v>
      </c>
    </row>
    <row r="969" spans="1:23" s="9" customFormat="1" ht="15.75" hidden="1" customHeight="1" x14ac:dyDescent="0.25">
      <c r="A969" s="10" t="s">
        <v>2965</v>
      </c>
      <c r="B969" s="10" t="s">
        <v>2966</v>
      </c>
      <c r="C969" s="10" t="s">
        <v>2967</v>
      </c>
      <c r="D969" s="21" t="s">
        <v>6089</v>
      </c>
      <c r="E969" s="10" t="s">
        <v>26</v>
      </c>
      <c r="F969" s="10" t="s">
        <v>56</v>
      </c>
      <c r="G969" s="10" t="s">
        <v>57</v>
      </c>
      <c r="H969" s="10" t="s">
        <v>118</v>
      </c>
      <c r="I969" s="11">
        <v>45188</v>
      </c>
      <c r="J969" s="10" t="s">
        <v>30</v>
      </c>
      <c r="K969" s="11">
        <v>45454</v>
      </c>
      <c r="L969" s="10" t="s">
        <v>66</v>
      </c>
      <c r="M969" s="12">
        <v>66220</v>
      </c>
      <c r="N969" s="12">
        <v>2126</v>
      </c>
      <c r="O969" s="10" t="s">
        <v>32</v>
      </c>
      <c r="P969" s="10" t="s">
        <v>32</v>
      </c>
      <c r="Q969" s="10" t="s">
        <v>33</v>
      </c>
      <c r="R969" s="10" t="s">
        <v>33</v>
      </c>
      <c r="S969" s="10" t="s">
        <v>60</v>
      </c>
      <c r="T969" s="13">
        <v>31.1477</v>
      </c>
      <c r="U969" s="14">
        <v>266</v>
      </c>
      <c r="V969" s="14">
        <v>2024</v>
      </c>
      <c r="W969" s="10" t="s">
        <v>67</v>
      </c>
    </row>
    <row r="970" spans="1:23" s="9" customFormat="1" ht="15.75" hidden="1" customHeight="1" x14ac:dyDescent="0.25">
      <c r="A970" s="4" t="s">
        <v>2968</v>
      </c>
      <c r="B970" s="4" t="s">
        <v>2969</v>
      </c>
      <c r="C970" s="4" t="s">
        <v>2970</v>
      </c>
      <c r="D970" s="22" t="s">
        <v>6087</v>
      </c>
      <c r="E970" s="4" t="s">
        <v>26</v>
      </c>
      <c r="F970" s="4" t="s">
        <v>65</v>
      </c>
      <c r="G970" s="4" t="s">
        <v>5</v>
      </c>
      <c r="H970" s="4" t="s">
        <v>93</v>
      </c>
      <c r="I970" s="5">
        <v>45275</v>
      </c>
      <c r="J970" s="4" t="s">
        <v>40</v>
      </c>
      <c r="K970" s="5">
        <v>45603</v>
      </c>
      <c r="L970" s="4" t="s">
        <v>31</v>
      </c>
      <c r="M970" s="6">
        <v>13153</v>
      </c>
      <c r="N970" s="6">
        <v>7488</v>
      </c>
      <c r="O970" s="4" t="s">
        <v>32</v>
      </c>
      <c r="P970" s="4" t="s">
        <v>32</v>
      </c>
      <c r="Q970" s="4" t="s">
        <v>33</v>
      </c>
      <c r="R970" s="4" t="s">
        <v>33</v>
      </c>
      <c r="S970" s="4" t="s">
        <v>41</v>
      </c>
      <c r="T970" s="7">
        <v>1.7565</v>
      </c>
      <c r="U970" s="8">
        <v>328</v>
      </c>
      <c r="V970" s="8">
        <v>2024</v>
      </c>
      <c r="W970" s="4" t="s">
        <v>61</v>
      </c>
    </row>
    <row r="971" spans="1:23" s="9" customFormat="1" ht="15.75" hidden="1" customHeight="1" x14ac:dyDescent="0.25">
      <c r="A971" s="10" t="s">
        <v>2971</v>
      </c>
      <c r="B971" s="10" t="s">
        <v>2972</v>
      </c>
      <c r="C971" s="10" t="s">
        <v>2973</v>
      </c>
      <c r="D971" s="22" t="s">
        <v>6090</v>
      </c>
      <c r="E971" s="10" t="s">
        <v>51</v>
      </c>
      <c r="F971" s="10" t="s">
        <v>71</v>
      </c>
      <c r="G971" s="10" t="s">
        <v>5</v>
      </c>
      <c r="H971" s="10" t="s">
        <v>58</v>
      </c>
      <c r="I971" s="11">
        <v>45223</v>
      </c>
      <c r="J971" s="10" t="s">
        <v>30</v>
      </c>
      <c r="K971" s="11">
        <v>45406</v>
      </c>
      <c r="L971" s="10" t="s">
        <v>59</v>
      </c>
      <c r="M971" s="12">
        <v>48195</v>
      </c>
      <c r="N971" s="12">
        <v>817</v>
      </c>
      <c r="O971" s="10">
        <v>7</v>
      </c>
      <c r="P971" s="11">
        <v>45413</v>
      </c>
      <c r="Q971" s="10" t="s">
        <v>33</v>
      </c>
      <c r="R971" s="10" t="s">
        <v>33</v>
      </c>
      <c r="S971" s="10" t="s">
        <v>41</v>
      </c>
      <c r="T971" s="13">
        <v>58.990200000000002</v>
      </c>
      <c r="U971" s="14">
        <v>183</v>
      </c>
      <c r="V971" s="14">
        <v>2024</v>
      </c>
      <c r="W971" s="10" t="s">
        <v>47</v>
      </c>
    </row>
    <row r="972" spans="1:23" s="9" customFormat="1" ht="15.75" hidden="1" customHeight="1" x14ac:dyDescent="0.25">
      <c r="A972" s="4" t="s">
        <v>2974</v>
      </c>
      <c r="B972" s="4" t="s">
        <v>2975</v>
      </c>
      <c r="C972" s="4" t="s">
        <v>2976</v>
      </c>
      <c r="D972" s="21" t="s">
        <v>6089</v>
      </c>
      <c r="E972" s="4" t="s">
        <v>26</v>
      </c>
      <c r="F972" s="4" t="s">
        <v>46</v>
      </c>
      <c r="G972" s="4" t="s">
        <v>57</v>
      </c>
      <c r="H972" s="4" t="s">
        <v>58</v>
      </c>
      <c r="I972" s="5">
        <v>45446</v>
      </c>
      <c r="J972" s="4" t="s">
        <v>40</v>
      </c>
      <c r="K972" s="5">
        <v>45478</v>
      </c>
      <c r="L972" s="4" t="s">
        <v>59</v>
      </c>
      <c r="M972" s="6">
        <v>48307</v>
      </c>
      <c r="N972" s="6">
        <v>3279</v>
      </c>
      <c r="O972" s="4">
        <v>29</v>
      </c>
      <c r="P972" s="5">
        <v>45507</v>
      </c>
      <c r="Q972" s="4" t="s">
        <v>94</v>
      </c>
      <c r="R972" s="4" t="s">
        <v>94</v>
      </c>
      <c r="S972" s="4" t="s">
        <v>41</v>
      </c>
      <c r="T972" s="7">
        <v>14.732200000000001</v>
      </c>
      <c r="U972" s="8">
        <v>32</v>
      </c>
      <c r="V972" s="8">
        <v>2024</v>
      </c>
      <c r="W972" s="4" t="s">
        <v>42</v>
      </c>
    </row>
    <row r="973" spans="1:23" s="9" customFormat="1" ht="15.75" hidden="1" customHeight="1" x14ac:dyDescent="0.25">
      <c r="A973" s="10" t="s">
        <v>2977</v>
      </c>
      <c r="B973" s="10" t="s">
        <v>2978</v>
      </c>
      <c r="C973" s="10" t="s">
        <v>2979</v>
      </c>
      <c r="D973" s="21" t="s">
        <v>6088</v>
      </c>
      <c r="E973" s="10" t="s">
        <v>87</v>
      </c>
      <c r="F973" s="10" t="s">
        <v>71</v>
      </c>
      <c r="G973" s="10" t="s">
        <v>5</v>
      </c>
      <c r="H973" s="10" t="s">
        <v>118</v>
      </c>
      <c r="I973" s="11">
        <v>45344</v>
      </c>
      <c r="J973" s="10" t="s">
        <v>30</v>
      </c>
      <c r="K973" s="11">
        <v>45575</v>
      </c>
      <c r="L973" s="10" t="s">
        <v>59</v>
      </c>
      <c r="M973" s="12">
        <v>46615</v>
      </c>
      <c r="N973" s="12">
        <v>4397</v>
      </c>
      <c r="O973" s="10">
        <v>39</v>
      </c>
      <c r="P973" s="11">
        <v>45614</v>
      </c>
      <c r="Q973" s="10" t="s">
        <v>33</v>
      </c>
      <c r="R973" s="10" t="s">
        <v>33</v>
      </c>
      <c r="S973" s="10" t="s">
        <v>41</v>
      </c>
      <c r="T973" s="13">
        <v>10.6015</v>
      </c>
      <c r="U973" s="14">
        <v>231</v>
      </c>
      <c r="V973" s="14">
        <v>2024</v>
      </c>
      <c r="W973" s="10" t="s">
        <v>95</v>
      </c>
    </row>
    <row r="974" spans="1:23" s="9" customFormat="1" ht="15.75" hidden="1" customHeight="1" x14ac:dyDescent="0.25">
      <c r="A974" s="4" t="s">
        <v>2980</v>
      </c>
      <c r="B974" s="4" t="s">
        <v>2981</v>
      </c>
      <c r="C974" s="4" t="s">
        <v>2982</v>
      </c>
      <c r="D974" s="21" t="s">
        <v>6086</v>
      </c>
      <c r="E974" s="4" t="s">
        <v>26</v>
      </c>
      <c r="F974" s="4" t="s">
        <v>65</v>
      </c>
      <c r="G974" s="4" t="s">
        <v>5</v>
      </c>
      <c r="H974" s="4" t="s">
        <v>161</v>
      </c>
      <c r="I974" s="5">
        <v>45380</v>
      </c>
      <c r="J974" s="4" t="s">
        <v>30</v>
      </c>
      <c r="K974" s="5">
        <v>45534</v>
      </c>
      <c r="L974" s="4" t="s">
        <v>59</v>
      </c>
      <c r="M974" s="6">
        <v>80987</v>
      </c>
      <c r="N974" s="6">
        <v>5331</v>
      </c>
      <c r="O974" s="4">
        <v>2</v>
      </c>
      <c r="P974" s="5">
        <v>45536</v>
      </c>
      <c r="Q974" s="4" t="s">
        <v>33</v>
      </c>
      <c r="R974" s="4" t="s">
        <v>33</v>
      </c>
      <c r="S974" s="4" t="s">
        <v>60</v>
      </c>
      <c r="T974" s="7">
        <v>15.191700000000001</v>
      </c>
      <c r="U974" s="8">
        <v>154</v>
      </c>
      <c r="V974" s="8">
        <v>2024</v>
      </c>
      <c r="W974" s="4" t="s">
        <v>114</v>
      </c>
    </row>
    <row r="975" spans="1:23" s="9" customFormat="1" ht="15.75" hidden="1" customHeight="1" x14ac:dyDescent="0.25">
      <c r="A975" s="10" t="s">
        <v>2983</v>
      </c>
      <c r="B975" s="10" t="s">
        <v>2984</v>
      </c>
      <c r="C975" s="10" t="s">
        <v>2985</v>
      </c>
      <c r="D975" s="22" t="s">
        <v>6090</v>
      </c>
      <c r="E975" s="10" t="s">
        <v>26</v>
      </c>
      <c r="F975" s="10" t="s">
        <v>56</v>
      </c>
      <c r="G975" s="10" t="s">
        <v>28</v>
      </c>
      <c r="H975" s="10" t="s">
        <v>118</v>
      </c>
      <c r="I975" s="11">
        <v>45209</v>
      </c>
      <c r="J975" s="10" t="s">
        <v>30</v>
      </c>
      <c r="K975" s="11">
        <v>45399</v>
      </c>
      <c r="L975" s="10" t="s">
        <v>59</v>
      </c>
      <c r="M975" s="12">
        <v>44098</v>
      </c>
      <c r="N975" s="12">
        <v>2478</v>
      </c>
      <c r="O975" s="10">
        <v>13</v>
      </c>
      <c r="P975" s="11">
        <v>45412</v>
      </c>
      <c r="Q975" s="10" t="s">
        <v>94</v>
      </c>
      <c r="R975" s="10" t="s">
        <v>33</v>
      </c>
      <c r="S975" s="10" t="s">
        <v>34</v>
      </c>
      <c r="T975" s="13">
        <v>17.7958</v>
      </c>
      <c r="U975" s="14">
        <v>190</v>
      </c>
      <c r="V975" s="14">
        <v>2024</v>
      </c>
      <c r="W975" s="10" t="s">
        <v>47</v>
      </c>
    </row>
    <row r="976" spans="1:23" s="9" customFormat="1" ht="15.75" hidden="1" customHeight="1" x14ac:dyDescent="0.25">
      <c r="A976" s="4" t="s">
        <v>2986</v>
      </c>
      <c r="B976" s="4" t="s">
        <v>2987</v>
      </c>
      <c r="C976" s="4" t="s">
        <v>2988</v>
      </c>
      <c r="D976" s="21" t="s">
        <v>6089</v>
      </c>
      <c r="E976" s="4" t="s">
        <v>26</v>
      </c>
      <c r="F976" s="4" t="s">
        <v>71</v>
      </c>
      <c r="G976" s="4" t="s">
        <v>5</v>
      </c>
      <c r="H976" s="4" t="s">
        <v>88</v>
      </c>
      <c r="I976" s="5">
        <v>45351</v>
      </c>
      <c r="J976" s="4" t="s">
        <v>30</v>
      </c>
      <c r="K976" s="5">
        <v>45524</v>
      </c>
      <c r="L976" s="4" t="s">
        <v>31</v>
      </c>
      <c r="M976" s="6">
        <v>19134</v>
      </c>
      <c r="N976" s="6">
        <v>856</v>
      </c>
      <c r="O976" s="4" t="s">
        <v>32</v>
      </c>
      <c r="P976" s="4" t="s">
        <v>32</v>
      </c>
      <c r="Q976" s="4" t="s">
        <v>33</v>
      </c>
      <c r="R976" s="4" t="s">
        <v>33</v>
      </c>
      <c r="S976" s="4" t="s">
        <v>34</v>
      </c>
      <c r="T976" s="7">
        <v>22.352799999999998</v>
      </c>
      <c r="U976" s="8">
        <v>173</v>
      </c>
      <c r="V976" s="8">
        <v>2024</v>
      </c>
      <c r="W976" s="4" t="s">
        <v>114</v>
      </c>
    </row>
    <row r="977" spans="1:23" s="9" customFormat="1" ht="15.75" hidden="1" customHeight="1" x14ac:dyDescent="0.25">
      <c r="A977" s="10" t="s">
        <v>2989</v>
      </c>
      <c r="B977" s="10" t="s">
        <v>2990</v>
      </c>
      <c r="C977" s="10" t="s">
        <v>2991</v>
      </c>
      <c r="D977" s="21" t="s">
        <v>6086</v>
      </c>
      <c r="E977" s="10" t="s">
        <v>87</v>
      </c>
      <c r="F977" s="10" t="s">
        <v>71</v>
      </c>
      <c r="G977" s="10" t="s">
        <v>5</v>
      </c>
      <c r="H977" s="10" t="s">
        <v>29</v>
      </c>
      <c r="I977" s="11">
        <v>45395</v>
      </c>
      <c r="J977" s="10" t="s">
        <v>30</v>
      </c>
      <c r="K977" s="11">
        <v>45610</v>
      </c>
      <c r="L977" s="10" t="s">
        <v>59</v>
      </c>
      <c r="M977" s="12">
        <v>97132</v>
      </c>
      <c r="N977" s="12">
        <v>8587</v>
      </c>
      <c r="O977" s="10">
        <v>40</v>
      </c>
      <c r="P977" s="11">
        <v>45650</v>
      </c>
      <c r="Q977" s="10" t="s">
        <v>33</v>
      </c>
      <c r="R977" s="10" t="s">
        <v>33</v>
      </c>
      <c r="S977" s="10" t="s">
        <v>60</v>
      </c>
      <c r="T977" s="13">
        <v>11.311500000000001</v>
      </c>
      <c r="U977" s="14">
        <v>215</v>
      </c>
      <c r="V977" s="14">
        <v>2024</v>
      </c>
      <c r="W977" s="10" t="s">
        <v>61</v>
      </c>
    </row>
    <row r="978" spans="1:23" s="9" customFormat="1" ht="15.75" hidden="1" customHeight="1" x14ac:dyDescent="0.25">
      <c r="A978" s="4" t="s">
        <v>2992</v>
      </c>
      <c r="B978" s="4" t="s">
        <v>2993</v>
      </c>
      <c r="C978" s="4" t="s">
        <v>2994</v>
      </c>
      <c r="D978" s="22" t="s">
        <v>6090</v>
      </c>
      <c r="E978" s="4" t="s">
        <v>87</v>
      </c>
      <c r="F978" s="4" t="s">
        <v>65</v>
      </c>
      <c r="G978" s="4" t="s">
        <v>57</v>
      </c>
      <c r="H978" s="4" t="s">
        <v>39</v>
      </c>
      <c r="I978" s="5">
        <v>45434</v>
      </c>
      <c r="J978" s="4" t="s">
        <v>40</v>
      </c>
      <c r="K978" s="5">
        <v>45621</v>
      </c>
      <c r="L978" s="4" t="s">
        <v>59</v>
      </c>
      <c r="M978" s="6">
        <v>20039</v>
      </c>
      <c r="N978" s="6">
        <v>7128</v>
      </c>
      <c r="O978" s="4">
        <v>35</v>
      </c>
      <c r="P978" s="5">
        <v>45656</v>
      </c>
      <c r="Q978" s="4" t="s">
        <v>33</v>
      </c>
      <c r="R978" s="4" t="s">
        <v>33</v>
      </c>
      <c r="S978" s="4" t="s">
        <v>60</v>
      </c>
      <c r="T978" s="7">
        <v>2.8113000000000001</v>
      </c>
      <c r="U978" s="8">
        <v>187</v>
      </c>
      <c r="V978" s="8">
        <v>2024</v>
      </c>
      <c r="W978" s="4" t="s">
        <v>61</v>
      </c>
    </row>
    <row r="979" spans="1:23" s="9" customFormat="1" ht="15.75" hidden="1" customHeight="1" x14ac:dyDescent="0.25">
      <c r="A979" s="10" t="s">
        <v>2995</v>
      </c>
      <c r="B979" s="10" t="s">
        <v>2996</v>
      </c>
      <c r="C979" s="10" t="s">
        <v>2997</v>
      </c>
      <c r="D979" s="21" t="s">
        <v>6089</v>
      </c>
      <c r="E979" s="10" t="s">
        <v>51</v>
      </c>
      <c r="F979" s="10" t="s">
        <v>56</v>
      </c>
      <c r="G979" s="10" t="s">
        <v>5</v>
      </c>
      <c r="H979" s="10" t="s">
        <v>161</v>
      </c>
      <c r="I979" s="11">
        <v>45204</v>
      </c>
      <c r="J979" s="10" t="s">
        <v>30</v>
      </c>
      <c r="K979" s="11">
        <v>45299</v>
      </c>
      <c r="L979" s="10" t="s">
        <v>31</v>
      </c>
      <c r="M979" s="12">
        <v>18405</v>
      </c>
      <c r="N979" s="12">
        <v>826</v>
      </c>
      <c r="O979" s="10" t="s">
        <v>32</v>
      </c>
      <c r="P979" s="10" t="s">
        <v>32</v>
      </c>
      <c r="Q979" s="10" t="s">
        <v>33</v>
      </c>
      <c r="R979" s="10" t="s">
        <v>33</v>
      </c>
      <c r="S979" s="10" t="s">
        <v>34</v>
      </c>
      <c r="T979" s="13">
        <v>22.2821</v>
      </c>
      <c r="U979" s="14">
        <v>95</v>
      </c>
      <c r="V979" s="14">
        <v>2024</v>
      </c>
      <c r="W979" s="10" t="s">
        <v>73</v>
      </c>
    </row>
    <row r="980" spans="1:23" s="9" customFormat="1" ht="15.75" hidden="1" customHeight="1" x14ac:dyDescent="0.25">
      <c r="A980" s="4" t="s">
        <v>2998</v>
      </c>
      <c r="B980" s="4" t="s">
        <v>2999</v>
      </c>
      <c r="C980" s="4" t="s">
        <v>3000</v>
      </c>
      <c r="D980" s="21" t="s">
        <v>6091</v>
      </c>
      <c r="E980" s="4" t="s">
        <v>87</v>
      </c>
      <c r="F980" s="4" t="s">
        <v>71</v>
      </c>
      <c r="G980" s="4" t="s">
        <v>28</v>
      </c>
      <c r="H980" s="4" t="s">
        <v>118</v>
      </c>
      <c r="I980" s="5">
        <v>45132</v>
      </c>
      <c r="J980" s="4" t="s">
        <v>30</v>
      </c>
      <c r="K980" s="5">
        <v>45329</v>
      </c>
      <c r="L980" s="4" t="s">
        <v>59</v>
      </c>
      <c r="M980" s="6">
        <v>2719</v>
      </c>
      <c r="N980" s="6">
        <v>3017</v>
      </c>
      <c r="O980" s="4">
        <v>9</v>
      </c>
      <c r="P980" s="5">
        <v>45338</v>
      </c>
      <c r="Q980" s="4" t="s">
        <v>33</v>
      </c>
      <c r="R980" s="4" t="s">
        <v>33</v>
      </c>
      <c r="S980" s="4" t="s">
        <v>60</v>
      </c>
      <c r="T980" s="7">
        <v>0.9012</v>
      </c>
      <c r="U980" s="8">
        <v>197</v>
      </c>
      <c r="V980" s="8">
        <v>2024</v>
      </c>
      <c r="W980" s="4" t="s">
        <v>35</v>
      </c>
    </row>
    <row r="981" spans="1:23" s="9" customFormat="1" ht="15.75" hidden="1" customHeight="1" x14ac:dyDescent="0.25">
      <c r="A981" s="10" t="s">
        <v>3001</v>
      </c>
      <c r="B981" s="10" t="s">
        <v>3002</v>
      </c>
      <c r="C981" s="10" t="s">
        <v>3003</v>
      </c>
      <c r="D981" s="22" t="s">
        <v>6090</v>
      </c>
      <c r="E981" s="10" t="s">
        <v>87</v>
      </c>
      <c r="F981" s="10" t="s">
        <v>46</v>
      </c>
      <c r="G981" s="10" t="s">
        <v>57</v>
      </c>
      <c r="H981" s="10" t="s">
        <v>118</v>
      </c>
      <c r="I981" s="11">
        <v>45173</v>
      </c>
      <c r="J981" s="10" t="s">
        <v>40</v>
      </c>
      <c r="K981" s="11">
        <v>45389</v>
      </c>
      <c r="L981" s="10" t="s">
        <v>66</v>
      </c>
      <c r="M981" s="12">
        <v>6520</v>
      </c>
      <c r="N981" s="12">
        <v>1654</v>
      </c>
      <c r="O981" s="10" t="s">
        <v>32</v>
      </c>
      <c r="P981" s="10" t="s">
        <v>32</v>
      </c>
      <c r="Q981" s="10" t="s">
        <v>33</v>
      </c>
      <c r="R981" s="10" t="s">
        <v>33</v>
      </c>
      <c r="S981" s="10" t="s">
        <v>34</v>
      </c>
      <c r="T981" s="13">
        <v>3.9420000000000002</v>
      </c>
      <c r="U981" s="14">
        <v>216</v>
      </c>
      <c r="V981" s="14">
        <v>2024</v>
      </c>
      <c r="W981" s="10" t="s">
        <v>47</v>
      </c>
    </row>
    <row r="982" spans="1:23" s="9" customFormat="1" ht="15.75" hidden="1" customHeight="1" x14ac:dyDescent="0.25">
      <c r="A982" s="4" t="s">
        <v>3004</v>
      </c>
      <c r="B982" s="4" t="s">
        <v>3005</v>
      </c>
      <c r="C982" s="4" t="s">
        <v>3006</v>
      </c>
      <c r="D982" s="22" t="s">
        <v>6087</v>
      </c>
      <c r="E982" s="4" t="s">
        <v>51</v>
      </c>
      <c r="F982" s="4" t="s">
        <v>65</v>
      </c>
      <c r="G982" s="4" t="s">
        <v>28</v>
      </c>
      <c r="H982" s="4" t="s">
        <v>118</v>
      </c>
      <c r="I982" s="5">
        <v>45247</v>
      </c>
      <c r="J982" s="4" t="s">
        <v>40</v>
      </c>
      <c r="K982" s="5">
        <v>45569</v>
      </c>
      <c r="L982" s="4" t="s">
        <v>59</v>
      </c>
      <c r="M982" s="6">
        <v>21997</v>
      </c>
      <c r="N982" s="6">
        <v>5623</v>
      </c>
      <c r="O982" s="4">
        <v>37</v>
      </c>
      <c r="P982" s="5">
        <v>45606</v>
      </c>
      <c r="Q982" s="4" t="s">
        <v>33</v>
      </c>
      <c r="R982" s="4" t="s">
        <v>33</v>
      </c>
      <c r="S982" s="4" t="s">
        <v>60</v>
      </c>
      <c r="T982" s="7">
        <v>3.9119999999999999</v>
      </c>
      <c r="U982" s="8">
        <v>322</v>
      </c>
      <c r="V982" s="8">
        <v>2024</v>
      </c>
      <c r="W982" s="4" t="s">
        <v>95</v>
      </c>
    </row>
    <row r="983" spans="1:23" s="9" customFormat="1" ht="15.75" hidden="1" customHeight="1" x14ac:dyDescent="0.25">
      <c r="A983" s="10" t="s">
        <v>3007</v>
      </c>
      <c r="B983" s="10" t="s">
        <v>3008</v>
      </c>
      <c r="C983" s="10" t="s">
        <v>3009</v>
      </c>
      <c r="D983" s="22" t="s">
        <v>6090</v>
      </c>
      <c r="E983" s="10" t="s">
        <v>87</v>
      </c>
      <c r="F983" s="10" t="s">
        <v>27</v>
      </c>
      <c r="G983" s="10" t="s">
        <v>28</v>
      </c>
      <c r="H983" s="10" t="s">
        <v>29</v>
      </c>
      <c r="I983" s="11">
        <v>45231</v>
      </c>
      <c r="J983" s="10" t="s">
        <v>40</v>
      </c>
      <c r="K983" s="11">
        <v>45364</v>
      </c>
      <c r="L983" s="10" t="s">
        <v>59</v>
      </c>
      <c r="M983" s="12">
        <v>32172</v>
      </c>
      <c r="N983" s="12">
        <v>7439</v>
      </c>
      <c r="O983" s="10">
        <v>45</v>
      </c>
      <c r="P983" s="11">
        <v>45409</v>
      </c>
      <c r="Q983" s="10" t="s">
        <v>33</v>
      </c>
      <c r="R983" s="10" t="s">
        <v>33</v>
      </c>
      <c r="S983" s="10" t="s">
        <v>60</v>
      </c>
      <c r="T983" s="13">
        <v>4.3247999999999998</v>
      </c>
      <c r="U983" s="14">
        <v>133</v>
      </c>
      <c r="V983" s="14">
        <v>2024</v>
      </c>
      <c r="W983" s="10" t="s">
        <v>77</v>
      </c>
    </row>
    <row r="984" spans="1:23" s="9" customFormat="1" ht="15.75" hidden="1" customHeight="1" x14ac:dyDescent="0.25">
      <c r="A984" s="4" t="s">
        <v>3010</v>
      </c>
      <c r="B984" s="4" t="s">
        <v>3011</v>
      </c>
      <c r="C984" s="4" t="s">
        <v>3012</v>
      </c>
      <c r="D984" s="22" t="s">
        <v>6087</v>
      </c>
      <c r="E984" s="4" t="s">
        <v>51</v>
      </c>
      <c r="F984" s="21" t="s">
        <v>6092</v>
      </c>
      <c r="G984" s="4" t="s">
        <v>5</v>
      </c>
      <c r="H984" s="4" t="s">
        <v>88</v>
      </c>
      <c r="I984" s="5">
        <v>45273</v>
      </c>
      <c r="J984" s="4" t="s">
        <v>30</v>
      </c>
      <c r="K984" s="5">
        <v>45348</v>
      </c>
      <c r="L984" s="4" t="s">
        <v>59</v>
      </c>
      <c r="M984" s="6">
        <v>21435</v>
      </c>
      <c r="N984" s="6">
        <v>7761</v>
      </c>
      <c r="O984" s="4">
        <v>20</v>
      </c>
      <c r="P984" s="5">
        <v>45368</v>
      </c>
      <c r="Q984" s="4" t="s">
        <v>94</v>
      </c>
      <c r="R984" s="4" t="s">
        <v>33</v>
      </c>
      <c r="S984" s="4" t="s">
        <v>60</v>
      </c>
      <c r="T984" s="7">
        <v>2.7618999999999998</v>
      </c>
      <c r="U984" s="8">
        <v>75</v>
      </c>
      <c r="V984" s="8">
        <v>2024</v>
      </c>
      <c r="W984" s="4" t="s">
        <v>35</v>
      </c>
    </row>
    <row r="985" spans="1:23" s="9" customFormat="1" ht="15.75" hidden="1" customHeight="1" x14ac:dyDescent="0.25">
      <c r="A985" s="10" t="s">
        <v>3013</v>
      </c>
      <c r="B985" s="10" t="s">
        <v>3014</v>
      </c>
      <c r="C985" s="10" t="s">
        <v>3015</v>
      </c>
      <c r="D985" s="21" t="s">
        <v>6086</v>
      </c>
      <c r="E985" s="10" t="s">
        <v>87</v>
      </c>
      <c r="F985" s="10" t="s">
        <v>56</v>
      </c>
      <c r="G985" s="10" t="s">
        <v>5</v>
      </c>
      <c r="H985" s="10" t="s">
        <v>58</v>
      </c>
      <c r="I985" s="11">
        <v>45447</v>
      </c>
      <c r="J985" s="10" t="s">
        <v>30</v>
      </c>
      <c r="K985" s="11">
        <v>45562</v>
      </c>
      <c r="L985" s="10" t="s">
        <v>59</v>
      </c>
      <c r="M985" s="12">
        <v>30859</v>
      </c>
      <c r="N985" s="12">
        <v>5442</v>
      </c>
      <c r="O985" s="10">
        <v>26</v>
      </c>
      <c r="P985" s="11">
        <v>45588</v>
      </c>
      <c r="Q985" s="10" t="s">
        <v>94</v>
      </c>
      <c r="R985" s="10" t="s">
        <v>33</v>
      </c>
      <c r="S985" s="10" t="s">
        <v>60</v>
      </c>
      <c r="T985" s="13">
        <v>5.6704999999999997</v>
      </c>
      <c r="U985" s="14">
        <v>115</v>
      </c>
      <c r="V985" s="14">
        <v>2024</v>
      </c>
      <c r="W985" s="10" t="s">
        <v>168</v>
      </c>
    </row>
    <row r="986" spans="1:23" s="9" customFormat="1" ht="15.75" hidden="1" customHeight="1" x14ac:dyDescent="0.25">
      <c r="A986" s="4" t="s">
        <v>3016</v>
      </c>
      <c r="B986" s="4" t="s">
        <v>3017</v>
      </c>
      <c r="C986" s="4" t="s">
        <v>3018</v>
      </c>
      <c r="D986" s="22" t="s">
        <v>6087</v>
      </c>
      <c r="E986" s="4" t="s">
        <v>26</v>
      </c>
      <c r="F986" s="4" t="s">
        <v>46</v>
      </c>
      <c r="G986" s="4" t="s">
        <v>28</v>
      </c>
      <c r="H986" s="4" t="s">
        <v>161</v>
      </c>
      <c r="I986" s="5">
        <v>45209</v>
      </c>
      <c r="J986" s="4" t="s">
        <v>30</v>
      </c>
      <c r="K986" s="5">
        <v>45339</v>
      </c>
      <c r="L986" s="4" t="s">
        <v>66</v>
      </c>
      <c r="M986" s="6">
        <v>6588</v>
      </c>
      <c r="N986" s="6">
        <v>4702</v>
      </c>
      <c r="O986" s="4" t="s">
        <v>32</v>
      </c>
      <c r="P986" s="4" t="s">
        <v>32</v>
      </c>
      <c r="Q986" s="4" t="s">
        <v>33</v>
      </c>
      <c r="R986" s="4" t="s">
        <v>33</v>
      </c>
      <c r="S986" s="4" t="s">
        <v>41</v>
      </c>
      <c r="T986" s="7">
        <v>1.4011</v>
      </c>
      <c r="U986" s="8">
        <v>130</v>
      </c>
      <c r="V986" s="8">
        <v>2024</v>
      </c>
      <c r="W986" s="4" t="s">
        <v>35</v>
      </c>
    </row>
    <row r="987" spans="1:23" s="9" customFormat="1" ht="15.75" hidden="1" customHeight="1" x14ac:dyDescent="0.25">
      <c r="A987" s="10" t="s">
        <v>3019</v>
      </c>
      <c r="B987" s="10" t="s">
        <v>3020</v>
      </c>
      <c r="C987" s="10" t="s">
        <v>3021</v>
      </c>
      <c r="D987" s="22" t="s">
        <v>6090</v>
      </c>
      <c r="E987" s="10" t="s">
        <v>51</v>
      </c>
      <c r="F987" s="10" t="s">
        <v>27</v>
      </c>
      <c r="G987" s="10" t="s">
        <v>28</v>
      </c>
      <c r="H987" s="10" t="s">
        <v>58</v>
      </c>
      <c r="I987" s="11">
        <v>45273</v>
      </c>
      <c r="J987" s="10" t="s">
        <v>30</v>
      </c>
      <c r="K987" s="11">
        <v>45388</v>
      </c>
      <c r="L987" s="10" t="s">
        <v>31</v>
      </c>
      <c r="M987" s="12">
        <v>35475</v>
      </c>
      <c r="N987" s="12">
        <v>3529</v>
      </c>
      <c r="O987" s="10" t="s">
        <v>32</v>
      </c>
      <c r="P987" s="10" t="s">
        <v>32</v>
      </c>
      <c r="Q987" s="10" t="s">
        <v>33</v>
      </c>
      <c r="R987" s="10" t="s">
        <v>33</v>
      </c>
      <c r="S987" s="10" t="s">
        <v>60</v>
      </c>
      <c r="T987" s="13">
        <v>10.0524</v>
      </c>
      <c r="U987" s="14">
        <v>115</v>
      </c>
      <c r="V987" s="14">
        <v>2024</v>
      </c>
      <c r="W987" s="10" t="s">
        <v>47</v>
      </c>
    </row>
    <row r="988" spans="1:23" s="9" customFormat="1" ht="15.75" hidden="1" customHeight="1" x14ac:dyDescent="0.25">
      <c r="A988" s="4" t="s">
        <v>3022</v>
      </c>
      <c r="B988" s="4" t="s">
        <v>3023</v>
      </c>
      <c r="C988" s="4" t="s">
        <v>3024</v>
      </c>
      <c r="D988" s="22" t="s">
        <v>6087</v>
      </c>
      <c r="E988" s="4" t="s">
        <v>51</v>
      </c>
      <c r="F988" s="4" t="s">
        <v>56</v>
      </c>
      <c r="G988" s="4" t="s">
        <v>5</v>
      </c>
      <c r="H988" s="4" t="s">
        <v>29</v>
      </c>
      <c r="I988" s="5">
        <v>45164</v>
      </c>
      <c r="J988" s="4" t="s">
        <v>40</v>
      </c>
      <c r="K988" s="5">
        <v>45348</v>
      </c>
      <c r="L988" s="4" t="s">
        <v>59</v>
      </c>
      <c r="M988" s="6">
        <v>22042</v>
      </c>
      <c r="N988" s="6">
        <v>6507</v>
      </c>
      <c r="O988" s="4">
        <v>22</v>
      </c>
      <c r="P988" s="5">
        <v>45370</v>
      </c>
      <c r="Q988" s="4" t="s">
        <v>33</v>
      </c>
      <c r="R988" s="4" t="s">
        <v>33</v>
      </c>
      <c r="S988" s="4" t="s">
        <v>41</v>
      </c>
      <c r="T988" s="7">
        <v>3.3874</v>
      </c>
      <c r="U988" s="8">
        <v>184</v>
      </c>
      <c r="V988" s="8">
        <v>2024</v>
      </c>
      <c r="W988" s="4" t="s">
        <v>35</v>
      </c>
    </row>
    <row r="989" spans="1:23" s="9" customFormat="1" ht="15.75" hidden="1" customHeight="1" x14ac:dyDescent="0.25">
      <c r="A989" s="10" t="s">
        <v>3025</v>
      </c>
      <c r="B989" s="10" t="s">
        <v>3026</v>
      </c>
      <c r="C989" s="10" t="s">
        <v>3027</v>
      </c>
      <c r="D989" s="22" t="s">
        <v>6090</v>
      </c>
      <c r="E989" s="10" t="s">
        <v>26</v>
      </c>
      <c r="F989" s="21" t="s">
        <v>6092</v>
      </c>
      <c r="G989" s="10" t="s">
        <v>28</v>
      </c>
      <c r="H989" s="10" t="s">
        <v>72</v>
      </c>
      <c r="I989" s="11">
        <v>45544</v>
      </c>
      <c r="J989" s="10" t="s">
        <v>30</v>
      </c>
      <c r="K989" s="11">
        <v>45649</v>
      </c>
      <c r="L989" s="10" t="s">
        <v>59</v>
      </c>
      <c r="M989" s="12">
        <v>21615</v>
      </c>
      <c r="N989" s="12">
        <v>2699</v>
      </c>
      <c r="O989" s="10">
        <v>2</v>
      </c>
      <c r="P989" s="11">
        <v>45651</v>
      </c>
      <c r="Q989" s="10" t="s">
        <v>33</v>
      </c>
      <c r="R989" s="10" t="s">
        <v>33</v>
      </c>
      <c r="S989" s="10" t="s">
        <v>34</v>
      </c>
      <c r="T989" s="13">
        <v>8.0084999999999997</v>
      </c>
      <c r="U989" s="14">
        <v>105</v>
      </c>
      <c r="V989" s="14">
        <v>2024</v>
      </c>
      <c r="W989" s="10" t="s">
        <v>89</v>
      </c>
    </row>
    <row r="990" spans="1:23" s="9" customFormat="1" ht="15.75" hidden="1" customHeight="1" x14ac:dyDescent="0.25">
      <c r="A990" s="4" t="s">
        <v>3028</v>
      </c>
      <c r="B990" s="4" t="s">
        <v>3029</v>
      </c>
      <c r="C990" s="4" t="s">
        <v>3030</v>
      </c>
      <c r="D990" s="21" t="s">
        <v>6089</v>
      </c>
      <c r="E990" s="4" t="s">
        <v>26</v>
      </c>
      <c r="F990" s="4" t="s">
        <v>27</v>
      </c>
      <c r="G990" s="4" t="s">
        <v>28</v>
      </c>
      <c r="H990" s="4" t="s">
        <v>58</v>
      </c>
      <c r="I990" s="5">
        <v>45263</v>
      </c>
      <c r="J990" s="4" t="s">
        <v>30</v>
      </c>
      <c r="K990" s="5">
        <v>45500</v>
      </c>
      <c r="L990" s="4" t="s">
        <v>31</v>
      </c>
      <c r="M990" s="6">
        <v>10230</v>
      </c>
      <c r="N990" s="6">
        <v>5347</v>
      </c>
      <c r="O990" s="4" t="s">
        <v>32</v>
      </c>
      <c r="P990" s="4" t="s">
        <v>32</v>
      </c>
      <c r="Q990" s="4" t="s">
        <v>33</v>
      </c>
      <c r="R990" s="4" t="s">
        <v>33</v>
      </c>
      <c r="S990" s="4" t="s">
        <v>34</v>
      </c>
      <c r="T990" s="7">
        <v>1.9132</v>
      </c>
      <c r="U990" s="8">
        <v>237</v>
      </c>
      <c r="V990" s="8">
        <v>2024</v>
      </c>
      <c r="W990" s="4" t="s">
        <v>42</v>
      </c>
    </row>
    <row r="991" spans="1:23" s="9" customFormat="1" ht="15.75" hidden="1" customHeight="1" x14ac:dyDescent="0.25">
      <c r="A991" s="10" t="s">
        <v>3031</v>
      </c>
      <c r="B991" s="10" t="s">
        <v>3032</v>
      </c>
      <c r="C991" s="10" t="s">
        <v>3033</v>
      </c>
      <c r="D991" s="21" t="s">
        <v>6086</v>
      </c>
      <c r="E991" s="10" t="s">
        <v>87</v>
      </c>
      <c r="F991" s="10" t="s">
        <v>71</v>
      </c>
      <c r="G991" s="10" t="s">
        <v>5</v>
      </c>
      <c r="H991" s="10" t="s">
        <v>72</v>
      </c>
      <c r="I991" s="11">
        <v>45393</v>
      </c>
      <c r="J991" s="10" t="s">
        <v>30</v>
      </c>
      <c r="K991" s="11">
        <v>45553</v>
      </c>
      <c r="L991" s="10" t="s">
        <v>66</v>
      </c>
      <c r="M991" s="12">
        <v>94232</v>
      </c>
      <c r="N991" s="12">
        <v>3347</v>
      </c>
      <c r="O991" s="10" t="s">
        <v>32</v>
      </c>
      <c r="P991" s="10" t="s">
        <v>32</v>
      </c>
      <c r="Q991" s="10" t="s">
        <v>33</v>
      </c>
      <c r="R991" s="10" t="s">
        <v>33</v>
      </c>
      <c r="S991" s="10" t="s">
        <v>60</v>
      </c>
      <c r="T991" s="13">
        <v>28.154199999999999</v>
      </c>
      <c r="U991" s="14">
        <v>160</v>
      </c>
      <c r="V991" s="14">
        <v>2024</v>
      </c>
      <c r="W991" s="10" t="s">
        <v>168</v>
      </c>
    </row>
    <row r="992" spans="1:23" s="9" customFormat="1" ht="15.75" hidden="1" customHeight="1" x14ac:dyDescent="0.25">
      <c r="A992" s="4" t="s">
        <v>3034</v>
      </c>
      <c r="B992" s="4" t="s">
        <v>3035</v>
      </c>
      <c r="C992" s="4" t="s">
        <v>3036</v>
      </c>
      <c r="D992" s="21" t="s">
        <v>6091</v>
      </c>
      <c r="E992" s="4" t="s">
        <v>51</v>
      </c>
      <c r="F992" s="4" t="s">
        <v>46</v>
      </c>
      <c r="G992" s="4" t="s">
        <v>28</v>
      </c>
      <c r="H992" s="4" t="s">
        <v>72</v>
      </c>
      <c r="I992" s="5">
        <v>45218</v>
      </c>
      <c r="J992" s="4" t="s">
        <v>40</v>
      </c>
      <c r="K992" s="5">
        <v>45546</v>
      </c>
      <c r="L992" s="4" t="s">
        <v>59</v>
      </c>
      <c r="M992" s="6">
        <v>18329</v>
      </c>
      <c r="N992" s="6">
        <v>2561</v>
      </c>
      <c r="O992" s="4">
        <v>3</v>
      </c>
      <c r="P992" s="5">
        <v>45549</v>
      </c>
      <c r="Q992" s="4" t="s">
        <v>33</v>
      </c>
      <c r="R992" s="4" t="s">
        <v>33</v>
      </c>
      <c r="S992" s="4" t="s">
        <v>60</v>
      </c>
      <c r="T992" s="7">
        <v>7.157</v>
      </c>
      <c r="U992" s="8">
        <v>328</v>
      </c>
      <c r="V992" s="8">
        <v>2024</v>
      </c>
      <c r="W992" s="4" t="s">
        <v>168</v>
      </c>
    </row>
    <row r="993" spans="1:23" s="9" customFormat="1" ht="15.75" hidden="1" customHeight="1" x14ac:dyDescent="0.25">
      <c r="A993" s="10" t="s">
        <v>3037</v>
      </c>
      <c r="B993" s="10" t="s">
        <v>3038</v>
      </c>
      <c r="C993" s="10" t="s">
        <v>3039</v>
      </c>
      <c r="D993" s="21" t="s">
        <v>6088</v>
      </c>
      <c r="E993" s="10" t="s">
        <v>51</v>
      </c>
      <c r="F993" s="10" t="s">
        <v>56</v>
      </c>
      <c r="G993" s="10" t="s">
        <v>57</v>
      </c>
      <c r="H993" s="10" t="s">
        <v>93</v>
      </c>
      <c r="I993" s="11">
        <v>45287</v>
      </c>
      <c r="J993" s="10" t="s">
        <v>30</v>
      </c>
      <c r="K993" s="11">
        <v>45558</v>
      </c>
      <c r="L993" s="10" t="s">
        <v>59</v>
      </c>
      <c r="M993" s="12">
        <v>37761</v>
      </c>
      <c r="N993" s="12">
        <v>1845</v>
      </c>
      <c r="O993" s="10">
        <v>22</v>
      </c>
      <c r="P993" s="11">
        <v>45580</v>
      </c>
      <c r="Q993" s="10" t="s">
        <v>33</v>
      </c>
      <c r="R993" s="10" t="s">
        <v>33</v>
      </c>
      <c r="S993" s="10" t="s">
        <v>34</v>
      </c>
      <c r="T993" s="13">
        <v>20.466699999999999</v>
      </c>
      <c r="U993" s="14">
        <v>271</v>
      </c>
      <c r="V993" s="14">
        <v>2024</v>
      </c>
      <c r="W993" s="10" t="s">
        <v>168</v>
      </c>
    </row>
    <row r="994" spans="1:23" s="9" customFormat="1" ht="15.75" hidden="1" customHeight="1" x14ac:dyDescent="0.25">
      <c r="A994" s="4" t="s">
        <v>3040</v>
      </c>
      <c r="B994" s="4" t="s">
        <v>3041</v>
      </c>
      <c r="C994" s="4" t="s">
        <v>3042</v>
      </c>
      <c r="D994" s="22" t="s">
        <v>6087</v>
      </c>
      <c r="E994" s="4" t="s">
        <v>87</v>
      </c>
      <c r="F994" s="4" t="s">
        <v>71</v>
      </c>
      <c r="G994" s="4" t="s">
        <v>5</v>
      </c>
      <c r="H994" s="4" t="s">
        <v>93</v>
      </c>
      <c r="I994" s="5">
        <v>45222</v>
      </c>
      <c r="J994" s="4" t="s">
        <v>30</v>
      </c>
      <c r="K994" s="5">
        <v>45380</v>
      </c>
      <c r="L994" s="4" t="s">
        <v>31</v>
      </c>
      <c r="M994" s="6">
        <v>11716</v>
      </c>
      <c r="N994" s="6">
        <v>627</v>
      </c>
      <c r="O994" s="4" t="s">
        <v>32</v>
      </c>
      <c r="P994" s="4" t="s">
        <v>32</v>
      </c>
      <c r="Q994" s="4" t="s">
        <v>33</v>
      </c>
      <c r="R994" s="4" t="s">
        <v>33</v>
      </c>
      <c r="S994" s="4" t="s">
        <v>41</v>
      </c>
      <c r="T994" s="7">
        <v>18.6858</v>
      </c>
      <c r="U994" s="8">
        <v>158</v>
      </c>
      <c r="V994" s="8">
        <v>2024</v>
      </c>
      <c r="W994" s="4" t="s">
        <v>77</v>
      </c>
    </row>
    <row r="995" spans="1:23" s="9" customFormat="1" ht="15.75" hidden="1" customHeight="1" x14ac:dyDescent="0.25">
      <c r="A995" s="10" t="s">
        <v>3043</v>
      </c>
      <c r="B995" s="10" t="s">
        <v>3044</v>
      </c>
      <c r="C995" s="10" t="s">
        <v>3045</v>
      </c>
      <c r="D995" s="21" t="s">
        <v>6091</v>
      </c>
      <c r="E995" s="10" t="s">
        <v>51</v>
      </c>
      <c r="F995" s="10" t="s">
        <v>71</v>
      </c>
      <c r="G995" s="10" t="s">
        <v>57</v>
      </c>
      <c r="H995" s="10" t="s">
        <v>29</v>
      </c>
      <c r="I995" s="11">
        <v>45185</v>
      </c>
      <c r="J995" s="10" t="s">
        <v>40</v>
      </c>
      <c r="K995" s="11">
        <v>45402</v>
      </c>
      <c r="L995" s="10" t="s">
        <v>59</v>
      </c>
      <c r="M995" s="12">
        <v>5742</v>
      </c>
      <c r="N995" s="12">
        <v>5428</v>
      </c>
      <c r="O995" s="10">
        <v>29</v>
      </c>
      <c r="P995" s="11">
        <v>45431</v>
      </c>
      <c r="Q995" s="10" t="s">
        <v>33</v>
      </c>
      <c r="R995" s="10" t="s">
        <v>33</v>
      </c>
      <c r="S995" s="10" t="s">
        <v>41</v>
      </c>
      <c r="T995" s="13">
        <v>1.0578000000000001</v>
      </c>
      <c r="U995" s="14">
        <v>217</v>
      </c>
      <c r="V995" s="14">
        <v>2024</v>
      </c>
      <c r="W995" s="10" t="s">
        <v>47</v>
      </c>
    </row>
    <row r="996" spans="1:23" s="9" customFormat="1" ht="15.75" hidden="1" customHeight="1" x14ac:dyDescent="0.25">
      <c r="A996" s="4" t="s">
        <v>3046</v>
      </c>
      <c r="B996" s="4" t="s">
        <v>3047</v>
      </c>
      <c r="C996" s="4" t="s">
        <v>3048</v>
      </c>
      <c r="D996" s="22" t="s">
        <v>6090</v>
      </c>
      <c r="E996" s="4" t="s">
        <v>87</v>
      </c>
      <c r="F996" s="4" t="s">
        <v>46</v>
      </c>
      <c r="G996" s="4" t="s">
        <v>5</v>
      </c>
      <c r="H996" s="4" t="s">
        <v>161</v>
      </c>
      <c r="I996" s="5">
        <v>45486</v>
      </c>
      <c r="J996" s="4" t="s">
        <v>30</v>
      </c>
      <c r="K996" s="5">
        <v>45597</v>
      </c>
      <c r="L996" s="4" t="s">
        <v>59</v>
      </c>
      <c r="M996" s="6">
        <v>26297</v>
      </c>
      <c r="N996" s="6">
        <v>8452</v>
      </c>
      <c r="O996" s="4">
        <v>24</v>
      </c>
      <c r="P996" s="5">
        <v>45621</v>
      </c>
      <c r="Q996" s="4" t="s">
        <v>33</v>
      </c>
      <c r="R996" s="4" t="s">
        <v>33</v>
      </c>
      <c r="S996" s="4" t="s">
        <v>41</v>
      </c>
      <c r="T996" s="7">
        <v>3.1113</v>
      </c>
      <c r="U996" s="8">
        <v>111</v>
      </c>
      <c r="V996" s="8">
        <v>2024</v>
      </c>
      <c r="W996" s="4" t="s">
        <v>61</v>
      </c>
    </row>
    <row r="997" spans="1:23" s="9" customFormat="1" ht="15.75" hidden="1" customHeight="1" x14ac:dyDescent="0.25">
      <c r="A997" s="10" t="s">
        <v>3049</v>
      </c>
      <c r="B997" s="10" t="s">
        <v>3050</v>
      </c>
      <c r="C997" s="10" t="s">
        <v>3051</v>
      </c>
      <c r="D997" s="21" t="s">
        <v>6088</v>
      </c>
      <c r="E997" s="10" t="s">
        <v>87</v>
      </c>
      <c r="F997" s="10" t="s">
        <v>27</v>
      </c>
      <c r="G997" s="10" t="s">
        <v>28</v>
      </c>
      <c r="H997" s="10" t="s">
        <v>29</v>
      </c>
      <c r="I997" s="11">
        <v>45060</v>
      </c>
      <c r="J997" s="10" t="s">
        <v>30</v>
      </c>
      <c r="K997" s="11">
        <v>45360</v>
      </c>
      <c r="L997" s="10" t="s">
        <v>31</v>
      </c>
      <c r="M997" s="12">
        <v>63053</v>
      </c>
      <c r="N997" s="12">
        <v>1752</v>
      </c>
      <c r="O997" s="10" t="s">
        <v>32</v>
      </c>
      <c r="P997" s="10" t="s">
        <v>32</v>
      </c>
      <c r="Q997" s="10" t="s">
        <v>33</v>
      </c>
      <c r="R997" s="10" t="s">
        <v>33</v>
      </c>
      <c r="S997" s="10" t="s">
        <v>34</v>
      </c>
      <c r="T997" s="13">
        <v>35.989199999999997</v>
      </c>
      <c r="U997" s="14">
        <v>300</v>
      </c>
      <c r="V997" s="14">
        <v>2024</v>
      </c>
      <c r="W997" s="10" t="s">
        <v>77</v>
      </c>
    </row>
    <row r="998" spans="1:23" s="9" customFormat="1" ht="15.75" hidden="1" customHeight="1" x14ac:dyDescent="0.25">
      <c r="A998" s="4" t="s">
        <v>3052</v>
      </c>
      <c r="B998" s="4" t="s">
        <v>3053</v>
      </c>
      <c r="C998" s="4" t="s">
        <v>3054</v>
      </c>
      <c r="D998" s="22" t="s">
        <v>6087</v>
      </c>
      <c r="E998" s="4" t="s">
        <v>51</v>
      </c>
      <c r="F998" s="21" t="s">
        <v>6092</v>
      </c>
      <c r="G998" s="4" t="s">
        <v>28</v>
      </c>
      <c r="H998" s="4" t="s">
        <v>72</v>
      </c>
      <c r="I998" s="5">
        <v>45019</v>
      </c>
      <c r="J998" s="4" t="s">
        <v>40</v>
      </c>
      <c r="K998" s="5">
        <v>45358</v>
      </c>
      <c r="L998" s="4" t="s">
        <v>59</v>
      </c>
      <c r="M998" s="6">
        <v>19061</v>
      </c>
      <c r="N998" s="6">
        <v>8886</v>
      </c>
      <c r="O998" s="4">
        <v>13</v>
      </c>
      <c r="P998" s="5">
        <v>45371</v>
      </c>
      <c r="Q998" s="4" t="s">
        <v>33</v>
      </c>
      <c r="R998" s="4" t="s">
        <v>33</v>
      </c>
      <c r="S998" s="4" t="s">
        <v>34</v>
      </c>
      <c r="T998" s="7">
        <v>2.1450999999999998</v>
      </c>
      <c r="U998" s="8">
        <v>339</v>
      </c>
      <c r="V998" s="8">
        <v>2024</v>
      </c>
      <c r="W998" s="4" t="s">
        <v>77</v>
      </c>
    </row>
    <row r="999" spans="1:23" s="9" customFormat="1" ht="15.75" hidden="1" customHeight="1" x14ac:dyDescent="0.25">
      <c r="A999" s="10" t="s">
        <v>3055</v>
      </c>
      <c r="B999" s="10" t="s">
        <v>3056</v>
      </c>
      <c r="C999" s="10" t="s">
        <v>3057</v>
      </c>
      <c r="D999" s="22" t="s">
        <v>6087</v>
      </c>
      <c r="E999" s="10" t="s">
        <v>51</v>
      </c>
      <c r="F999" s="21" t="s">
        <v>6092</v>
      </c>
      <c r="G999" s="10" t="s">
        <v>28</v>
      </c>
      <c r="H999" s="10" t="s">
        <v>39</v>
      </c>
      <c r="I999" s="11">
        <v>45395</v>
      </c>
      <c r="J999" s="10" t="s">
        <v>40</v>
      </c>
      <c r="K999" s="11">
        <v>45465</v>
      </c>
      <c r="L999" s="10" t="s">
        <v>31</v>
      </c>
      <c r="M999" s="12">
        <v>23388</v>
      </c>
      <c r="N999" s="12">
        <v>1160</v>
      </c>
      <c r="O999" s="10" t="s">
        <v>32</v>
      </c>
      <c r="P999" s="10" t="s">
        <v>32</v>
      </c>
      <c r="Q999" s="10" t="s">
        <v>33</v>
      </c>
      <c r="R999" s="10" t="s">
        <v>33</v>
      </c>
      <c r="S999" s="10" t="s">
        <v>60</v>
      </c>
      <c r="T999" s="13">
        <v>20.162099999999999</v>
      </c>
      <c r="U999" s="14">
        <v>70</v>
      </c>
      <c r="V999" s="14">
        <v>2024</v>
      </c>
      <c r="W999" s="10" t="s">
        <v>67</v>
      </c>
    </row>
    <row r="1000" spans="1:23" s="9" customFormat="1" ht="15.75" hidden="1" customHeight="1" x14ac:dyDescent="0.25">
      <c r="A1000" s="4" t="s">
        <v>3058</v>
      </c>
      <c r="B1000" s="4" t="s">
        <v>3059</v>
      </c>
      <c r="C1000" s="4" t="s">
        <v>3060</v>
      </c>
      <c r="D1000" s="21" t="s">
        <v>6089</v>
      </c>
      <c r="E1000" s="4" t="s">
        <v>26</v>
      </c>
      <c r="F1000" s="4" t="s">
        <v>65</v>
      </c>
      <c r="G1000" s="4" t="s">
        <v>57</v>
      </c>
      <c r="H1000" s="4" t="s">
        <v>72</v>
      </c>
      <c r="I1000" s="5">
        <v>45178</v>
      </c>
      <c r="J1000" s="4" t="s">
        <v>40</v>
      </c>
      <c r="K1000" s="5">
        <v>45430</v>
      </c>
      <c r="L1000" s="4" t="s">
        <v>59</v>
      </c>
      <c r="M1000" s="6">
        <v>32803</v>
      </c>
      <c r="N1000" s="6">
        <v>1262</v>
      </c>
      <c r="O1000" s="4">
        <v>25</v>
      </c>
      <c r="P1000" s="5">
        <v>45455</v>
      </c>
      <c r="Q1000" s="4" t="s">
        <v>33</v>
      </c>
      <c r="R1000" s="4" t="s">
        <v>33</v>
      </c>
      <c r="S1000" s="4" t="s">
        <v>60</v>
      </c>
      <c r="T1000" s="7">
        <v>25.992899999999999</v>
      </c>
      <c r="U1000" s="8">
        <v>252</v>
      </c>
      <c r="V1000" s="8">
        <v>2024</v>
      </c>
      <c r="W1000" s="4" t="s">
        <v>52</v>
      </c>
    </row>
    <row r="1001" spans="1:23" s="9" customFormat="1" ht="15.75" hidden="1" customHeight="1" x14ac:dyDescent="0.25">
      <c r="A1001" s="10" t="s">
        <v>3061</v>
      </c>
      <c r="B1001" s="10" t="s">
        <v>3062</v>
      </c>
      <c r="C1001" s="10" t="s">
        <v>3063</v>
      </c>
      <c r="D1001" s="22" t="s">
        <v>6087</v>
      </c>
      <c r="E1001" s="10" t="s">
        <v>51</v>
      </c>
      <c r="F1001" s="10" t="s">
        <v>46</v>
      </c>
      <c r="G1001" s="10" t="s">
        <v>28</v>
      </c>
      <c r="H1001" s="10" t="s">
        <v>58</v>
      </c>
      <c r="I1001" s="11">
        <v>45219</v>
      </c>
      <c r="J1001" s="10" t="s">
        <v>40</v>
      </c>
      <c r="K1001" s="11">
        <v>45513</v>
      </c>
      <c r="L1001" s="10" t="s">
        <v>59</v>
      </c>
      <c r="M1001" s="12">
        <v>10445</v>
      </c>
      <c r="N1001" s="12">
        <v>8218</v>
      </c>
      <c r="O1001" s="10">
        <v>45</v>
      </c>
      <c r="P1001" s="11">
        <v>45558</v>
      </c>
      <c r="Q1001" s="10" t="s">
        <v>33</v>
      </c>
      <c r="R1001" s="10" t="s">
        <v>33</v>
      </c>
      <c r="S1001" s="10" t="s">
        <v>41</v>
      </c>
      <c r="T1001" s="13">
        <v>1.2709999999999999</v>
      </c>
      <c r="U1001" s="14">
        <v>294</v>
      </c>
      <c r="V1001" s="14">
        <v>2024</v>
      </c>
      <c r="W1001" s="10" t="s">
        <v>114</v>
      </c>
    </row>
    <row r="1002" spans="1:23" s="9" customFormat="1" ht="15.75" hidden="1" customHeight="1" x14ac:dyDescent="0.25">
      <c r="A1002" s="4" t="s">
        <v>3064</v>
      </c>
      <c r="B1002" s="4" t="s">
        <v>3065</v>
      </c>
      <c r="C1002" s="4" t="s">
        <v>3066</v>
      </c>
      <c r="D1002" s="22" t="s">
        <v>6090</v>
      </c>
      <c r="E1002" s="4" t="s">
        <v>26</v>
      </c>
      <c r="F1002" s="21" t="s">
        <v>6092</v>
      </c>
      <c r="G1002" s="4" t="s">
        <v>57</v>
      </c>
      <c r="H1002" s="4" t="s">
        <v>72</v>
      </c>
      <c r="I1002" s="5">
        <v>45204</v>
      </c>
      <c r="J1002" s="4" t="s">
        <v>40</v>
      </c>
      <c r="K1002" s="5">
        <v>45412</v>
      </c>
      <c r="L1002" s="4" t="s">
        <v>59</v>
      </c>
      <c r="M1002" s="6">
        <v>38150</v>
      </c>
      <c r="N1002" s="6">
        <v>7177</v>
      </c>
      <c r="O1002" s="4">
        <v>17</v>
      </c>
      <c r="P1002" s="5">
        <v>45429</v>
      </c>
      <c r="Q1002" s="4" t="s">
        <v>33</v>
      </c>
      <c r="R1002" s="4" t="s">
        <v>33</v>
      </c>
      <c r="S1002" s="4" t="s">
        <v>60</v>
      </c>
      <c r="T1002" s="7">
        <v>5.3155999999999999</v>
      </c>
      <c r="U1002" s="8">
        <v>208</v>
      </c>
      <c r="V1002" s="8">
        <v>2024</v>
      </c>
      <c r="W1002" s="4" t="s">
        <v>47</v>
      </c>
    </row>
    <row r="1003" spans="1:23" s="9" customFormat="1" ht="15.75" hidden="1" customHeight="1" x14ac:dyDescent="0.25">
      <c r="A1003" s="10" t="s">
        <v>3067</v>
      </c>
      <c r="B1003" s="10" t="s">
        <v>3068</v>
      </c>
      <c r="C1003" s="10" t="s">
        <v>3069</v>
      </c>
      <c r="D1003" s="21" t="s">
        <v>6088</v>
      </c>
      <c r="E1003" s="10" t="s">
        <v>26</v>
      </c>
      <c r="F1003" s="10" t="s">
        <v>65</v>
      </c>
      <c r="G1003" s="10" t="s">
        <v>5</v>
      </c>
      <c r="H1003" s="10" t="s">
        <v>39</v>
      </c>
      <c r="I1003" s="11">
        <v>45190</v>
      </c>
      <c r="J1003" s="10" t="s">
        <v>30</v>
      </c>
      <c r="K1003" s="11">
        <v>45366</v>
      </c>
      <c r="L1003" s="10" t="s">
        <v>59</v>
      </c>
      <c r="M1003" s="12">
        <v>43520</v>
      </c>
      <c r="N1003" s="12">
        <v>2226</v>
      </c>
      <c r="O1003" s="10">
        <v>34</v>
      </c>
      <c r="P1003" s="11">
        <v>45400</v>
      </c>
      <c r="Q1003" s="10" t="s">
        <v>33</v>
      </c>
      <c r="R1003" s="10" t="s">
        <v>33</v>
      </c>
      <c r="S1003" s="10" t="s">
        <v>34</v>
      </c>
      <c r="T1003" s="13">
        <v>19.550799999999999</v>
      </c>
      <c r="U1003" s="14">
        <v>176</v>
      </c>
      <c r="V1003" s="14">
        <v>2024</v>
      </c>
      <c r="W1003" s="10" t="s">
        <v>77</v>
      </c>
    </row>
    <row r="1004" spans="1:23" s="9" customFormat="1" ht="15.75" hidden="1" customHeight="1" x14ac:dyDescent="0.25">
      <c r="A1004" s="4" t="s">
        <v>3070</v>
      </c>
      <c r="B1004" s="4" t="s">
        <v>3071</v>
      </c>
      <c r="C1004" s="4" t="s">
        <v>3072</v>
      </c>
      <c r="D1004" s="21" t="s">
        <v>6088</v>
      </c>
      <c r="E1004" s="4" t="s">
        <v>26</v>
      </c>
      <c r="F1004" s="4" t="s">
        <v>71</v>
      </c>
      <c r="G1004" s="4" t="s">
        <v>5</v>
      </c>
      <c r="H1004" s="4" t="s">
        <v>118</v>
      </c>
      <c r="I1004" s="5">
        <v>45326</v>
      </c>
      <c r="J1004" s="4" t="s">
        <v>30</v>
      </c>
      <c r="K1004" s="5">
        <v>45479</v>
      </c>
      <c r="L1004" s="4" t="s">
        <v>59</v>
      </c>
      <c r="M1004" s="6">
        <v>75773</v>
      </c>
      <c r="N1004" s="6">
        <v>1142</v>
      </c>
      <c r="O1004" s="4">
        <v>31</v>
      </c>
      <c r="P1004" s="5">
        <v>45510</v>
      </c>
      <c r="Q1004" s="4" t="s">
        <v>33</v>
      </c>
      <c r="R1004" s="4" t="s">
        <v>33</v>
      </c>
      <c r="S1004" s="4" t="s">
        <v>60</v>
      </c>
      <c r="T1004" s="7">
        <v>66.351100000000002</v>
      </c>
      <c r="U1004" s="8">
        <v>153</v>
      </c>
      <c r="V1004" s="8">
        <v>2024</v>
      </c>
      <c r="W1004" s="4" t="s">
        <v>42</v>
      </c>
    </row>
    <row r="1005" spans="1:23" s="9" customFormat="1" ht="15.75" hidden="1" customHeight="1" x14ac:dyDescent="0.25">
      <c r="A1005" s="10" t="s">
        <v>3073</v>
      </c>
      <c r="B1005" s="10" t="s">
        <v>3074</v>
      </c>
      <c r="C1005" s="10" t="s">
        <v>3075</v>
      </c>
      <c r="D1005" s="21" t="s">
        <v>6089</v>
      </c>
      <c r="E1005" s="10" t="s">
        <v>51</v>
      </c>
      <c r="F1005" s="10" t="s">
        <v>56</v>
      </c>
      <c r="G1005" s="10" t="s">
        <v>28</v>
      </c>
      <c r="H1005" s="10" t="s">
        <v>88</v>
      </c>
      <c r="I1005" s="11">
        <v>45385</v>
      </c>
      <c r="J1005" s="10" t="s">
        <v>30</v>
      </c>
      <c r="K1005" s="11">
        <v>45475</v>
      </c>
      <c r="L1005" s="10" t="s">
        <v>66</v>
      </c>
      <c r="M1005" s="12">
        <v>40323</v>
      </c>
      <c r="N1005" s="12">
        <v>7161</v>
      </c>
      <c r="O1005" s="10" t="s">
        <v>32</v>
      </c>
      <c r="P1005" s="10" t="s">
        <v>32</v>
      </c>
      <c r="Q1005" s="10" t="s">
        <v>33</v>
      </c>
      <c r="R1005" s="10" t="s">
        <v>33</v>
      </c>
      <c r="S1005" s="10" t="s">
        <v>41</v>
      </c>
      <c r="T1005" s="13">
        <v>5.6308999999999996</v>
      </c>
      <c r="U1005" s="14">
        <v>90</v>
      </c>
      <c r="V1005" s="14">
        <v>2024</v>
      </c>
      <c r="W1005" s="10" t="s">
        <v>42</v>
      </c>
    </row>
    <row r="1006" spans="1:23" s="9" customFormat="1" ht="15.75" hidden="1" customHeight="1" x14ac:dyDescent="0.25">
      <c r="A1006" s="4" t="s">
        <v>3076</v>
      </c>
      <c r="B1006" s="4" t="s">
        <v>3077</v>
      </c>
      <c r="C1006" s="4" t="s">
        <v>3078</v>
      </c>
      <c r="D1006" s="22" t="s">
        <v>6087</v>
      </c>
      <c r="E1006" s="4" t="s">
        <v>51</v>
      </c>
      <c r="F1006" s="21" t="s">
        <v>6092</v>
      </c>
      <c r="G1006" s="4" t="s">
        <v>5</v>
      </c>
      <c r="H1006" s="4" t="s">
        <v>118</v>
      </c>
      <c r="I1006" s="5">
        <v>45590</v>
      </c>
      <c r="J1006" s="4" t="s">
        <v>40</v>
      </c>
      <c r="K1006" s="5">
        <v>45655</v>
      </c>
      <c r="L1006" s="4" t="s">
        <v>31</v>
      </c>
      <c r="M1006" s="6">
        <v>21069</v>
      </c>
      <c r="N1006" s="6">
        <v>3003</v>
      </c>
      <c r="O1006" s="4" t="s">
        <v>32</v>
      </c>
      <c r="P1006" s="4" t="s">
        <v>32</v>
      </c>
      <c r="Q1006" s="4" t="s">
        <v>33</v>
      </c>
      <c r="R1006" s="4" t="s">
        <v>33</v>
      </c>
      <c r="S1006" s="4" t="s">
        <v>41</v>
      </c>
      <c r="T1006" s="7">
        <v>7.016</v>
      </c>
      <c r="U1006" s="8">
        <v>65</v>
      </c>
      <c r="V1006" s="8">
        <v>2024</v>
      </c>
      <c r="W1006" s="4" t="s">
        <v>89</v>
      </c>
    </row>
    <row r="1007" spans="1:23" s="9" customFormat="1" ht="15.75" hidden="1" customHeight="1" x14ac:dyDescent="0.25">
      <c r="A1007" s="10" t="s">
        <v>3079</v>
      </c>
      <c r="B1007" s="10" t="s">
        <v>3080</v>
      </c>
      <c r="C1007" s="10" t="s">
        <v>3081</v>
      </c>
      <c r="D1007" s="22" t="s">
        <v>6087</v>
      </c>
      <c r="E1007" s="10" t="s">
        <v>51</v>
      </c>
      <c r="F1007" s="21" t="s">
        <v>6092</v>
      </c>
      <c r="G1007" s="10" t="s">
        <v>57</v>
      </c>
      <c r="H1007" s="10" t="s">
        <v>72</v>
      </c>
      <c r="I1007" s="11">
        <v>45387</v>
      </c>
      <c r="J1007" s="10" t="s">
        <v>30</v>
      </c>
      <c r="K1007" s="11">
        <v>45471</v>
      </c>
      <c r="L1007" s="10" t="s">
        <v>59</v>
      </c>
      <c r="M1007" s="12">
        <v>6581</v>
      </c>
      <c r="N1007" s="12">
        <v>1864</v>
      </c>
      <c r="O1007" s="10">
        <v>17</v>
      </c>
      <c r="P1007" s="11">
        <v>45488</v>
      </c>
      <c r="Q1007" s="10" t="s">
        <v>94</v>
      </c>
      <c r="R1007" s="10" t="s">
        <v>33</v>
      </c>
      <c r="S1007" s="10" t="s">
        <v>34</v>
      </c>
      <c r="T1007" s="13">
        <v>3.5306000000000002</v>
      </c>
      <c r="U1007" s="14">
        <v>84</v>
      </c>
      <c r="V1007" s="14">
        <v>2024</v>
      </c>
      <c r="W1007" s="10" t="s">
        <v>67</v>
      </c>
    </row>
    <row r="1008" spans="1:23" s="9" customFormat="1" ht="15.75" hidden="1" customHeight="1" x14ac:dyDescent="0.25">
      <c r="A1008" s="4" t="s">
        <v>3082</v>
      </c>
      <c r="B1008" s="4" t="s">
        <v>3083</v>
      </c>
      <c r="C1008" s="4" t="s">
        <v>3084</v>
      </c>
      <c r="D1008" s="21" t="s">
        <v>6086</v>
      </c>
      <c r="E1008" s="4" t="s">
        <v>87</v>
      </c>
      <c r="F1008" s="4" t="s">
        <v>27</v>
      </c>
      <c r="G1008" s="4" t="s">
        <v>57</v>
      </c>
      <c r="H1008" s="4" t="s">
        <v>88</v>
      </c>
      <c r="I1008" s="5">
        <v>45216</v>
      </c>
      <c r="J1008" s="4" t="s">
        <v>30</v>
      </c>
      <c r="K1008" s="5">
        <v>45460</v>
      </c>
      <c r="L1008" s="4" t="s">
        <v>59</v>
      </c>
      <c r="M1008" s="6">
        <v>33296</v>
      </c>
      <c r="N1008" s="6">
        <v>7836</v>
      </c>
      <c r="O1008" s="4">
        <v>9</v>
      </c>
      <c r="P1008" s="5">
        <v>45469</v>
      </c>
      <c r="Q1008" s="4" t="s">
        <v>33</v>
      </c>
      <c r="R1008" s="4" t="s">
        <v>33</v>
      </c>
      <c r="S1008" s="4" t="s">
        <v>34</v>
      </c>
      <c r="T1008" s="7">
        <v>4.2491000000000003</v>
      </c>
      <c r="U1008" s="8">
        <v>244</v>
      </c>
      <c r="V1008" s="8">
        <v>2024</v>
      </c>
      <c r="W1008" s="4" t="s">
        <v>67</v>
      </c>
    </row>
    <row r="1009" spans="1:23" s="9" customFormat="1" ht="15.75" hidden="1" customHeight="1" x14ac:dyDescent="0.25">
      <c r="A1009" s="10" t="s">
        <v>3085</v>
      </c>
      <c r="B1009" s="10" t="s">
        <v>3086</v>
      </c>
      <c r="C1009" s="10" t="s">
        <v>3087</v>
      </c>
      <c r="D1009" s="21" t="s">
        <v>6086</v>
      </c>
      <c r="E1009" s="10" t="s">
        <v>26</v>
      </c>
      <c r="F1009" s="10" t="s">
        <v>27</v>
      </c>
      <c r="G1009" s="10" t="s">
        <v>57</v>
      </c>
      <c r="H1009" s="10" t="s">
        <v>58</v>
      </c>
      <c r="I1009" s="11">
        <v>45181</v>
      </c>
      <c r="J1009" s="10" t="s">
        <v>30</v>
      </c>
      <c r="K1009" s="11">
        <v>45478</v>
      </c>
      <c r="L1009" s="10" t="s">
        <v>59</v>
      </c>
      <c r="M1009" s="12">
        <v>48801</v>
      </c>
      <c r="N1009" s="12">
        <v>7581</v>
      </c>
      <c r="O1009" s="10">
        <v>19</v>
      </c>
      <c r="P1009" s="11">
        <v>45497</v>
      </c>
      <c r="Q1009" s="10" t="s">
        <v>33</v>
      </c>
      <c r="R1009" s="10" t="s">
        <v>33</v>
      </c>
      <c r="S1009" s="10" t="s">
        <v>41</v>
      </c>
      <c r="T1009" s="13">
        <v>6.4372999999999996</v>
      </c>
      <c r="U1009" s="14">
        <v>297</v>
      </c>
      <c r="V1009" s="14">
        <v>2024</v>
      </c>
      <c r="W1009" s="10" t="s">
        <v>42</v>
      </c>
    </row>
    <row r="1010" spans="1:23" s="9" customFormat="1" ht="15.75" hidden="1" customHeight="1" x14ac:dyDescent="0.25">
      <c r="A1010" s="4" t="s">
        <v>3088</v>
      </c>
      <c r="B1010" s="4" t="s">
        <v>3089</v>
      </c>
      <c r="C1010" s="4" t="s">
        <v>3090</v>
      </c>
      <c r="D1010" s="21" t="s">
        <v>6089</v>
      </c>
      <c r="E1010" s="4" t="s">
        <v>26</v>
      </c>
      <c r="F1010" s="4" t="s">
        <v>65</v>
      </c>
      <c r="G1010" s="4" t="s">
        <v>5</v>
      </c>
      <c r="H1010" s="4" t="s">
        <v>39</v>
      </c>
      <c r="I1010" s="5">
        <v>45142</v>
      </c>
      <c r="J1010" s="4" t="s">
        <v>30</v>
      </c>
      <c r="K1010" s="5">
        <v>45391</v>
      </c>
      <c r="L1010" s="4" t="s">
        <v>59</v>
      </c>
      <c r="M1010" s="6">
        <v>18092</v>
      </c>
      <c r="N1010" s="6">
        <v>3442</v>
      </c>
      <c r="O1010" s="4">
        <v>32</v>
      </c>
      <c r="P1010" s="5">
        <v>45423</v>
      </c>
      <c r="Q1010" s="4" t="s">
        <v>33</v>
      </c>
      <c r="R1010" s="4" t="s">
        <v>33</v>
      </c>
      <c r="S1010" s="4" t="s">
        <v>34</v>
      </c>
      <c r="T1010" s="7">
        <v>5.2561999999999998</v>
      </c>
      <c r="U1010" s="8">
        <v>249</v>
      </c>
      <c r="V1010" s="8">
        <v>2024</v>
      </c>
      <c r="W1010" s="4" t="s">
        <v>47</v>
      </c>
    </row>
    <row r="1011" spans="1:23" s="9" customFormat="1" ht="15.75" hidden="1" customHeight="1" x14ac:dyDescent="0.25">
      <c r="A1011" s="10" t="s">
        <v>3091</v>
      </c>
      <c r="B1011" s="10" t="s">
        <v>3092</v>
      </c>
      <c r="C1011" s="10" t="s">
        <v>3093</v>
      </c>
      <c r="D1011" s="21" t="s">
        <v>6086</v>
      </c>
      <c r="E1011" s="10" t="s">
        <v>51</v>
      </c>
      <c r="F1011" s="10" t="s">
        <v>65</v>
      </c>
      <c r="G1011" s="10" t="s">
        <v>57</v>
      </c>
      <c r="H1011" s="10" t="s">
        <v>58</v>
      </c>
      <c r="I1011" s="11">
        <v>45213</v>
      </c>
      <c r="J1011" s="10" t="s">
        <v>40</v>
      </c>
      <c r="K1011" s="11">
        <v>45355</v>
      </c>
      <c r="L1011" s="10" t="s">
        <v>59</v>
      </c>
      <c r="M1011" s="12">
        <v>84272</v>
      </c>
      <c r="N1011" s="12">
        <v>2349</v>
      </c>
      <c r="O1011" s="10">
        <v>45</v>
      </c>
      <c r="P1011" s="11">
        <v>45400</v>
      </c>
      <c r="Q1011" s="10" t="s">
        <v>33</v>
      </c>
      <c r="R1011" s="10" t="s">
        <v>33</v>
      </c>
      <c r="S1011" s="10" t="s">
        <v>41</v>
      </c>
      <c r="T1011" s="13">
        <v>35.875700000000002</v>
      </c>
      <c r="U1011" s="14">
        <v>142</v>
      </c>
      <c r="V1011" s="14">
        <v>2024</v>
      </c>
      <c r="W1011" s="10" t="s">
        <v>77</v>
      </c>
    </row>
    <row r="1012" spans="1:23" s="9" customFormat="1" ht="15.75" hidden="1" customHeight="1" x14ac:dyDescent="0.25">
      <c r="A1012" s="4" t="s">
        <v>3094</v>
      </c>
      <c r="B1012" s="4" t="s">
        <v>3095</v>
      </c>
      <c r="C1012" s="4" t="s">
        <v>3096</v>
      </c>
      <c r="D1012" s="21" t="s">
        <v>6088</v>
      </c>
      <c r="E1012" s="4" t="s">
        <v>26</v>
      </c>
      <c r="F1012" s="4" t="s">
        <v>27</v>
      </c>
      <c r="G1012" s="4" t="s">
        <v>28</v>
      </c>
      <c r="H1012" s="4" t="s">
        <v>29</v>
      </c>
      <c r="I1012" s="5">
        <v>45326</v>
      </c>
      <c r="J1012" s="4" t="s">
        <v>40</v>
      </c>
      <c r="K1012" s="5">
        <v>45475</v>
      </c>
      <c r="L1012" s="4" t="s">
        <v>31</v>
      </c>
      <c r="M1012" s="6">
        <v>42605</v>
      </c>
      <c r="N1012" s="6">
        <v>8159</v>
      </c>
      <c r="O1012" s="4" t="s">
        <v>32</v>
      </c>
      <c r="P1012" s="4" t="s">
        <v>32</v>
      </c>
      <c r="Q1012" s="4" t="s">
        <v>33</v>
      </c>
      <c r="R1012" s="4" t="s">
        <v>33</v>
      </c>
      <c r="S1012" s="4" t="s">
        <v>60</v>
      </c>
      <c r="T1012" s="7">
        <v>5.2218</v>
      </c>
      <c r="U1012" s="8">
        <v>149</v>
      </c>
      <c r="V1012" s="8">
        <v>2024</v>
      </c>
      <c r="W1012" s="4" t="s">
        <v>42</v>
      </c>
    </row>
    <row r="1013" spans="1:23" s="9" customFormat="1" ht="15.75" hidden="1" customHeight="1" x14ac:dyDescent="0.25">
      <c r="A1013" s="10" t="s">
        <v>3097</v>
      </c>
      <c r="B1013" s="10" t="s">
        <v>3098</v>
      </c>
      <c r="C1013" s="10" t="s">
        <v>3099</v>
      </c>
      <c r="D1013" s="21" t="s">
        <v>6088</v>
      </c>
      <c r="E1013" s="10" t="s">
        <v>26</v>
      </c>
      <c r="F1013" s="10" t="s">
        <v>56</v>
      </c>
      <c r="G1013" s="10" t="s">
        <v>57</v>
      </c>
      <c r="H1013" s="10" t="s">
        <v>58</v>
      </c>
      <c r="I1013" s="11">
        <v>45297</v>
      </c>
      <c r="J1013" s="10" t="s">
        <v>30</v>
      </c>
      <c r="K1013" s="11">
        <v>45407</v>
      </c>
      <c r="L1013" s="10" t="s">
        <v>59</v>
      </c>
      <c r="M1013" s="12">
        <v>14315</v>
      </c>
      <c r="N1013" s="12">
        <v>7844</v>
      </c>
      <c r="O1013" s="10">
        <v>32</v>
      </c>
      <c r="P1013" s="11">
        <v>45439</v>
      </c>
      <c r="Q1013" s="10" t="s">
        <v>33</v>
      </c>
      <c r="R1013" s="10" t="s">
        <v>33</v>
      </c>
      <c r="S1013" s="10" t="s">
        <v>60</v>
      </c>
      <c r="T1013" s="13">
        <v>1.825</v>
      </c>
      <c r="U1013" s="14">
        <v>110</v>
      </c>
      <c r="V1013" s="14">
        <v>2024</v>
      </c>
      <c r="W1013" s="10" t="s">
        <v>47</v>
      </c>
    </row>
    <row r="1014" spans="1:23" s="9" customFormat="1" ht="15.75" hidden="1" customHeight="1" x14ac:dyDescent="0.25">
      <c r="A1014" s="4" t="s">
        <v>3100</v>
      </c>
      <c r="B1014" s="4" t="s">
        <v>3101</v>
      </c>
      <c r="C1014" s="4" t="s">
        <v>3102</v>
      </c>
      <c r="D1014" s="22" t="s">
        <v>6090</v>
      </c>
      <c r="E1014" s="4" t="s">
        <v>87</v>
      </c>
      <c r="F1014" s="4" t="s">
        <v>46</v>
      </c>
      <c r="G1014" s="4" t="s">
        <v>28</v>
      </c>
      <c r="H1014" s="4" t="s">
        <v>118</v>
      </c>
      <c r="I1014" s="5">
        <v>45121</v>
      </c>
      <c r="J1014" s="4" t="s">
        <v>30</v>
      </c>
      <c r="K1014" s="5">
        <v>45294</v>
      </c>
      <c r="L1014" s="4" t="s">
        <v>31</v>
      </c>
      <c r="M1014" s="6">
        <v>19203</v>
      </c>
      <c r="N1014" s="6">
        <v>7830</v>
      </c>
      <c r="O1014" s="4" t="s">
        <v>32</v>
      </c>
      <c r="P1014" s="4" t="s">
        <v>32</v>
      </c>
      <c r="Q1014" s="4" t="s">
        <v>33</v>
      </c>
      <c r="R1014" s="4" t="s">
        <v>33</v>
      </c>
      <c r="S1014" s="4" t="s">
        <v>60</v>
      </c>
      <c r="T1014" s="7">
        <v>2.4525000000000001</v>
      </c>
      <c r="U1014" s="8">
        <v>173</v>
      </c>
      <c r="V1014" s="8">
        <v>2024</v>
      </c>
      <c r="W1014" s="4" t="s">
        <v>73</v>
      </c>
    </row>
    <row r="1015" spans="1:23" s="9" customFormat="1" ht="15.75" hidden="1" customHeight="1" x14ac:dyDescent="0.25">
      <c r="A1015" s="10" t="s">
        <v>3103</v>
      </c>
      <c r="B1015" s="10" t="s">
        <v>3104</v>
      </c>
      <c r="C1015" s="10" t="s">
        <v>3105</v>
      </c>
      <c r="D1015" s="21" t="s">
        <v>6089</v>
      </c>
      <c r="E1015" s="10" t="s">
        <v>87</v>
      </c>
      <c r="F1015" s="10" t="s">
        <v>65</v>
      </c>
      <c r="G1015" s="10" t="s">
        <v>5</v>
      </c>
      <c r="H1015" s="10" t="s">
        <v>58</v>
      </c>
      <c r="I1015" s="11">
        <v>45327</v>
      </c>
      <c r="J1015" s="10" t="s">
        <v>30</v>
      </c>
      <c r="K1015" s="11">
        <v>45526</v>
      </c>
      <c r="L1015" s="10" t="s">
        <v>59</v>
      </c>
      <c r="M1015" s="12">
        <v>26263</v>
      </c>
      <c r="N1015" s="12">
        <v>2007</v>
      </c>
      <c r="O1015" s="10">
        <v>3</v>
      </c>
      <c r="P1015" s="11">
        <v>45529</v>
      </c>
      <c r="Q1015" s="10" t="s">
        <v>33</v>
      </c>
      <c r="R1015" s="10" t="s">
        <v>33</v>
      </c>
      <c r="S1015" s="10" t="s">
        <v>34</v>
      </c>
      <c r="T1015" s="13">
        <v>13.085699999999999</v>
      </c>
      <c r="U1015" s="14">
        <v>199</v>
      </c>
      <c r="V1015" s="14">
        <v>2024</v>
      </c>
      <c r="W1015" s="10" t="s">
        <v>114</v>
      </c>
    </row>
    <row r="1016" spans="1:23" s="9" customFormat="1" ht="15.75" hidden="1" customHeight="1" x14ac:dyDescent="0.25">
      <c r="A1016" s="4" t="s">
        <v>3106</v>
      </c>
      <c r="B1016" s="4" t="s">
        <v>3107</v>
      </c>
      <c r="C1016" s="4" t="s">
        <v>3108</v>
      </c>
      <c r="D1016" s="22" t="s">
        <v>6090</v>
      </c>
      <c r="E1016" s="4" t="s">
        <v>51</v>
      </c>
      <c r="F1016" s="21" t="s">
        <v>6092</v>
      </c>
      <c r="G1016" s="4" t="s">
        <v>28</v>
      </c>
      <c r="H1016" s="4" t="s">
        <v>39</v>
      </c>
      <c r="I1016" s="5">
        <v>45126</v>
      </c>
      <c r="J1016" s="4" t="s">
        <v>30</v>
      </c>
      <c r="K1016" s="5">
        <v>45346</v>
      </c>
      <c r="L1016" s="4" t="s">
        <v>59</v>
      </c>
      <c r="M1016" s="6">
        <v>36945</v>
      </c>
      <c r="N1016" s="6">
        <v>2217</v>
      </c>
      <c r="O1016" s="4">
        <v>18</v>
      </c>
      <c r="P1016" s="5">
        <v>45364</v>
      </c>
      <c r="Q1016" s="4" t="s">
        <v>33</v>
      </c>
      <c r="R1016" s="4" t="s">
        <v>33</v>
      </c>
      <c r="S1016" s="4" t="s">
        <v>60</v>
      </c>
      <c r="T1016" s="7">
        <v>16.664400000000001</v>
      </c>
      <c r="U1016" s="8">
        <v>220</v>
      </c>
      <c r="V1016" s="8">
        <v>2024</v>
      </c>
      <c r="W1016" s="4" t="s">
        <v>35</v>
      </c>
    </row>
    <row r="1017" spans="1:23" s="9" customFormat="1" ht="15.75" hidden="1" customHeight="1" x14ac:dyDescent="0.25">
      <c r="A1017" s="10" t="s">
        <v>3109</v>
      </c>
      <c r="B1017" s="10" t="s">
        <v>3110</v>
      </c>
      <c r="C1017" s="10" t="s">
        <v>3111</v>
      </c>
      <c r="D1017" s="22" t="s">
        <v>6090</v>
      </c>
      <c r="E1017" s="10" t="s">
        <v>26</v>
      </c>
      <c r="F1017" s="10" t="s">
        <v>56</v>
      </c>
      <c r="G1017" s="10" t="s">
        <v>57</v>
      </c>
      <c r="H1017" s="10" t="s">
        <v>72</v>
      </c>
      <c r="I1017" s="11">
        <v>45239</v>
      </c>
      <c r="J1017" s="10" t="s">
        <v>40</v>
      </c>
      <c r="K1017" s="11">
        <v>45538</v>
      </c>
      <c r="L1017" s="10" t="s">
        <v>59</v>
      </c>
      <c r="M1017" s="12">
        <v>44585</v>
      </c>
      <c r="N1017" s="12">
        <v>4211</v>
      </c>
      <c r="O1017" s="10">
        <v>31</v>
      </c>
      <c r="P1017" s="11">
        <v>45569</v>
      </c>
      <c r="Q1017" s="10" t="s">
        <v>94</v>
      </c>
      <c r="R1017" s="10" t="s">
        <v>33</v>
      </c>
      <c r="S1017" s="10" t="s">
        <v>34</v>
      </c>
      <c r="T1017" s="13">
        <v>10.5877</v>
      </c>
      <c r="U1017" s="14">
        <v>299</v>
      </c>
      <c r="V1017" s="14">
        <v>2024</v>
      </c>
      <c r="W1017" s="10" t="s">
        <v>168</v>
      </c>
    </row>
    <row r="1018" spans="1:23" s="9" customFormat="1" ht="15.75" hidden="1" customHeight="1" x14ac:dyDescent="0.25">
      <c r="A1018" s="4" t="s">
        <v>3112</v>
      </c>
      <c r="B1018" s="4" t="s">
        <v>3113</v>
      </c>
      <c r="C1018" s="4" t="s">
        <v>3114</v>
      </c>
      <c r="D1018" s="21" t="s">
        <v>6089</v>
      </c>
      <c r="E1018" s="4" t="s">
        <v>26</v>
      </c>
      <c r="F1018" s="4" t="s">
        <v>56</v>
      </c>
      <c r="G1018" s="4" t="s">
        <v>57</v>
      </c>
      <c r="H1018" s="4" t="s">
        <v>118</v>
      </c>
      <c r="I1018" s="5">
        <v>45148</v>
      </c>
      <c r="J1018" s="4" t="s">
        <v>40</v>
      </c>
      <c r="K1018" s="5">
        <v>45510</v>
      </c>
      <c r="L1018" s="4" t="s">
        <v>59</v>
      </c>
      <c r="M1018" s="6">
        <v>15366</v>
      </c>
      <c r="N1018" s="6">
        <v>4243</v>
      </c>
      <c r="O1018" s="4">
        <v>25</v>
      </c>
      <c r="P1018" s="5">
        <v>45535</v>
      </c>
      <c r="Q1018" s="4" t="s">
        <v>94</v>
      </c>
      <c r="R1018" s="4" t="s">
        <v>94</v>
      </c>
      <c r="S1018" s="4" t="s">
        <v>60</v>
      </c>
      <c r="T1018" s="7">
        <v>3.6215000000000002</v>
      </c>
      <c r="U1018" s="8">
        <v>362</v>
      </c>
      <c r="V1018" s="8">
        <v>2024</v>
      </c>
      <c r="W1018" s="4" t="s">
        <v>114</v>
      </c>
    </row>
    <row r="1019" spans="1:23" s="9" customFormat="1" ht="15.75" hidden="1" customHeight="1" x14ac:dyDescent="0.25">
      <c r="A1019" s="10" t="s">
        <v>3115</v>
      </c>
      <c r="B1019" s="10" t="s">
        <v>3116</v>
      </c>
      <c r="C1019" s="10" t="s">
        <v>3117</v>
      </c>
      <c r="D1019" s="21" t="s">
        <v>6086</v>
      </c>
      <c r="E1019" s="10" t="s">
        <v>87</v>
      </c>
      <c r="F1019" s="10" t="s">
        <v>71</v>
      </c>
      <c r="G1019" s="10" t="s">
        <v>5</v>
      </c>
      <c r="H1019" s="10" t="s">
        <v>72</v>
      </c>
      <c r="I1019" s="11">
        <v>45284</v>
      </c>
      <c r="J1019" s="10" t="s">
        <v>30</v>
      </c>
      <c r="K1019" s="11">
        <v>45551</v>
      </c>
      <c r="L1019" s="10" t="s">
        <v>59</v>
      </c>
      <c r="M1019" s="12">
        <v>65191</v>
      </c>
      <c r="N1019" s="12">
        <v>3988</v>
      </c>
      <c r="O1019" s="10">
        <v>15</v>
      </c>
      <c r="P1019" s="11">
        <v>45566</v>
      </c>
      <c r="Q1019" s="10" t="s">
        <v>33</v>
      </c>
      <c r="R1019" s="10" t="s">
        <v>33</v>
      </c>
      <c r="S1019" s="10" t="s">
        <v>41</v>
      </c>
      <c r="T1019" s="13">
        <v>16.346800000000002</v>
      </c>
      <c r="U1019" s="14">
        <v>267</v>
      </c>
      <c r="V1019" s="14">
        <v>2024</v>
      </c>
      <c r="W1019" s="10" t="s">
        <v>168</v>
      </c>
    </row>
    <row r="1020" spans="1:23" s="9" customFormat="1" ht="15.75" hidden="1" customHeight="1" x14ac:dyDescent="0.25">
      <c r="A1020" s="4" t="s">
        <v>3118</v>
      </c>
      <c r="B1020" s="4" t="s">
        <v>3119</v>
      </c>
      <c r="C1020" s="4" t="s">
        <v>3120</v>
      </c>
      <c r="D1020" s="22" t="s">
        <v>6090</v>
      </c>
      <c r="E1020" s="4" t="s">
        <v>87</v>
      </c>
      <c r="F1020" s="4" t="s">
        <v>56</v>
      </c>
      <c r="G1020" s="4" t="s">
        <v>5</v>
      </c>
      <c r="H1020" s="4" t="s">
        <v>93</v>
      </c>
      <c r="I1020" s="5">
        <v>45291</v>
      </c>
      <c r="J1020" s="4" t="s">
        <v>40</v>
      </c>
      <c r="K1020" s="5">
        <v>45358</v>
      </c>
      <c r="L1020" s="4" t="s">
        <v>59</v>
      </c>
      <c r="M1020" s="6">
        <v>28040</v>
      </c>
      <c r="N1020" s="6">
        <v>8813</v>
      </c>
      <c r="O1020" s="4">
        <v>15</v>
      </c>
      <c r="P1020" s="5">
        <v>45373</v>
      </c>
      <c r="Q1020" s="4" t="s">
        <v>33</v>
      </c>
      <c r="R1020" s="4" t="s">
        <v>33</v>
      </c>
      <c r="S1020" s="4" t="s">
        <v>41</v>
      </c>
      <c r="T1020" s="7">
        <v>3.1817000000000002</v>
      </c>
      <c r="U1020" s="8">
        <v>67</v>
      </c>
      <c r="V1020" s="8">
        <v>2024</v>
      </c>
      <c r="W1020" s="4" t="s">
        <v>77</v>
      </c>
    </row>
    <row r="1021" spans="1:23" s="9" customFormat="1" ht="15.75" hidden="1" customHeight="1" x14ac:dyDescent="0.25">
      <c r="A1021" s="10" t="s">
        <v>3121</v>
      </c>
      <c r="B1021" s="10" t="s">
        <v>3122</v>
      </c>
      <c r="C1021" s="10" t="s">
        <v>3123</v>
      </c>
      <c r="D1021" s="22" t="s">
        <v>6090</v>
      </c>
      <c r="E1021" s="10" t="s">
        <v>87</v>
      </c>
      <c r="F1021" s="10" t="s">
        <v>46</v>
      </c>
      <c r="G1021" s="10" t="s">
        <v>57</v>
      </c>
      <c r="H1021" s="10" t="s">
        <v>72</v>
      </c>
      <c r="I1021" s="11">
        <v>45199</v>
      </c>
      <c r="J1021" s="10" t="s">
        <v>30</v>
      </c>
      <c r="K1021" s="11">
        <v>45363</v>
      </c>
      <c r="L1021" s="10" t="s">
        <v>59</v>
      </c>
      <c r="M1021" s="12">
        <v>57930</v>
      </c>
      <c r="N1021" s="12">
        <v>6172</v>
      </c>
      <c r="O1021" s="10">
        <v>18</v>
      </c>
      <c r="P1021" s="11">
        <v>45381</v>
      </c>
      <c r="Q1021" s="10" t="s">
        <v>33</v>
      </c>
      <c r="R1021" s="10" t="s">
        <v>33</v>
      </c>
      <c r="S1021" s="10" t="s">
        <v>34</v>
      </c>
      <c r="T1021" s="13">
        <v>9.3858999999999995</v>
      </c>
      <c r="U1021" s="14">
        <v>164</v>
      </c>
      <c r="V1021" s="14">
        <v>2024</v>
      </c>
      <c r="W1021" s="10" t="s">
        <v>77</v>
      </c>
    </row>
    <row r="1022" spans="1:23" s="9" customFormat="1" ht="15.75" hidden="1" customHeight="1" x14ac:dyDescent="0.25">
      <c r="A1022" s="4" t="s">
        <v>3124</v>
      </c>
      <c r="B1022" s="4" t="s">
        <v>3125</v>
      </c>
      <c r="C1022" s="4" t="s">
        <v>3126</v>
      </c>
      <c r="D1022" s="22" t="s">
        <v>6090</v>
      </c>
      <c r="E1022" s="4" t="s">
        <v>26</v>
      </c>
      <c r="F1022" s="4" t="s">
        <v>65</v>
      </c>
      <c r="G1022" s="4" t="s">
        <v>57</v>
      </c>
      <c r="H1022" s="4" t="s">
        <v>93</v>
      </c>
      <c r="I1022" s="5">
        <v>45274</v>
      </c>
      <c r="J1022" s="4" t="s">
        <v>40</v>
      </c>
      <c r="K1022" s="5">
        <v>45528</v>
      </c>
      <c r="L1022" s="4" t="s">
        <v>59</v>
      </c>
      <c r="M1022" s="6">
        <v>20778</v>
      </c>
      <c r="N1022" s="6">
        <v>8005</v>
      </c>
      <c r="O1022" s="4">
        <v>7</v>
      </c>
      <c r="P1022" s="5">
        <v>45535</v>
      </c>
      <c r="Q1022" s="4" t="s">
        <v>94</v>
      </c>
      <c r="R1022" s="4" t="s">
        <v>94</v>
      </c>
      <c r="S1022" s="4" t="s">
        <v>41</v>
      </c>
      <c r="T1022" s="7">
        <v>2.5956000000000001</v>
      </c>
      <c r="U1022" s="8">
        <v>254</v>
      </c>
      <c r="V1022" s="8">
        <v>2024</v>
      </c>
      <c r="W1022" s="4" t="s">
        <v>114</v>
      </c>
    </row>
    <row r="1023" spans="1:23" s="9" customFormat="1" ht="15.75" hidden="1" customHeight="1" x14ac:dyDescent="0.25">
      <c r="A1023" s="10" t="s">
        <v>3127</v>
      </c>
      <c r="B1023" s="10" t="s">
        <v>3128</v>
      </c>
      <c r="C1023" s="10" t="s">
        <v>3129</v>
      </c>
      <c r="D1023" s="21" t="s">
        <v>6091</v>
      </c>
      <c r="E1023" s="10" t="s">
        <v>51</v>
      </c>
      <c r="F1023" s="10" t="s">
        <v>71</v>
      </c>
      <c r="G1023" s="10" t="s">
        <v>5</v>
      </c>
      <c r="H1023" s="10" t="s">
        <v>161</v>
      </c>
      <c r="I1023" s="11">
        <v>45299</v>
      </c>
      <c r="J1023" s="10" t="s">
        <v>40</v>
      </c>
      <c r="K1023" s="11">
        <v>45541</v>
      </c>
      <c r="L1023" s="10" t="s">
        <v>59</v>
      </c>
      <c r="M1023" s="12">
        <v>7932</v>
      </c>
      <c r="N1023" s="12">
        <v>8230</v>
      </c>
      <c r="O1023" s="10">
        <v>41</v>
      </c>
      <c r="P1023" s="11">
        <v>45582</v>
      </c>
      <c r="Q1023" s="10" t="s">
        <v>33</v>
      </c>
      <c r="R1023" s="10" t="s">
        <v>33</v>
      </c>
      <c r="S1023" s="10" t="s">
        <v>60</v>
      </c>
      <c r="T1023" s="13">
        <v>0.96379999999999999</v>
      </c>
      <c r="U1023" s="14">
        <v>242</v>
      </c>
      <c r="V1023" s="14">
        <v>2024</v>
      </c>
      <c r="W1023" s="10" t="s">
        <v>168</v>
      </c>
    </row>
    <row r="1024" spans="1:23" s="9" customFormat="1" ht="15.75" hidden="1" customHeight="1" x14ac:dyDescent="0.25">
      <c r="A1024" s="4" t="s">
        <v>3130</v>
      </c>
      <c r="B1024" s="4" t="s">
        <v>3131</v>
      </c>
      <c r="C1024" s="4" t="s">
        <v>3132</v>
      </c>
      <c r="D1024" s="22" t="s">
        <v>6087</v>
      </c>
      <c r="E1024" s="4" t="s">
        <v>51</v>
      </c>
      <c r="F1024" s="4" t="s">
        <v>65</v>
      </c>
      <c r="G1024" s="4" t="s">
        <v>57</v>
      </c>
      <c r="H1024" s="4" t="s">
        <v>72</v>
      </c>
      <c r="I1024" s="5">
        <v>45124</v>
      </c>
      <c r="J1024" s="4" t="s">
        <v>40</v>
      </c>
      <c r="K1024" s="5">
        <v>45339</v>
      </c>
      <c r="L1024" s="4" t="s">
        <v>59</v>
      </c>
      <c r="M1024" s="6">
        <v>21846</v>
      </c>
      <c r="N1024" s="6">
        <v>1845</v>
      </c>
      <c r="O1024" s="4">
        <v>29</v>
      </c>
      <c r="P1024" s="5">
        <v>45368</v>
      </c>
      <c r="Q1024" s="4" t="s">
        <v>33</v>
      </c>
      <c r="R1024" s="4" t="s">
        <v>33</v>
      </c>
      <c r="S1024" s="4" t="s">
        <v>60</v>
      </c>
      <c r="T1024" s="7">
        <v>11.8407</v>
      </c>
      <c r="U1024" s="8">
        <v>215</v>
      </c>
      <c r="V1024" s="8">
        <v>2024</v>
      </c>
      <c r="W1024" s="4" t="s">
        <v>35</v>
      </c>
    </row>
    <row r="1025" spans="1:23" s="9" customFormat="1" ht="15.75" hidden="1" customHeight="1" x14ac:dyDescent="0.25">
      <c r="A1025" s="10" t="s">
        <v>3133</v>
      </c>
      <c r="B1025" s="10" t="s">
        <v>3134</v>
      </c>
      <c r="C1025" s="10" t="s">
        <v>3135</v>
      </c>
      <c r="D1025" s="21" t="s">
        <v>6088</v>
      </c>
      <c r="E1025" s="10" t="s">
        <v>51</v>
      </c>
      <c r="F1025" s="10" t="s">
        <v>56</v>
      </c>
      <c r="G1025" s="10" t="s">
        <v>5</v>
      </c>
      <c r="H1025" s="10" t="s">
        <v>93</v>
      </c>
      <c r="I1025" s="11">
        <v>45308</v>
      </c>
      <c r="J1025" s="10" t="s">
        <v>30</v>
      </c>
      <c r="K1025" s="11">
        <v>45409</v>
      </c>
      <c r="L1025" s="10" t="s">
        <v>66</v>
      </c>
      <c r="M1025" s="12">
        <v>72275</v>
      </c>
      <c r="N1025" s="12">
        <v>2621</v>
      </c>
      <c r="O1025" s="10" t="s">
        <v>32</v>
      </c>
      <c r="P1025" s="10" t="s">
        <v>32</v>
      </c>
      <c r="Q1025" s="10" t="s">
        <v>33</v>
      </c>
      <c r="R1025" s="10" t="s">
        <v>33</v>
      </c>
      <c r="S1025" s="10" t="s">
        <v>41</v>
      </c>
      <c r="T1025" s="13">
        <v>27.575399999999998</v>
      </c>
      <c r="U1025" s="14">
        <v>101</v>
      </c>
      <c r="V1025" s="14">
        <v>2024</v>
      </c>
      <c r="W1025" s="10" t="s">
        <v>47</v>
      </c>
    </row>
    <row r="1026" spans="1:23" s="9" customFormat="1" ht="15.75" hidden="1" customHeight="1" x14ac:dyDescent="0.25">
      <c r="A1026" s="4" t="s">
        <v>3136</v>
      </c>
      <c r="B1026" s="4" t="s">
        <v>3137</v>
      </c>
      <c r="C1026" s="4" t="s">
        <v>3138</v>
      </c>
      <c r="D1026" s="22" t="s">
        <v>6090</v>
      </c>
      <c r="E1026" s="4" t="s">
        <v>26</v>
      </c>
      <c r="F1026" s="21" t="s">
        <v>6092</v>
      </c>
      <c r="G1026" s="4" t="s">
        <v>28</v>
      </c>
      <c r="H1026" s="4" t="s">
        <v>58</v>
      </c>
      <c r="I1026" s="5">
        <v>45159</v>
      </c>
      <c r="J1026" s="4" t="s">
        <v>30</v>
      </c>
      <c r="K1026" s="5">
        <v>45489</v>
      </c>
      <c r="L1026" s="4" t="s">
        <v>59</v>
      </c>
      <c r="M1026" s="6">
        <v>53614</v>
      </c>
      <c r="N1026" s="6">
        <v>6216</v>
      </c>
      <c r="O1026" s="4">
        <v>10</v>
      </c>
      <c r="P1026" s="5">
        <v>45499</v>
      </c>
      <c r="Q1026" s="4" t="s">
        <v>33</v>
      </c>
      <c r="R1026" s="4" t="s">
        <v>33</v>
      </c>
      <c r="S1026" s="4" t="s">
        <v>34</v>
      </c>
      <c r="T1026" s="7">
        <v>8.6251999999999995</v>
      </c>
      <c r="U1026" s="8">
        <v>330</v>
      </c>
      <c r="V1026" s="8">
        <v>2024</v>
      </c>
      <c r="W1026" s="4" t="s">
        <v>42</v>
      </c>
    </row>
    <row r="1027" spans="1:23" s="9" customFormat="1" ht="15.75" hidden="1" customHeight="1" x14ac:dyDescent="0.25">
      <c r="A1027" s="10" t="s">
        <v>3139</v>
      </c>
      <c r="B1027" s="10" t="s">
        <v>3140</v>
      </c>
      <c r="C1027" s="10" t="s">
        <v>3141</v>
      </c>
      <c r="D1027" s="21" t="s">
        <v>6088</v>
      </c>
      <c r="E1027" s="10" t="s">
        <v>26</v>
      </c>
      <c r="F1027" s="10" t="s">
        <v>71</v>
      </c>
      <c r="G1027" s="10" t="s">
        <v>57</v>
      </c>
      <c r="H1027" s="10" t="s">
        <v>118</v>
      </c>
      <c r="I1027" s="11">
        <v>45227</v>
      </c>
      <c r="J1027" s="10" t="s">
        <v>40</v>
      </c>
      <c r="K1027" s="11">
        <v>45369</v>
      </c>
      <c r="L1027" s="10" t="s">
        <v>59</v>
      </c>
      <c r="M1027" s="12">
        <v>61026</v>
      </c>
      <c r="N1027" s="12">
        <v>4256</v>
      </c>
      <c r="O1027" s="10">
        <v>2</v>
      </c>
      <c r="P1027" s="11">
        <v>45371</v>
      </c>
      <c r="Q1027" s="10" t="s">
        <v>33</v>
      </c>
      <c r="R1027" s="10" t="s">
        <v>33</v>
      </c>
      <c r="S1027" s="10" t="s">
        <v>34</v>
      </c>
      <c r="T1027" s="13">
        <v>14.338800000000001</v>
      </c>
      <c r="U1027" s="14">
        <v>142</v>
      </c>
      <c r="V1027" s="14">
        <v>2024</v>
      </c>
      <c r="W1027" s="10" t="s">
        <v>77</v>
      </c>
    </row>
    <row r="1028" spans="1:23" s="9" customFormat="1" ht="15.75" hidden="1" customHeight="1" x14ac:dyDescent="0.25">
      <c r="A1028" s="4" t="s">
        <v>3142</v>
      </c>
      <c r="B1028" s="4" t="s">
        <v>3143</v>
      </c>
      <c r="C1028" s="4" t="s">
        <v>3144</v>
      </c>
      <c r="D1028" s="22" t="s">
        <v>6087</v>
      </c>
      <c r="E1028" s="4" t="s">
        <v>51</v>
      </c>
      <c r="F1028" s="4" t="s">
        <v>71</v>
      </c>
      <c r="G1028" s="4" t="s">
        <v>28</v>
      </c>
      <c r="H1028" s="4" t="s">
        <v>58</v>
      </c>
      <c r="I1028" s="5">
        <v>45348</v>
      </c>
      <c r="J1028" s="4" t="s">
        <v>40</v>
      </c>
      <c r="K1028" s="5">
        <v>45418</v>
      </c>
      <c r="L1028" s="4" t="s">
        <v>59</v>
      </c>
      <c r="M1028" s="6">
        <v>30426</v>
      </c>
      <c r="N1028" s="6">
        <v>7108</v>
      </c>
      <c r="O1028" s="4">
        <v>29</v>
      </c>
      <c r="P1028" s="5">
        <v>45447</v>
      </c>
      <c r="Q1028" s="4" t="s">
        <v>33</v>
      </c>
      <c r="R1028" s="4" t="s">
        <v>33</v>
      </c>
      <c r="S1028" s="4" t="s">
        <v>41</v>
      </c>
      <c r="T1028" s="7">
        <v>4.2805</v>
      </c>
      <c r="U1028" s="8">
        <v>70</v>
      </c>
      <c r="V1028" s="8">
        <v>2024</v>
      </c>
      <c r="W1028" s="4" t="s">
        <v>52</v>
      </c>
    </row>
    <row r="1029" spans="1:23" s="9" customFormat="1" ht="15.75" hidden="1" customHeight="1" x14ac:dyDescent="0.25">
      <c r="A1029" s="10" t="s">
        <v>3145</v>
      </c>
      <c r="B1029" s="10" t="s">
        <v>3146</v>
      </c>
      <c r="C1029" s="10" t="s">
        <v>3147</v>
      </c>
      <c r="D1029" s="22" t="s">
        <v>6090</v>
      </c>
      <c r="E1029" s="10" t="s">
        <v>26</v>
      </c>
      <c r="F1029" s="10" t="s">
        <v>46</v>
      </c>
      <c r="G1029" s="10" t="s">
        <v>5</v>
      </c>
      <c r="H1029" s="10" t="s">
        <v>118</v>
      </c>
      <c r="I1029" s="11">
        <v>45240</v>
      </c>
      <c r="J1029" s="10" t="s">
        <v>30</v>
      </c>
      <c r="K1029" s="11">
        <v>45484</v>
      </c>
      <c r="L1029" s="10" t="s">
        <v>66</v>
      </c>
      <c r="M1029" s="12">
        <v>57327</v>
      </c>
      <c r="N1029" s="12">
        <v>6733</v>
      </c>
      <c r="O1029" s="10" t="s">
        <v>32</v>
      </c>
      <c r="P1029" s="10" t="s">
        <v>32</v>
      </c>
      <c r="Q1029" s="10" t="s">
        <v>33</v>
      </c>
      <c r="R1029" s="10" t="s">
        <v>33</v>
      </c>
      <c r="S1029" s="10" t="s">
        <v>60</v>
      </c>
      <c r="T1029" s="13">
        <v>8.5143000000000004</v>
      </c>
      <c r="U1029" s="14">
        <v>244</v>
      </c>
      <c r="V1029" s="14">
        <v>2024</v>
      </c>
      <c r="W1029" s="10" t="s">
        <v>42</v>
      </c>
    </row>
    <row r="1030" spans="1:23" s="9" customFormat="1" ht="15.75" hidden="1" customHeight="1" x14ac:dyDescent="0.25">
      <c r="A1030" s="4" t="s">
        <v>3148</v>
      </c>
      <c r="B1030" s="4" t="s">
        <v>3149</v>
      </c>
      <c r="C1030" s="4" t="s">
        <v>3150</v>
      </c>
      <c r="D1030" s="22" t="s">
        <v>6090</v>
      </c>
      <c r="E1030" s="4" t="s">
        <v>51</v>
      </c>
      <c r="F1030" s="4" t="s">
        <v>27</v>
      </c>
      <c r="G1030" s="4" t="s">
        <v>28</v>
      </c>
      <c r="H1030" s="4" t="s">
        <v>39</v>
      </c>
      <c r="I1030" s="5">
        <v>45016</v>
      </c>
      <c r="J1030" s="4" t="s">
        <v>30</v>
      </c>
      <c r="K1030" s="5">
        <v>45315</v>
      </c>
      <c r="L1030" s="4" t="s">
        <v>59</v>
      </c>
      <c r="M1030" s="6">
        <v>18147</v>
      </c>
      <c r="N1030" s="6">
        <v>2939</v>
      </c>
      <c r="O1030" s="4">
        <v>21</v>
      </c>
      <c r="P1030" s="5">
        <v>45336</v>
      </c>
      <c r="Q1030" s="4" t="s">
        <v>33</v>
      </c>
      <c r="R1030" s="4" t="s">
        <v>33</v>
      </c>
      <c r="S1030" s="4" t="s">
        <v>41</v>
      </c>
      <c r="T1030" s="7">
        <v>6.1745000000000001</v>
      </c>
      <c r="U1030" s="8">
        <v>299</v>
      </c>
      <c r="V1030" s="8">
        <v>2024</v>
      </c>
      <c r="W1030" s="4" t="s">
        <v>73</v>
      </c>
    </row>
    <row r="1031" spans="1:23" s="9" customFormat="1" ht="15.75" hidden="1" customHeight="1" x14ac:dyDescent="0.25">
      <c r="A1031" s="10" t="s">
        <v>3151</v>
      </c>
      <c r="B1031" s="10" t="s">
        <v>3152</v>
      </c>
      <c r="C1031" s="10" t="s">
        <v>3153</v>
      </c>
      <c r="D1031" s="22" t="s">
        <v>6087</v>
      </c>
      <c r="E1031" s="10" t="s">
        <v>51</v>
      </c>
      <c r="F1031" s="10" t="s">
        <v>56</v>
      </c>
      <c r="G1031" s="10" t="s">
        <v>28</v>
      </c>
      <c r="H1031" s="10" t="s">
        <v>93</v>
      </c>
      <c r="I1031" s="11">
        <v>45267</v>
      </c>
      <c r="J1031" s="10" t="s">
        <v>40</v>
      </c>
      <c r="K1031" s="11">
        <v>45495</v>
      </c>
      <c r="L1031" s="10" t="s">
        <v>59</v>
      </c>
      <c r="M1031" s="12">
        <v>26087</v>
      </c>
      <c r="N1031" s="12">
        <v>3906</v>
      </c>
      <c r="O1031" s="10">
        <v>14</v>
      </c>
      <c r="P1031" s="11">
        <v>45509</v>
      </c>
      <c r="Q1031" s="10" t="s">
        <v>33</v>
      </c>
      <c r="R1031" s="10" t="s">
        <v>33</v>
      </c>
      <c r="S1031" s="10" t="s">
        <v>41</v>
      </c>
      <c r="T1031" s="13">
        <v>6.6787000000000001</v>
      </c>
      <c r="U1031" s="14">
        <v>228</v>
      </c>
      <c r="V1031" s="14">
        <v>2024</v>
      </c>
      <c r="W1031" s="10" t="s">
        <v>42</v>
      </c>
    </row>
    <row r="1032" spans="1:23" s="9" customFormat="1" ht="27.75" customHeight="1" x14ac:dyDescent="0.25">
      <c r="A1032" s="4" t="s">
        <v>3154</v>
      </c>
      <c r="B1032" s="4" t="s">
        <v>3155</v>
      </c>
      <c r="C1032" s="4" t="s">
        <v>3156</v>
      </c>
      <c r="D1032" s="22" t="s">
        <v>6087</v>
      </c>
      <c r="E1032" s="4" t="s">
        <v>87</v>
      </c>
      <c r="F1032" s="10" t="s">
        <v>6092</v>
      </c>
      <c r="G1032" s="4" t="s">
        <v>57</v>
      </c>
      <c r="H1032" s="4" t="s">
        <v>58</v>
      </c>
      <c r="I1032" s="5">
        <v>45409</v>
      </c>
      <c r="J1032" s="4" t="s">
        <v>30</v>
      </c>
      <c r="K1032" s="5">
        <v>45631</v>
      </c>
      <c r="L1032" s="4" t="s">
        <v>59</v>
      </c>
      <c r="M1032" s="6">
        <v>2935</v>
      </c>
      <c r="N1032" s="6">
        <v>8522</v>
      </c>
      <c r="O1032" s="4">
        <v>39</v>
      </c>
      <c r="P1032" s="5">
        <v>45670</v>
      </c>
      <c r="Q1032" s="4" t="s">
        <v>94</v>
      </c>
      <c r="R1032" s="4" t="s">
        <v>94</v>
      </c>
      <c r="S1032" s="4" t="s">
        <v>41</v>
      </c>
      <c r="T1032" s="7">
        <v>0.34439999999999998</v>
      </c>
      <c r="U1032" s="8">
        <v>222</v>
      </c>
      <c r="V1032" s="8">
        <v>2024</v>
      </c>
      <c r="W1032" s="4" t="s">
        <v>89</v>
      </c>
    </row>
    <row r="1033" spans="1:23" s="9" customFormat="1" ht="15.75" hidden="1" customHeight="1" x14ac:dyDescent="0.25">
      <c r="A1033" s="10" t="s">
        <v>3157</v>
      </c>
      <c r="B1033" s="10" t="s">
        <v>3158</v>
      </c>
      <c r="C1033" s="10" t="s">
        <v>3159</v>
      </c>
      <c r="D1033" s="21" t="s">
        <v>6088</v>
      </c>
      <c r="E1033" s="10" t="s">
        <v>51</v>
      </c>
      <c r="F1033" s="10" t="s">
        <v>56</v>
      </c>
      <c r="G1033" s="10" t="s">
        <v>5</v>
      </c>
      <c r="H1033" s="10" t="s">
        <v>72</v>
      </c>
      <c r="I1033" s="11">
        <v>45362</v>
      </c>
      <c r="J1033" s="10" t="s">
        <v>30</v>
      </c>
      <c r="K1033" s="11">
        <v>45506</v>
      </c>
      <c r="L1033" s="10" t="s">
        <v>59</v>
      </c>
      <c r="M1033" s="12">
        <v>13773</v>
      </c>
      <c r="N1033" s="12">
        <v>7366</v>
      </c>
      <c r="O1033" s="10">
        <v>19</v>
      </c>
      <c r="P1033" s="11">
        <v>45525</v>
      </c>
      <c r="Q1033" s="10" t="s">
        <v>33</v>
      </c>
      <c r="R1033" s="10" t="s">
        <v>33</v>
      </c>
      <c r="S1033" s="10" t="s">
        <v>60</v>
      </c>
      <c r="T1033" s="13">
        <v>1.8697999999999999</v>
      </c>
      <c r="U1033" s="14">
        <v>144</v>
      </c>
      <c r="V1033" s="14">
        <v>2024</v>
      </c>
      <c r="W1033" s="10" t="s">
        <v>114</v>
      </c>
    </row>
    <row r="1034" spans="1:23" s="9" customFormat="1" ht="15.75" hidden="1" customHeight="1" x14ac:dyDescent="0.25">
      <c r="A1034" s="4" t="s">
        <v>3160</v>
      </c>
      <c r="B1034" s="4" t="s">
        <v>3161</v>
      </c>
      <c r="C1034" s="4" t="s">
        <v>3162</v>
      </c>
      <c r="D1034" s="22" t="s">
        <v>6087</v>
      </c>
      <c r="E1034" s="4" t="s">
        <v>51</v>
      </c>
      <c r="F1034" s="4" t="s">
        <v>71</v>
      </c>
      <c r="G1034" s="4" t="s">
        <v>5</v>
      </c>
      <c r="H1034" s="4" t="s">
        <v>72</v>
      </c>
      <c r="I1034" s="5">
        <v>45278</v>
      </c>
      <c r="J1034" s="4" t="s">
        <v>30</v>
      </c>
      <c r="K1034" s="5">
        <v>45511</v>
      </c>
      <c r="L1034" s="4" t="s">
        <v>59</v>
      </c>
      <c r="M1034" s="6">
        <v>22932</v>
      </c>
      <c r="N1034" s="6">
        <v>7180</v>
      </c>
      <c r="O1034" s="4">
        <v>17</v>
      </c>
      <c r="P1034" s="5">
        <v>45528</v>
      </c>
      <c r="Q1034" s="4" t="s">
        <v>33</v>
      </c>
      <c r="R1034" s="4" t="s">
        <v>33</v>
      </c>
      <c r="S1034" s="4" t="s">
        <v>60</v>
      </c>
      <c r="T1034" s="7">
        <v>3.1939000000000002</v>
      </c>
      <c r="U1034" s="8">
        <v>233</v>
      </c>
      <c r="V1034" s="8">
        <v>2024</v>
      </c>
      <c r="W1034" s="4" t="s">
        <v>114</v>
      </c>
    </row>
    <row r="1035" spans="1:23" s="9" customFormat="1" ht="15.75" hidden="1" customHeight="1" x14ac:dyDescent="0.25">
      <c r="A1035" s="10" t="s">
        <v>3163</v>
      </c>
      <c r="B1035" s="10" t="s">
        <v>3164</v>
      </c>
      <c r="C1035" s="10" t="s">
        <v>3165</v>
      </c>
      <c r="D1035" s="21" t="s">
        <v>6086</v>
      </c>
      <c r="E1035" s="10" t="s">
        <v>51</v>
      </c>
      <c r="F1035" s="10" t="s">
        <v>27</v>
      </c>
      <c r="G1035" s="10" t="s">
        <v>5</v>
      </c>
      <c r="H1035" s="10" t="s">
        <v>161</v>
      </c>
      <c r="I1035" s="11">
        <v>45237</v>
      </c>
      <c r="J1035" s="10" t="s">
        <v>30</v>
      </c>
      <c r="K1035" s="11">
        <v>45584</v>
      </c>
      <c r="L1035" s="10" t="s">
        <v>59</v>
      </c>
      <c r="M1035" s="12">
        <v>83385</v>
      </c>
      <c r="N1035" s="12">
        <v>6270</v>
      </c>
      <c r="O1035" s="10">
        <v>18</v>
      </c>
      <c r="P1035" s="11">
        <v>45602</v>
      </c>
      <c r="Q1035" s="10" t="s">
        <v>33</v>
      </c>
      <c r="R1035" s="10" t="s">
        <v>33</v>
      </c>
      <c r="S1035" s="10" t="s">
        <v>34</v>
      </c>
      <c r="T1035" s="13">
        <v>13.298999999999999</v>
      </c>
      <c r="U1035" s="14">
        <v>347</v>
      </c>
      <c r="V1035" s="14">
        <v>2024</v>
      </c>
      <c r="W1035" s="10" t="s">
        <v>95</v>
      </c>
    </row>
    <row r="1036" spans="1:23" s="9" customFormat="1" ht="15.75" hidden="1" customHeight="1" x14ac:dyDescent="0.25">
      <c r="A1036" s="4" t="s">
        <v>3166</v>
      </c>
      <c r="B1036" s="4" t="s">
        <v>3167</v>
      </c>
      <c r="C1036" s="4" t="s">
        <v>3168</v>
      </c>
      <c r="D1036" s="22" t="s">
        <v>6090</v>
      </c>
      <c r="E1036" s="4" t="s">
        <v>26</v>
      </c>
      <c r="F1036" s="4" t="s">
        <v>27</v>
      </c>
      <c r="G1036" s="4" t="s">
        <v>28</v>
      </c>
      <c r="H1036" s="4" t="s">
        <v>93</v>
      </c>
      <c r="I1036" s="5">
        <v>45168</v>
      </c>
      <c r="J1036" s="4" t="s">
        <v>40</v>
      </c>
      <c r="K1036" s="5">
        <v>45499</v>
      </c>
      <c r="L1036" s="4" t="s">
        <v>66</v>
      </c>
      <c r="M1036" s="6">
        <v>19775</v>
      </c>
      <c r="N1036" s="6">
        <v>680</v>
      </c>
      <c r="O1036" s="4" t="s">
        <v>32</v>
      </c>
      <c r="P1036" s="4" t="s">
        <v>32</v>
      </c>
      <c r="Q1036" s="4" t="s">
        <v>33</v>
      </c>
      <c r="R1036" s="4" t="s">
        <v>33</v>
      </c>
      <c r="S1036" s="4" t="s">
        <v>34</v>
      </c>
      <c r="T1036" s="7">
        <v>29.0809</v>
      </c>
      <c r="U1036" s="8">
        <v>331</v>
      </c>
      <c r="V1036" s="8">
        <v>2024</v>
      </c>
      <c r="W1036" s="4" t="s">
        <v>42</v>
      </c>
    </row>
    <row r="1037" spans="1:23" s="9" customFormat="1" ht="15.75" hidden="1" customHeight="1" x14ac:dyDescent="0.25">
      <c r="A1037" s="10" t="s">
        <v>3169</v>
      </c>
      <c r="B1037" s="10" t="s">
        <v>3170</v>
      </c>
      <c r="C1037" s="10" t="s">
        <v>3171</v>
      </c>
      <c r="D1037" s="22" t="s">
        <v>6090</v>
      </c>
      <c r="E1037" s="10" t="s">
        <v>51</v>
      </c>
      <c r="F1037" s="10" t="s">
        <v>65</v>
      </c>
      <c r="G1037" s="10" t="s">
        <v>57</v>
      </c>
      <c r="H1037" s="10" t="s">
        <v>93</v>
      </c>
      <c r="I1037" s="11">
        <v>45486</v>
      </c>
      <c r="J1037" s="10" t="s">
        <v>40</v>
      </c>
      <c r="K1037" s="11">
        <v>45622</v>
      </c>
      <c r="L1037" s="10" t="s">
        <v>59</v>
      </c>
      <c r="M1037" s="12">
        <v>16279</v>
      </c>
      <c r="N1037" s="12">
        <v>5847</v>
      </c>
      <c r="O1037" s="10">
        <v>26</v>
      </c>
      <c r="P1037" s="11">
        <v>45648</v>
      </c>
      <c r="Q1037" s="10" t="s">
        <v>33</v>
      </c>
      <c r="R1037" s="10" t="s">
        <v>33</v>
      </c>
      <c r="S1037" s="10" t="s">
        <v>60</v>
      </c>
      <c r="T1037" s="13">
        <v>2.7841999999999998</v>
      </c>
      <c r="U1037" s="14">
        <v>136</v>
      </c>
      <c r="V1037" s="14">
        <v>2024</v>
      </c>
      <c r="W1037" s="10" t="s">
        <v>61</v>
      </c>
    </row>
    <row r="1038" spans="1:23" s="9" customFormat="1" ht="15.75" hidden="1" customHeight="1" x14ac:dyDescent="0.25">
      <c r="A1038" s="4" t="s">
        <v>3172</v>
      </c>
      <c r="B1038" s="4" t="s">
        <v>3173</v>
      </c>
      <c r="C1038" s="4" t="s">
        <v>3174</v>
      </c>
      <c r="D1038" s="22" t="s">
        <v>6090</v>
      </c>
      <c r="E1038" s="4" t="s">
        <v>51</v>
      </c>
      <c r="F1038" s="4" t="s">
        <v>56</v>
      </c>
      <c r="G1038" s="4" t="s">
        <v>28</v>
      </c>
      <c r="H1038" s="4" t="s">
        <v>161</v>
      </c>
      <c r="I1038" s="5">
        <v>45278</v>
      </c>
      <c r="J1038" s="4" t="s">
        <v>30</v>
      </c>
      <c r="K1038" s="5">
        <v>45501</v>
      </c>
      <c r="L1038" s="4" t="s">
        <v>31</v>
      </c>
      <c r="M1038" s="6">
        <v>15442</v>
      </c>
      <c r="N1038" s="6">
        <v>4812</v>
      </c>
      <c r="O1038" s="4" t="s">
        <v>32</v>
      </c>
      <c r="P1038" s="4" t="s">
        <v>32</v>
      </c>
      <c r="Q1038" s="4" t="s">
        <v>33</v>
      </c>
      <c r="R1038" s="4" t="s">
        <v>33</v>
      </c>
      <c r="S1038" s="4" t="s">
        <v>60</v>
      </c>
      <c r="T1038" s="7">
        <v>3.2090999999999998</v>
      </c>
      <c r="U1038" s="8">
        <v>223</v>
      </c>
      <c r="V1038" s="8">
        <v>2024</v>
      </c>
      <c r="W1038" s="4" t="s">
        <v>42</v>
      </c>
    </row>
    <row r="1039" spans="1:23" s="9" customFormat="1" ht="15.75" hidden="1" customHeight="1" x14ac:dyDescent="0.25">
      <c r="A1039" s="10" t="s">
        <v>3175</v>
      </c>
      <c r="B1039" s="10" t="s">
        <v>3176</v>
      </c>
      <c r="C1039" s="10" t="s">
        <v>3177</v>
      </c>
      <c r="D1039" s="21" t="s">
        <v>6086</v>
      </c>
      <c r="E1039" s="10" t="s">
        <v>87</v>
      </c>
      <c r="F1039" s="21" t="s">
        <v>6092</v>
      </c>
      <c r="G1039" s="10" t="s">
        <v>28</v>
      </c>
      <c r="H1039" s="10" t="s">
        <v>29</v>
      </c>
      <c r="I1039" s="11">
        <v>45237</v>
      </c>
      <c r="J1039" s="10" t="s">
        <v>30</v>
      </c>
      <c r="K1039" s="11">
        <v>45383</v>
      </c>
      <c r="L1039" s="10" t="s">
        <v>31</v>
      </c>
      <c r="M1039" s="12">
        <v>51713</v>
      </c>
      <c r="N1039" s="12">
        <v>1079</v>
      </c>
      <c r="O1039" s="10" t="s">
        <v>32</v>
      </c>
      <c r="P1039" s="10" t="s">
        <v>32</v>
      </c>
      <c r="Q1039" s="10" t="s">
        <v>33</v>
      </c>
      <c r="R1039" s="10" t="s">
        <v>33</v>
      </c>
      <c r="S1039" s="10" t="s">
        <v>60</v>
      </c>
      <c r="T1039" s="13">
        <v>47.9268</v>
      </c>
      <c r="U1039" s="14">
        <v>146</v>
      </c>
      <c r="V1039" s="14">
        <v>2024</v>
      </c>
      <c r="W1039" s="10" t="s">
        <v>47</v>
      </c>
    </row>
    <row r="1040" spans="1:23" s="9" customFormat="1" ht="27.75" customHeight="1" x14ac:dyDescent="0.25">
      <c r="A1040" s="4" t="s">
        <v>3178</v>
      </c>
      <c r="B1040" s="4" t="s">
        <v>3179</v>
      </c>
      <c r="C1040" s="4" t="s">
        <v>3180</v>
      </c>
      <c r="D1040" s="21" t="s">
        <v>6091</v>
      </c>
      <c r="E1040" s="4" t="s">
        <v>87</v>
      </c>
      <c r="F1040" s="10" t="s">
        <v>6092</v>
      </c>
      <c r="G1040" s="4" t="s">
        <v>5</v>
      </c>
      <c r="H1040" s="4" t="s">
        <v>39</v>
      </c>
      <c r="I1040" s="5">
        <v>45288</v>
      </c>
      <c r="J1040" s="4" t="s">
        <v>30</v>
      </c>
      <c r="K1040" s="5">
        <v>45326</v>
      </c>
      <c r="L1040" s="4" t="s">
        <v>59</v>
      </c>
      <c r="M1040" s="6">
        <v>15987</v>
      </c>
      <c r="N1040" s="6">
        <v>936</v>
      </c>
      <c r="O1040" s="4">
        <v>20</v>
      </c>
      <c r="P1040" s="5">
        <v>45346</v>
      </c>
      <c r="Q1040" s="4" t="s">
        <v>94</v>
      </c>
      <c r="R1040" s="4" t="s">
        <v>94</v>
      </c>
      <c r="S1040" s="4" t="s">
        <v>41</v>
      </c>
      <c r="T1040" s="7">
        <v>17.080100000000002</v>
      </c>
      <c r="U1040" s="8">
        <v>38</v>
      </c>
      <c r="V1040" s="8">
        <v>2024</v>
      </c>
      <c r="W1040" s="4" t="s">
        <v>35</v>
      </c>
    </row>
    <row r="1041" spans="1:23" s="9" customFormat="1" ht="15.75" hidden="1" customHeight="1" x14ac:dyDescent="0.25">
      <c r="A1041" s="10" t="s">
        <v>3181</v>
      </c>
      <c r="B1041" s="10" t="s">
        <v>3182</v>
      </c>
      <c r="C1041" s="10" t="s">
        <v>3183</v>
      </c>
      <c r="D1041" s="22" t="s">
        <v>6090</v>
      </c>
      <c r="E1041" s="10" t="s">
        <v>26</v>
      </c>
      <c r="F1041" s="21" t="s">
        <v>6092</v>
      </c>
      <c r="G1041" s="10" t="s">
        <v>5</v>
      </c>
      <c r="H1041" s="10" t="s">
        <v>58</v>
      </c>
      <c r="I1041" s="11">
        <v>45217</v>
      </c>
      <c r="J1041" s="10" t="s">
        <v>30</v>
      </c>
      <c r="K1041" s="11">
        <v>45552</v>
      </c>
      <c r="L1041" s="10" t="s">
        <v>59</v>
      </c>
      <c r="M1041" s="12">
        <v>12226</v>
      </c>
      <c r="N1041" s="12">
        <v>6787</v>
      </c>
      <c r="O1041" s="10">
        <v>34</v>
      </c>
      <c r="P1041" s="11">
        <v>45586</v>
      </c>
      <c r="Q1041" s="10" t="s">
        <v>94</v>
      </c>
      <c r="R1041" s="10" t="s">
        <v>33</v>
      </c>
      <c r="S1041" s="10" t="s">
        <v>41</v>
      </c>
      <c r="T1041" s="13">
        <v>1.8013999999999999</v>
      </c>
      <c r="U1041" s="14">
        <v>335</v>
      </c>
      <c r="V1041" s="14">
        <v>2024</v>
      </c>
      <c r="W1041" s="10" t="s">
        <v>168</v>
      </c>
    </row>
    <row r="1042" spans="1:23" s="9" customFormat="1" ht="15.75" hidden="1" customHeight="1" x14ac:dyDescent="0.25">
      <c r="A1042" s="4" t="s">
        <v>3184</v>
      </c>
      <c r="B1042" s="4" t="s">
        <v>3185</v>
      </c>
      <c r="C1042" s="4" t="s">
        <v>3186</v>
      </c>
      <c r="D1042" s="21" t="s">
        <v>6091</v>
      </c>
      <c r="E1042" s="4" t="s">
        <v>51</v>
      </c>
      <c r="F1042" s="21" t="s">
        <v>6092</v>
      </c>
      <c r="G1042" s="4" t="s">
        <v>28</v>
      </c>
      <c r="H1042" s="4" t="s">
        <v>88</v>
      </c>
      <c r="I1042" s="5">
        <v>45181</v>
      </c>
      <c r="J1042" s="4" t="s">
        <v>30</v>
      </c>
      <c r="K1042" s="5">
        <v>45364</v>
      </c>
      <c r="L1042" s="4" t="s">
        <v>31</v>
      </c>
      <c r="M1042" s="6">
        <v>7450</v>
      </c>
      <c r="N1042" s="6">
        <v>2079</v>
      </c>
      <c r="O1042" s="4" t="s">
        <v>32</v>
      </c>
      <c r="P1042" s="4" t="s">
        <v>32</v>
      </c>
      <c r="Q1042" s="4" t="s">
        <v>94</v>
      </c>
      <c r="R1042" s="4" t="s">
        <v>33</v>
      </c>
      <c r="S1042" s="4" t="s">
        <v>34</v>
      </c>
      <c r="T1042" s="7">
        <v>3.5834999999999999</v>
      </c>
      <c r="U1042" s="8">
        <v>183</v>
      </c>
      <c r="V1042" s="8">
        <v>2024</v>
      </c>
      <c r="W1042" s="4" t="s">
        <v>77</v>
      </c>
    </row>
    <row r="1043" spans="1:23" s="9" customFormat="1" ht="15.75" hidden="1" customHeight="1" x14ac:dyDescent="0.25">
      <c r="A1043" s="10" t="s">
        <v>3187</v>
      </c>
      <c r="B1043" s="10" t="s">
        <v>3188</v>
      </c>
      <c r="C1043" s="10" t="s">
        <v>3189</v>
      </c>
      <c r="D1043" s="21" t="s">
        <v>6089</v>
      </c>
      <c r="E1043" s="10" t="s">
        <v>26</v>
      </c>
      <c r="F1043" s="10" t="s">
        <v>65</v>
      </c>
      <c r="G1043" s="10" t="s">
        <v>57</v>
      </c>
      <c r="H1043" s="10" t="s">
        <v>39</v>
      </c>
      <c r="I1043" s="11">
        <v>45492</v>
      </c>
      <c r="J1043" s="10" t="s">
        <v>30</v>
      </c>
      <c r="K1043" s="11">
        <v>45655</v>
      </c>
      <c r="L1043" s="10" t="s">
        <v>59</v>
      </c>
      <c r="M1043" s="12">
        <v>62105</v>
      </c>
      <c r="N1043" s="12">
        <v>6877</v>
      </c>
      <c r="O1043" s="10">
        <v>42</v>
      </c>
      <c r="P1043" s="11">
        <v>45697</v>
      </c>
      <c r="Q1043" s="10" t="s">
        <v>33</v>
      </c>
      <c r="R1043" s="10" t="s">
        <v>33</v>
      </c>
      <c r="S1043" s="10" t="s">
        <v>60</v>
      </c>
      <c r="T1043" s="13">
        <v>9.0307999999999993</v>
      </c>
      <c r="U1043" s="14">
        <v>163</v>
      </c>
      <c r="V1043" s="14">
        <v>2024</v>
      </c>
      <c r="W1043" s="10" t="s">
        <v>89</v>
      </c>
    </row>
    <row r="1044" spans="1:23" s="9" customFormat="1" ht="15.75" hidden="1" customHeight="1" x14ac:dyDescent="0.25">
      <c r="A1044" s="4" t="s">
        <v>3190</v>
      </c>
      <c r="B1044" s="4" t="s">
        <v>3191</v>
      </c>
      <c r="C1044" s="4" t="s">
        <v>3192</v>
      </c>
      <c r="D1044" s="22" t="s">
        <v>6087</v>
      </c>
      <c r="E1044" s="4" t="s">
        <v>87</v>
      </c>
      <c r="F1044" s="4" t="s">
        <v>56</v>
      </c>
      <c r="G1044" s="4" t="s">
        <v>57</v>
      </c>
      <c r="H1044" s="4" t="s">
        <v>93</v>
      </c>
      <c r="I1044" s="5">
        <v>44975</v>
      </c>
      <c r="J1044" s="4" t="s">
        <v>40</v>
      </c>
      <c r="K1044" s="5">
        <v>45317</v>
      </c>
      <c r="L1044" s="4" t="s">
        <v>59</v>
      </c>
      <c r="M1044" s="6">
        <v>26488</v>
      </c>
      <c r="N1044" s="6">
        <v>7172</v>
      </c>
      <c r="O1044" s="4">
        <v>21</v>
      </c>
      <c r="P1044" s="5">
        <v>45338</v>
      </c>
      <c r="Q1044" s="4" t="s">
        <v>33</v>
      </c>
      <c r="R1044" s="4" t="s">
        <v>33</v>
      </c>
      <c r="S1044" s="4" t="s">
        <v>60</v>
      </c>
      <c r="T1044" s="7">
        <v>3.6932999999999998</v>
      </c>
      <c r="U1044" s="8">
        <v>342</v>
      </c>
      <c r="V1044" s="8">
        <v>2024</v>
      </c>
      <c r="W1044" s="4" t="s">
        <v>73</v>
      </c>
    </row>
    <row r="1045" spans="1:23" s="9" customFormat="1" ht="15.75" hidden="1" customHeight="1" x14ac:dyDescent="0.25">
      <c r="A1045" s="10" t="s">
        <v>3193</v>
      </c>
      <c r="B1045" s="10" t="s">
        <v>3194</v>
      </c>
      <c r="C1045" s="10" t="s">
        <v>3195</v>
      </c>
      <c r="D1045" s="22" t="s">
        <v>6087</v>
      </c>
      <c r="E1045" s="10" t="s">
        <v>51</v>
      </c>
      <c r="F1045" s="10" t="s">
        <v>46</v>
      </c>
      <c r="G1045" s="10" t="s">
        <v>57</v>
      </c>
      <c r="H1045" s="10" t="s">
        <v>58</v>
      </c>
      <c r="I1045" s="11">
        <v>45562</v>
      </c>
      <c r="J1045" s="10" t="s">
        <v>40</v>
      </c>
      <c r="K1045" s="11">
        <v>45613</v>
      </c>
      <c r="L1045" s="10" t="s">
        <v>31</v>
      </c>
      <c r="M1045" s="12">
        <v>5122</v>
      </c>
      <c r="N1045" s="12">
        <v>7441</v>
      </c>
      <c r="O1045" s="10" t="s">
        <v>32</v>
      </c>
      <c r="P1045" s="10" t="s">
        <v>32</v>
      </c>
      <c r="Q1045" s="10" t="s">
        <v>33</v>
      </c>
      <c r="R1045" s="10" t="s">
        <v>33</v>
      </c>
      <c r="S1045" s="10" t="s">
        <v>41</v>
      </c>
      <c r="T1045" s="13">
        <v>0.68830000000000002</v>
      </c>
      <c r="U1045" s="14">
        <v>51</v>
      </c>
      <c r="V1045" s="14">
        <v>2024</v>
      </c>
      <c r="W1045" s="10" t="s">
        <v>61</v>
      </c>
    </row>
    <row r="1046" spans="1:23" s="9" customFormat="1" ht="15.75" hidden="1" customHeight="1" x14ac:dyDescent="0.25">
      <c r="A1046" s="4" t="s">
        <v>3196</v>
      </c>
      <c r="B1046" s="4" t="s">
        <v>3197</v>
      </c>
      <c r="C1046" s="4" t="s">
        <v>3198</v>
      </c>
      <c r="D1046" s="22" t="s">
        <v>6090</v>
      </c>
      <c r="E1046" s="4" t="s">
        <v>87</v>
      </c>
      <c r="F1046" s="4" t="s">
        <v>46</v>
      </c>
      <c r="G1046" s="4" t="s">
        <v>28</v>
      </c>
      <c r="H1046" s="4" t="s">
        <v>39</v>
      </c>
      <c r="I1046" s="5">
        <v>45478</v>
      </c>
      <c r="J1046" s="4" t="s">
        <v>30</v>
      </c>
      <c r="K1046" s="5">
        <v>45619</v>
      </c>
      <c r="L1046" s="4" t="s">
        <v>59</v>
      </c>
      <c r="M1046" s="6">
        <v>11956</v>
      </c>
      <c r="N1046" s="6">
        <v>6682</v>
      </c>
      <c r="O1046" s="4">
        <v>11</v>
      </c>
      <c r="P1046" s="5">
        <v>45630</v>
      </c>
      <c r="Q1046" s="4" t="s">
        <v>33</v>
      </c>
      <c r="R1046" s="4" t="s">
        <v>33</v>
      </c>
      <c r="S1046" s="4" t="s">
        <v>34</v>
      </c>
      <c r="T1046" s="7">
        <v>1.7892999999999999</v>
      </c>
      <c r="U1046" s="8">
        <v>141</v>
      </c>
      <c r="V1046" s="8">
        <v>2024</v>
      </c>
      <c r="W1046" s="4" t="s">
        <v>61</v>
      </c>
    </row>
    <row r="1047" spans="1:23" s="9" customFormat="1" ht="15.75" hidden="1" customHeight="1" x14ac:dyDescent="0.25">
      <c r="A1047" s="10" t="s">
        <v>3199</v>
      </c>
      <c r="B1047" s="10" t="s">
        <v>3200</v>
      </c>
      <c r="C1047" s="10" t="s">
        <v>3201</v>
      </c>
      <c r="D1047" s="21" t="s">
        <v>6086</v>
      </c>
      <c r="E1047" s="10" t="s">
        <v>87</v>
      </c>
      <c r="F1047" s="10" t="s">
        <v>56</v>
      </c>
      <c r="G1047" s="10" t="s">
        <v>57</v>
      </c>
      <c r="H1047" s="10" t="s">
        <v>118</v>
      </c>
      <c r="I1047" s="11">
        <v>45267</v>
      </c>
      <c r="J1047" s="10" t="s">
        <v>30</v>
      </c>
      <c r="K1047" s="11">
        <v>45559</v>
      </c>
      <c r="L1047" s="10" t="s">
        <v>59</v>
      </c>
      <c r="M1047" s="12">
        <v>72277</v>
      </c>
      <c r="N1047" s="12">
        <v>850</v>
      </c>
      <c r="O1047" s="10">
        <v>28</v>
      </c>
      <c r="P1047" s="11">
        <v>45587</v>
      </c>
      <c r="Q1047" s="10" t="s">
        <v>33</v>
      </c>
      <c r="R1047" s="10" t="s">
        <v>33</v>
      </c>
      <c r="S1047" s="10" t="s">
        <v>41</v>
      </c>
      <c r="T1047" s="13">
        <v>85.031800000000004</v>
      </c>
      <c r="U1047" s="14">
        <v>292</v>
      </c>
      <c r="V1047" s="14">
        <v>2024</v>
      </c>
      <c r="W1047" s="10" t="s">
        <v>168</v>
      </c>
    </row>
    <row r="1048" spans="1:23" s="9" customFormat="1" ht="15.75" hidden="1" customHeight="1" x14ac:dyDescent="0.25">
      <c r="A1048" s="4" t="s">
        <v>3202</v>
      </c>
      <c r="B1048" s="4" t="s">
        <v>3203</v>
      </c>
      <c r="C1048" s="4" t="s">
        <v>3204</v>
      </c>
      <c r="D1048" s="22" t="s">
        <v>6087</v>
      </c>
      <c r="E1048" s="4" t="s">
        <v>26</v>
      </c>
      <c r="F1048" s="4" t="s">
        <v>27</v>
      </c>
      <c r="G1048" s="4" t="s">
        <v>28</v>
      </c>
      <c r="H1048" s="4" t="s">
        <v>39</v>
      </c>
      <c r="I1048" s="5">
        <v>45173</v>
      </c>
      <c r="J1048" s="4" t="s">
        <v>40</v>
      </c>
      <c r="K1048" s="5">
        <v>45503</v>
      </c>
      <c r="L1048" s="4" t="s">
        <v>31</v>
      </c>
      <c r="M1048" s="6">
        <v>16223</v>
      </c>
      <c r="N1048" s="6">
        <v>4526</v>
      </c>
      <c r="O1048" s="4" t="s">
        <v>32</v>
      </c>
      <c r="P1048" s="4" t="s">
        <v>32</v>
      </c>
      <c r="Q1048" s="4" t="s">
        <v>33</v>
      </c>
      <c r="R1048" s="4" t="s">
        <v>33</v>
      </c>
      <c r="S1048" s="4" t="s">
        <v>34</v>
      </c>
      <c r="T1048" s="7">
        <v>3.5844</v>
      </c>
      <c r="U1048" s="8">
        <v>330</v>
      </c>
      <c r="V1048" s="8">
        <v>2024</v>
      </c>
      <c r="W1048" s="4" t="s">
        <v>42</v>
      </c>
    </row>
    <row r="1049" spans="1:23" s="9" customFormat="1" ht="15.75" hidden="1" customHeight="1" x14ac:dyDescent="0.25">
      <c r="A1049" s="10" t="s">
        <v>3205</v>
      </c>
      <c r="B1049" s="10" t="s">
        <v>3206</v>
      </c>
      <c r="C1049" s="10" t="s">
        <v>3207</v>
      </c>
      <c r="D1049" s="22" t="s">
        <v>6087</v>
      </c>
      <c r="E1049" s="10" t="s">
        <v>51</v>
      </c>
      <c r="F1049" s="10" t="s">
        <v>71</v>
      </c>
      <c r="G1049" s="10" t="s">
        <v>5</v>
      </c>
      <c r="H1049" s="10" t="s">
        <v>29</v>
      </c>
      <c r="I1049" s="11">
        <v>45284</v>
      </c>
      <c r="J1049" s="10" t="s">
        <v>40</v>
      </c>
      <c r="K1049" s="11">
        <v>45435</v>
      </c>
      <c r="L1049" s="10" t="s">
        <v>59</v>
      </c>
      <c r="M1049" s="12">
        <v>24369</v>
      </c>
      <c r="N1049" s="12">
        <v>1199</v>
      </c>
      <c r="O1049" s="10">
        <v>22</v>
      </c>
      <c r="P1049" s="11">
        <v>45457</v>
      </c>
      <c r="Q1049" s="10" t="s">
        <v>33</v>
      </c>
      <c r="R1049" s="10" t="s">
        <v>33</v>
      </c>
      <c r="S1049" s="10" t="s">
        <v>60</v>
      </c>
      <c r="T1049" s="13">
        <v>20.324400000000001</v>
      </c>
      <c r="U1049" s="14">
        <v>151</v>
      </c>
      <c r="V1049" s="14">
        <v>2024</v>
      </c>
      <c r="W1049" s="10" t="s">
        <v>52</v>
      </c>
    </row>
    <row r="1050" spans="1:23" s="9" customFormat="1" ht="15.75" hidden="1" customHeight="1" x14ac:dyDescent="0.25">
      <c r="A1050" s="4" t="s">
        <v>3208</v>
      </c>
      <c r="B1050" s="4" t="s">
        <v>3209</v>
      </c>
      <c r="C1050" s="4" t="s">
        <v>3210</v>
      </c>
      <c r="D1050" s="21" t="s">
        <v>6088</v>
      </c>
      <c r="E1050" s="4" t="s">
        <v>87</v>
      </c>
      <c r="F1050" s="4" t="s">
        <v>71</v>
      </c>
      <c r="G1050" s="4" t="s">
        <v>57</v>
      </c>
      <c r="H1050" s="4" t="s">
        <v>58</v>
      </c>
      <c r="I1050" s="5">
        <v>45255</v>
      </c>
      <c r="J1050" s="4" t="s">
        <v>40</v>
      </c>
      <c r="K1050" s="5">
        <v>45420</v>
      </c>
      <c r="L1050" s="4" t="s">
        <v>59</v>
      </c>
      <c r="M1050" s="6">
        <v>59540</v>
      </c>
      <c r="N1050" s="6">
        <v>3374</v>
      </c>
      <c r="O1050" s="4">
        <v>6</v>
      </c>
      <c r="P1050" s="5">
        <v>45426</v>
      </c>
      <c r="Q1050" s="4" t="s">
        <v>33</v>
      </c>
      <c r="R1050" s="4" t="s">
        <v>33</v>
      </c>
      <c r="S1050" s="4" t="s">
        <v>41</v>
      </c>
      <c r="T1050" s="7">
        <v>17.646699999999999</v>
      </c>
      <c r="U1050" s="8">
        <v>165</v>
      </c>
      <c r="V1050" s="8">
        <v>2024</v>
      </c>
      <c r="W1050" s="4" t="s">
        <v>52</v>
      </c>
    </row>
    <row r="1051" spans="1:23" s="9" customFormat="1" ht="15.75" hidden="1" customHeight="1" x14ac:dyDescent="0.25">
      <c r="A1051" s="10" t="s">
        <v>3211</v>
      </c>
      <c r="B1051" s="10" t="s">
        <v>3212</v>
      </c>
      <c r="C1051" s="10" t="s">
        <v>3213</v>
      </c>
      <c r="D1051" s="21" t="s">
        <v>6089</v>
      </c>
      <c r="E1051" s="10" t="s">
        <v>26</v>
      </c>
      <c r="F1051" s="10" t="s">
        <v>56</v>
      </c>
      <c r="G1051" s="10" t="s">
        <v>57</v>
      </c>
      <c r="H1051" s="10" t="s">
        <v>161</v>
      </c>
      <c r="I1051" s="11">
        <v>45168</v>
      </c>
      <c r="J1051" s="10" t="s">
        <v>40</v>
      </c>
      <c r="K1051" s="11">
        <v>45476</v>
      </c>
      <c r="L1051" s="10" t="s">
        <v>59</v>
      </c>
      <c r="M1051" s="12">
        <v>67330</v>
      </c>
      <c r="N1051" s="12">
        <v>2465</v>
      </c>
      <c r="O1051" s="10">
        <v>26</v>
      </c>
      <c r="P1051" s="11">
        <v>45502</v>
      </c>
      <c r="Q1051" s="10" t="s">
        <v>33</v>
      </c>
      <c r="R1051" s="10" t="s">
        <v>33</v>
      </c>
      <c r="S1051" s="10" t="s">
        <v>34</v>
      </c>
      <c r="T1051" s="13">
        <v>27.314399999999999</v>
      </c>
      <c r="U1051" s="14">
        <v>308</v>
      </c>
      <c r="V1051" s="14">
        <v>2024</v>
      </c>
      <c r="W1051" s="10" t="s">
        <v>42</v>
      </c>
    </row>
    <row r="1052" spans="1:23" s="9" customFormat="1" ht="15.75" hidden="1" customHeight="1" x14ac:dyDescent="0.25">
      <c r="A1052" s="4" t="s">
        <v>3214</v>
      </c>
      <c r="B1052" s="4" t="s">
        <v>3215</v>
      </c>
      <c r="C1052" s="4" t="s">
        <v>3216</v>
      </c>
      <c r="D1052" s="22" t="s">
        <v>6087</v>
      </c>
      <c r="E1052" s="4" t="s">
        <v>26</v>
      </c>
      <c r="F1052" s="4" t="s">
        <v>56</v>
      </c>
      <c r="G1052" s="4" t="s">
        <v>28</v>
      </c>
      <c r="H1052" s="4" t="s">
        <v>93</v>
      </c>
      <c r="I1052" s="5">
        <v>45161</v>
      </c>
      <c r="J1052" s="4" t="s">
        <v>40</v>
      </c>
      <c r="K1052" s="5">
        <v>45499</v>
      </c>
      <c r="L1052" s="4" t="s">
        <v>59</v>
      </c>
      <c r="M1052" s="6">
        <v>12424</v>
      </c>
      <c r="N1052" s="6">
        <v>970</v>
      </c>
      <c r="O1052" s="4">
        <v>36</v>
      </c>
      <c r="P1052" s="5">
        <v>45535</v>
      </c>
      <c r="Q1052" s="4" t="s">
        <v>33</v>
      </c>
      <c r="R1052" s="4" t="s">
        <v>33</v>
      </c>
      <c r="S1052" s="4" t="s">
        <v>60</v>
      </c>
      <c r="T1052" s="7">
        <v>12.808199999999999</v>
      </c>
      <c r="U1052" s="8">
        <v>338</v>
      </c>
      <c r="V1052" s="8">
        <v>2024</v>
      </c>
      <c r="W1052" s="4" t="s">
        <v>42</v>
      </c>
    </row>
    <row r="1053" spans="1:23" s="9" customFormat="1" ht="15.75" hidden="1" customHeight="1" x14ac:dyDescent="0.25">
      <c r="A1053" s="10" t="s">
        <v>3217</v>
      </c>
      <c r="B1053" s="10" t="s">
        <v>3218</v>
      </c>
      <c r="C1053" s="10" t="s">
        <v>3219</v>
      </c>
      <c r="D1053" s="22" t="s">
        <v>6087</v>
      </c>
      <c r="E1053" s="10" t="s">
        <v>87</v>
      </c>
      <c r="F1053" s="10" t="s">
        <v>46</v>
      </c>
      <c r="G1053" s="10" t="s">
        <v>57</v>
      </c>
      <c r="H1053" s="10" t="s">
        <v>88</v>
      </c>
      <c r="I1053" s="11">
        <v>45315</v>
      </c>
      <c r="J1053" s="10" t="s">
        <v>30</v>
      </c>
      <c r="K1053" s="11">
        <v>45644</v>
      </c>
      <c r="L1053" s="10" t="s">
        <v>31</v>
      </c>
      <c r="M1053" s="12">
        <v>3656</v>
      </c>
      <c r="N1053" s="12">
        <v>2871</v>
      </c>
      <c r="O1053" s="10" t="s">
        <v>32</v>
      </c>
      <c r="P1053" s="10" t="s">
        <v>32</v>
      </c>
      <c r="Q1053" s="10" t="s">
        <v>33</v>
      </c>
      <c r="R1053" s="10" t="s">
        <v>33</v>
      </c>
      <c r="S1053" s="10" t="s">
        <v>60</v>
      </c>
      <c r="T1053" s="13">
        <v>1.2734000000000001</v>
      </c>
      <c r="U1053" s="14">
        <v>329</v>
      </c>
      <c r="V1053" s="14">
        <v>2024</v>
      </c>
      <c r="W1053" s="10" t="s">
        <v>89</v>
      </c>
    </row>
    <row r="1054" spans="1:23" s="9" customFormat="1" ht="27.75" customHeight="1" x14ac:dyDescent="0.25">
      <c r="A1054" s="4" t="s">
        <v>3220</v>
      </c>
      <c r="B1054" s="4" t="s">
        <v>3221</v>
      </c>
      <c r="C1054" s="4" t="s">
        <v>3222</v>
      </c>
      <c r="D1054" s="22" t="s">
        <v>6090</v>
      </c>
      <c r="E1054" s="4" t="s">
        <v>51</v>
      </c>
      <c r="F1054" s="10" t="s">
        <v>6092</v>
      </c>
      <c r="G1054" s="4" t="s">
        <v>57</v>
      </c>
      <c r="H1054" s="4" t="s">
        <v>72</v>
      </c>
      <c r="I1054" s="5">
        <v>45132</v>
      </c>
      <c r="J1054" s="4" t="s">
        <v>30</v>
      </c>
      <c r="K1054" s="5">
        <v>45398</v>
      </c>
      <c r="L1054" s="4" t="s">
        <v>59</v>
      </c>
      <c r="M1054" s="6">
        <v>53755</v>
      </c>
      <c r="N1054" s="6">
        <v>8075</v>
      </c>
      <c r="O1054" s="4">
        <v>22</v>
      </c>
      <c r="P1054" s="5">
        <v>45420</v>
      </c>
      <c r="Q1054" s="4" t="s">
        <v>94</v>
      </c>
      <c r="R1054" s="4" t="s">
        <v>94</v>
      </c>
      <c r="S1054" s="4" t="s">
        <v>34</v>
      </c>
      <c r="T1054" s="7">
        <v>6.657</v>
      </c>
      <c r="U1054" s="8">
        <v>266</v>
      </c>
      <c r="V1054" s="8">
        <v>2024</v>
      </c>
      <c r="W1054" s="4" t="s">
        <v>47</v>
      </c>
    </row>
    <row r="1055" spans="1:23" s="9" customFormat="1" ht="15.75" hidden="1" customHeight="1" x14ac:dyDescent="0.25">
      <c r="A1055" s="10" t="s">
        <v>3223</v>
      </c>
      <c r="B1055" s="10" t="s">
        <v>3224</v>
      </c>
      <c r="C1055" s="10" t="s">
        <v>3225</v>
      </c>
      <c r="D1055" s="21" t="s">
        <v>6089</v>
      </c>
      <c r="E1055" s="10" t="s">
        <v>51</v>
      </c>
      <c r="F1055" s="21" t="s">
        <v>6092</v>
      </c>
      <c r="G1055" s="10" t="s">
        <v>5</v>
      </c>
      <c r="H1055" s="10" t="s">
        <v>58</v>
      </c>
      <c r="I1055" s="11">
        <v>45062</v>
      </c>
      <c r="J1055" s="10" t="s">
        <v>40</v>
      </c>
      <c r="K1055" s="11">
        <v>45342</v>
      </c>
      <c r="L1055" s="10" t="s">
        <v>59</v>
      </c>
      <c r="M1055" s="12">
        <v>32725</v>
      </c>
      <c r="N1055" s="12">
        <v>1304</v>
      </c>
      <c r="O1055" s="10">
        <v>5</v>
      </c>
      <c r="P1055" s="11">
        <v>45347</v>
      </c>
      <c r="Q1055" s="10" t="s">
        <v>33</v>
      </c>
      <c r="R1055" s="10" t="s">
        <v>33</v>
      </c>
      <c r="S1055" s="10" t="s">
        <v>41</v>
      </c>
      <c r="T1055" s="13">
        <v>25.0959</v>
      </c>
      <c r="U1055" s="14">
        <v>280</v>
      </c>
      <c r="V1055" s="14">
        <v>2024</v>
      </c>
      <c r="W1055" s="10" t="s">
        <v>35</v>
      </c>
    </row>
    <row r="1056" spans="1:23" s="9" customFormat="1" ht="15.75" hidden="1" customHeight="1" x14ac:dyDescent="0.25">
      <c r="A1056" s="4" t="s">
        <v>3226</v>
      </c>
      <c r="B1056" s="4" t="s">
        <v>3227</v>
      </c>
      <c r="C1056" s="4" t="s">
        <v>3228</v>
      </c>
      <c r="D1056" s="22" t="s">
        <v>6090</v>
      </c>
      <c r="E1056" s="4" t="s">
        <v>51</v>
      </c>
      <c r="F1056" s="4" t="s">
        <v>27</v>
      </c>
      <c r="G1056" s="4" t="s">
        <v>57</v>
      </c>
      <c r="H1056" s="4" t="s">
        <v>72</v>
      </c>
      <c r="I1056" s="5">
        <v>45473</v>
      </c>
      <c r="J1056" s="4" t="s">
        <v>30</v>
      </c>
      <c r="K1056" s="5">
        <v>45522</v>
      </c>
      <c r="L1056" s="4" t="s">
        <v>59</v>
      </c>
      <c r="M1056" s="6">
        <v>56946</v>
      </c>
      <c r="N1056" s="6">
        <v>2950</v>
      </c>
      <c r="O1056" s="4">
        <v>7</v>
      </c>
      <c r="P1056" s="5">
        <v>45529</v>
      </c>
      <c r="Q1056" s="4" t="s">
        <v>33</v>
      </c>
      <c r="R1056" s="4" t="s">
        <v>33</v>
      </c>
      <c r="S1056" s="4" t="s">
        <v>34</v>
      </c>
      <c r="T1056" s="7">
        <v>19.303699999999999</v>
      </c>
      <c r="U1056" s="8">
        <v>49</v>
      </c>
      <c r="V1056" s="8">
        <v>2024</v>
      </c>
      <c r="W1056" s="4" t="s">
        <v>114</v>
      </c>
    </row>
    <row r="1057" spans="1:23" s="9" customFormat="1" ht="15.75" hidden="1" customHeight="1" x14ac:dyDescent="0.25">
      <c r="A1057" s="10" t="s">
        <v>3229</v>
      </c>
      <c r="B1057" s="10" t="s">
        <v>3230</v>
      </c>
      <c r="C1057" s="10" t="s">
        <v>3231</v>
      </c>
      <c r="D1057" s="21" t="s">
        <v>6086</v>
      </c>
      <c r="E1057" s="10" t="s">
        <v>87</v>
      </c>
      <c r="F1057" s="10" t="s">
        <v>65</v>
      </c>
      <c r="G1057" s="10" t="s">
        <v>57</v>
      </c>
      <c r="H1057" s="10" t="s">
        <v>88</v>
      </c>
      <c r="I1057" s="11">
        <v>45285</v>
      </c>
      <c r="J1057" s="10" t="s">
        <v>30</v>
      </c>
      <c r="K1057" s="11">
        <v>45541</v>
      </c>
      <c r="L1057" s="10" t="s">
        <v>59</v>
      </c>
      <c r="M1057" s="12">
        <v>67287</v>
      </c>
      <c r="N1057" s="12">
        <v>3716</v>
      </c>
      <c r="O1057" s="10">
        <v>27</v>
      </c>
      <c r="P1057" s="11">
        <v>45568</v>
      </c>
      <c r="Q1057" s="10" t="s">
        <v>33</v>
      </c>
      <c r="R1057" s="10" t="s">
        <v>33</v>
      </c>
      <c r="S1057" s="10" t="s">
        <v>34</v>
      </c>
      <c r="T1057" s="13">
        <v>18.107399999999998</v>
      </c>
      <c r="U1057" s="14">
        <v>256</v>
      </c>
      <c r="V1057" s="14">
        <v>2024</v>
      </c>
      <c r="W1057" s="10" t="s">
        <v>168</v>
      </c>
    </row>
    <row r="1058" spans="1:23" s="9" customFormat="1" ht="15.75" hidden="1" customHeight="1" x14ac:dyDescent="0.25">
      <c r="A1058" s="4" t="s">
        <v>3232</v>
      </c>
      <c r="B1058" s="4" t="s">
        <v>3233</v>
      </c>
      <c r="C1058" s="4" t="s">
        <v>3234</v>
      </c>
      <c r="D1058" s="21" t="s">
        <v>6086</v>
      </c>
      <c r="E1058" s="4" t="s">
        <v>87</v>
      </c>
      <c r="F1058" s="4" t="s">
        <v>71</v>
      </c>
      <c r="G1058" s="4" t="s">
        <v>28</v>
      </c>
      <c r="H1058" s="4" t="s">
        <v>72</v>
      </c>
      <c r="I1058" s="5">
        <v>45508</v>
      </c>
      <c r="J1058" s="4" t="s">
        <v>30</v>
      </c>
      <c r="K1058" s="5">
        <v>45551</v>
      </c>
      <c r="L1058" s="4" t="s">
        <v>59</v>
      </c>
      <c r="M1058" s="6">
        <v>70936</v>
      </c>
      <c r="N1058" s="6">
        <v>723</v>
      </c>
      <c r="O1058" s="4">
        <v>36</v>
      </c>
      <c r="P1058" s="5">
        <v>45587</v>
      </c>
      <c r="Q1058" s="4" t="s">
        <v>33</v>
      </c>
      <c r="R1058" s="4" t="s">
        <v>33</v>
      </c>
      <c r="S1058" s="4" t="s">
        <v>41</v>
      </c>
      <c r="T1058" s="7">
        <v>98.113399999999999</v>
      </c>
      <c r="U1058" s="8">
        <v>43</v>
      </c>
      <c r="V1058" s="8">
        <v>2024</v>
      </c>
      <c r="W1058" s="4" t="s">
        <v>168</v>
      </c>
    </row>
    <row r="1059" spans="1:23" s="9" customFormat="1" ht="15.75" hidden="1" customHeight="1" x14ac:dyDescent="0.25">
      <c r="A1059" s="10" t="s">
        <v>3235</v>
      </c>
      <c r="B1059" s="10" t="s">
        <v>3236</v>
      </c>
      <c r="C1059" s="10" t="s">
        <v>3237</v>
      </c>
      <c r="D1059" s="21" t="s">
        <v>6089</v>
      </c>
      <c r="E1059" s="10" t="s">
        <v>87</v>
      </c>
      <c r="F1059" s="10" t="s">
        <v>56</v>
      </c>
      <c r="G1059" s="10" t="s">
        <v>57</v>
      </c>
      <c r="H1059" s="10" t="s">
        <v>29</v>
      </c>
      <c r="I1059" s="11">
        <v>45400</v>
      </c>
      <c r="J1059" s="10" t="s">
        <v>30</v>
      </c>
      <c r="K1059" s="11">
        <v>45553</v>
      </c>
      <c r="L1059" s="10" t="s">
        <v>59</v>
      </c>
      <c r="M1059" s="12">
        <v>19475</v>
      </c>
      <c r="N1059" s="12">
        <v>7610</v>
      </c>
      <c r="O1059" s="10">
        <v>27</v>
      </c>
      <c r="P1059" s="11">
        <v>45580</v>
      </c>
      <c r="Q1059" s="10" t="s">
        <v>33</v>
      </c>
      <c r="R1059" s="10" t="s">
        <v>33</v>
      </c>
      <c r="S1059" s="10" t="s">
        <v>34</v>
      </c>
      <c r="T1059" s="13">
        <v>2.5590999999999999</v>
      </c>
      <c r="U1059" s="14">
        <v>153</v>
      </c>
      <c r="V1059" s="14">
        <v>2024</v>
      </c>
      <c r="W1059" s="10" t="s">
        <v>168</v>
      </c>
    </row>
    <row r="1060" spans="1:23" s="9" customFormat="1" ht="15.75" hidden="1" customHeight="1" x14ac:dyDescent="0.25">
      <c r="A1060" s="4" t="s">
        <v>3238</v>
      </c>
      <c r="B1060" s="4" t="s">
        <v>3239</v>
      </c>
      <c r="C1060" s="4" t="s">
        <v>3240</v>
      </c>
      <c r="D1060" s="22" t="s">
        <v>6087</v>
      </c>
      <c r="E1060" s="4" t="s">
        <v>87</v>
      </c>
      <c r="F1060" s="4" t="s">
        <v>27</v>
      </c>
      <c r="G1060" s="4" t="s">
        <v>5</v>
      </c>
      <c r="H1060" s="4" t="s">
        <v>29</v>
      </c>
      <c r="I1060" s="5">
        <v>45125</v>
      </c>
      <c r="J1060" s="4" t="s">
        <v>40</v>
      </c>
      <c r="K1060" s="5">
        <v>45324</v>
      </c>
      <c r="L1060" s="4" t="s">
        <v>59</v>
      </c>
      <c r="M1060" s="6">
        <v>9041</v>
      </c>
      <c r="N1060" s="6">
        <v>6967</v>
      </c>
      <c r="O1060" s="4">
        <v>17</v>
      </c>
      <c r="P1060" s="5">
        <v>45341</v>
      </c>
      <c r="Q1060" s="4" t="s">
        <v>33</v>
      </c>
      <c r="R1060" s="4" t="s">
        <v>33</v>
      </c>
      <c r="S1060" s="4" t="s">
        <v>60</v>
      </c>
      <c r="T1060" s="7">
        <v>1.2977000000000001</v>
      </c>
      <c r="U1060" s="8">
        <v>199</v>
      </c>
      <c r="V1060" s="8">
        <v>2024</v>
      </c>
      <c r="W1060" s="4" t="s">
        <v>35</v>
      </c>
    </row>
    <row r="1061" spans="1:23" s="9" customFormat="1" ht="15.75" hidden="1" customHeight="1" x14ac:dyDescent="0.25">
      <c r="A1061" s="10" t="s">
        <v>3241</v>
      </c>
      <c r="B1061" s="10" t="s">
        <v>3242</v>
      </c>
      <c r="C1061" s="10" t="s">
        <v>3243</v>
      </c>
      <c r="D1061" s="22" t="s">
        <v>6090</v>
      </c>
      <c r="E1061" s="10" t="s">
        <v>26</v>
      </c>
      <c r="F1061" s="10" t="s">
        <v>65</v>
      </c>
      <c r="G1061" s="10" t="s">
        <v>57</v>
      </c>
      <c r="H1061" s="10" t="s">
        <v>58</v>
      </c>
      <c r="I1061" s="11">
        <v>45193</v>
      </c>
      <c r="J1061" s="10" t="s">
        <v>30</v>
      </c>
      <c r="K1061" s="11">
        <v>45343</v>
      </c>
      <c r="L1061" s="10" t="s">
        <v>66</v>
      </c>
      <c r="M1061" s="12">
        <v>45555</v>
      </c>
      <c r="N1061" s="12">
        <v>8079</v>
      </c>
      <c r="O1061" s="10" t="s">
        <v>32</v>
      </c>
      <c r="P1061" s="10" t="s">
        <v>32</v>
      </c>
      <c r="Q1061" s="10" t="s">
        <v>33</v>
      </c>
      <c r="R1061" s="10" t="s">
        <v>33</v>
      </c>
      <c r="S1061" s="10" t="s">
        <v>34</v>
      </c>
      <c r="T1061" s="13">
        <v>5.6387</v>
      </c>
      <c r="U1061" s="14">
        <v>150</v>
      </c>
      <c r="V1061" s="14">
        <v>2024</v>
      </c>
      <c r="W1061" s="10" t="s">
        <v>35</v>
      </c>
    </row>
    <row r="1062" spans="1:23" s="9" customFormat="1" ht="15.75" hidden="1" customHeight="1" x14ac:dyDescent="0.25">
      <c r="A1062" s="4" t="s">
        <v>3244</v>
      </c>
      <c r="B1062" s="4" t="s">
        <v>3245</v>
      </c>
      <c r="C1062" s="4" t="s">
        <v>3246</v>
      </c>
      <c r="D1062" s="22" t="s">
        <v>6090</v>
      </c>
      <c r="E1062" s="4" t="s">
        <v>51</v>
      </c>
      <c r="F1062" s="4" t="s">
        <v>65</v>
      </c>
      <c r="G1062" s="4" t="s">
        <v>57</v>
      </c>
      <c r="H1062" s="4" t="s">
        <v>29</v>
      </c>
      <c r="I1062" s="5">
        <v>45161</v>
      </c>
      <c r="J1062" s="4" t="s">
        <v>40</v>
      </c>
      <c r="K1062" s="5">
        <v>45329</v>
      </c>
      <c r="L1062" s="4" t="s">
        <v>59</v>
      </c>
      <c r="M1062" s="6">
        <v>5032</v>
      </c>
      <c r="N1062" s="6">
        <v>1583</v>
      </c>
      <c r="O1062" s="4">
        <v>16</v>
      </c>
      <c r="P1062" s="5">
        <v>45345</v>
      </c>
      <c r="Q1062" s="4" t="s">
        <v>33</v>
      </c>
      <c r="R1062" s="4" t="s">
        <v>33</v>
      </c>
      <c r="S1062" s="4" t="s">
        <v>34</v>
      </c>
      <c r="T1062" s="7">
        <v>3.1787999999999998</v>
      </c>
      <c r="U1062" s="8">
        <v>168</v>
      </c>
      <c r="V1062" s="8">
        <v>2024</v>
      </c>
      <c r="W1062" s="4" t="s">
        <v>35</v>
      </c>
    </row>
    <row r="1063" spans="1:23" s="9" customFormat="1" ht="15.75" hidden="1" customHeight="1" x14ac:dyDescent="0.25">
      <c r="A1063" s="10" t="s">
        <v>3247</v>
      </c>
      <c r="B1063" s="10" t="s">
        <v>3248</v>
      </c>
      <c r="C1063" s="10" t="s">
        <v>3249</v>
      </c>
      <c r="D1063" s="21" t="s">
        <v>6086</v>
      </c>
      <c r="E1063" s="10" t="s">
        <v>87</v>
      </c>
      <c r="F1063" s="10" t="s">
        <v>27</v>
      </c>
      <c r="G1063" s="10" t="s">
        <v>57</v>
      </c>
      <c r="H1063" s="10" t="s">
        <v>161</v>
      </c>
      <c r="I1063" s="11">
        <v>45392</v>
      </c>
      <c r="J1063" s="10" t="s">
        <v>40</v>
      </c>
      <c r="K1063" s="11">
        <v>45566</v>
      </c>
      <c r="L1063" s="10" t="s">
        <v>59</v>
      </c>
      <c r="M1063" s="12">
        <v>52720</v>
      </c>
      <c r="N1063" s="12">
        <v>5201</v>
      </c>
      <c r="O1063" s="10">
        <v>13</v>
      </c>
      <c r="P1063" s="11">
        <v>45579</v>
      </c>
      <c r="Q1063" s="10" t="s">
        <v>94</v>
      </c>
      <c r="R1063" s="10" t="s">
        <v>33</v>
      </c>
      <c r="S1063" s="10" t="s">
        <v>34</v>
      </c>
      <c r="T1063" s="13">
        <v>10.1365</v>
      </c>
      <c r="U1063" s="14">
        <v>174</v>
      </c>
      <c r="V1063" s="14">
        <v>2024</v>
      </c>
      <c r="W1063" s="10" t="s">
        <v>95</v>
      </c>
    </row>
    <row r="1064" spans="1:23" s="9" customFormat="1" ht="15.75" hidden="1" customHeight="1" x14ac:dyDescent="0.25">
      <c r="A1064" s="4" t="s">
        <v>3250</v>
      </c>
      <c r="B1064" s="4" t="s">
        <v>3251</v>
      </c>
      <c r="C1064" s="4" t="s">
        <v>3252</v>
      </c>
      <c r="D1064" s="21" t="s">
        <v>6086</v>
      </c>
      <c r="E1064" s="4" t="s">
        <v>87</v>
      </c>
      <c r="F1064" s="4" t="s">
        <v>56</v>
      </c>
      <c r="G1064" s="4" t="s">
        <v>5</v>
      </c>
      <c r="H1064" s="4" t="s">
        <v>39</v>
      </c>
      <c r="I1064" s="5">
        <v>45262</v>
      </c>
      <c r="J1064" s="4" t="s">
        <v>40</v>
      </c>
      <c r="K1064" s="5">
        <v>45503</v>
      </c>
      <c r="L1064" s="4" t="s">
        <v>31</v>
      </c>
      <c r="M1064" s="6">
        <v>17481</v>
      </c>
      <c r="N1064" s="6">
        <v>562</v>
      </c>
      <c r="O1064" s="4" t="s">
        <v>32</v>
      </c>
      <c r="P1064" s="4" t="s">
        <v>32</v>
      </c>
      <c r="Q1064" s="4" t="s">
        <v>33</v>
      </c>
      <c r="R1064" s="4" t="s">
        <v>33</v>
      </c>
      <c r="S1064" s="4" t="s">
        <v>60</v>
      </c>
      <c r="T1064" s="7">
        <v>31.105</v>
      </c>
      <c r="U1064" s="8">
        <v>241</v>
      </c>
      <c r="V1064" s="8">
        <v>2024</v>
      </c>
      <c r="W1064" s="4" t="s">
        <v>42</v>
      </c>
    </row>
    <row r="1065" spans="1:23" s="9" customFormat="1" ht="15.75" hidden="1" customHeight="1" x14ac:dyDescent="0.25">
      <c r="A1065" s="10" t="s">
        <v>3253</v>
      </c>
      <c r="B1065" s="10" t="s">
        <v>3254</v>
      </c>
      <c r="C1065" s="10" t="s">
        <v>3255</v>
      </c>
      <c r="D1065" s="21" t="s">
        <v>6088</v>
      </c>
      <c r="E1065" s="10" t="s">
        <v>51</v>
      </c>
      <c r="F1065" s="10" t="s">
        <v>65</v>
      </c>
      <c r="G1065" s="10" t="s">
        <v>5</v>
      </c>
      <c r="H1065" s="10" t="s">
        <v>118</v>
      </c>
      <c r="I1065" s="11">
        <v>45299</v>
      </c>
      <c r="J1065" s="10" t="s">
        <v>40</v>
      </c>
      <c r="K1065" s="11">
        <v>45631</v>
      </c>
      <c r="L1065" s="10" t="s">
        <v>59</v>
      </c>
      <c r="M1065" s="12">
        <v>76067</v>
      </c>
      <c r="N1065" s="12">
        <v>5356</v>
      </c>
      <c r="O1065" s="10">
        <v>31</v>
      </c>
      <c r="P1065" s="11">
        <v>45662</v>
      </c>
      <c r="Q1065" s="10" t="s">
        <v>33</v>
      </c>
      <c r="R1065" s="10" t="s">
        <v>33</v>
      </c>
      <c r="S1065" s="10" t="s">
        <v>41</v>
      </c>
      <c r="T1065" s="13">
        <v>14.202199999999999</v>
      </c>
      <c r="U1065" s="14">
        <v>332</v>
      </c>
      <c r="V1065" s="14">
        <v>2024</v>
      </c>
      <c r="W1065" s="10" t="s">
        <v>89</v>
      </c>
    </row>
    <row r="1066" spans="1:23" s="9" customFormat="1" ht="15.75" hidden="1" customHeight="1" x14ac:dyDescent="0.25">
      <c r="A1066" s="4" t="s">
        <v>3256</v>
      </c>
      <c r="B1066" s="4" t="s">
        <v>3257</v>
      </c>
      <c r="C1066" s="4" t="s">
        <v>3258</v>
      </c>
      <c r="D1066" s="21" t="s">
        <v>6091</v>
      </c>
      <c r="E1066" s="4" t="s">
        <v>51</v>
      </c>
      <c r="F1066" s="21" t="s">
        <v>6092</v>
      </c>
      <c r="G1066" s="4" t="s">
        <v>28</v>
      </c>
      <c r="H1066" s="4" t="s">
        <v>58</v>
      </c>
      <c r="I1066" s="5">
        <v>45104</v>
      </c>
      <c r="J1066" s="4" t="s">
        <v>30</v>
      </c>
      <c r="K1066" s="5">
        <v>45331</v>
      </c>
      <c r="L1066" s="4" t="s">
        <v>59</v>
      </c>
      <c r="M1066" s="6">
        <v>18324</v>
      </c>
      <c r="N1066" s="6">
        <v>6811</v>
      </c>
      <c r="O1066" s="4">
        <v>4</v>
      </c>
      <c r="P1066" s="5">
        <v>45335</v>
      </c>
      <c r="Q1066" s="4" t="s">
        <v>33</v>
      </c>
      <c r="R1066" s="4" t="s">
        <v>33</v>
      </c>
      <c r="S1066" s="4" t="s">
        <v>60</v>
      </c>
      <c r="T1066" s="7">
        <v>2.6903999999999999</v>
      </c>
      <c r="U1066" s="8">
        <v>227</v>
      </c>
      <c r="V1066" s="8">
        <v>2024</v>
      </c>
      <c r="W1066" s="4" t="s">
        <v>35</v>
      </c>
    </row>
    <row r="1067" spans="1:23" s="9" customFormat="1" ht="15.75" hidden="1" customHeight="1" x14ac:dyDescent="0.25">
      <c r="A1067" s="10" t="s">
        <v>3259</v>
      </c>
      <c r="B1067" s="10" t="s">
        <v>3260</v>
      </c>
      <c r="C1067" s="10" t="s">
        <v>3261</v>
      </c>
      <c r="D1067" s="22" t="s">
        <v>6087</v>
      </c>
      <c r="E1067" s="10" t="s">
        <v>26</v>
      </c>
      <c r="F1067" s="10" t="s">
        <v>65</v>
      </c>
      <c r="G1067" s="10" t="s">
        <v>5</v>
      </c>
      <c r="H1067" s="10" t="s">
        <v>118</v>
      </c>
      <c r="I1067" s="11">
        <v>45065</v>
      </c>
      <c r="J1067" s="10" t="s">
        <v>40</v>
      </c>
      <c r="K1067" s="11">
        <v>45330</v>
      </c>
      <c r="L1067" s="10" t="s">
        <v>59</v>
      </c>
      <c r="M1067" s="12">
        <v>14331</v>
      </c>
      <c r="N1067" s="12">
        <v>977</v>
      </c>
      <c r="O1067" s="10">
        <v>28</v>
      </c>
      <c r="P1067" s="11">
        <v>45358</v>
      </c>
      <c r="Q1067" s="10" t="s">
        <v>33</v>
      </c>
      <c r="R1067" s="10" t="s">
        <v>33</v>
      </c>
      <c r="S1067" s="10" t="s">
        <v>34</v>
      </c>
      <c r="T1067" s="13">
        <v>14.6684</v>
      </c>
      <c r="U1067" s="14">
        <v>265</v>
      </c>
      <c r="V1067" s="14">
        <v>2024</v>
      </c>
      <c r="W1067" s="10" t="s">
        <v>35</v>
      </c>
    </row>
    <row r="1068" spans="1:23" s="9" customFormat="1" ht="15.75" hidden="1" customHeight="1" x14ac:dyDescent="0.25">
      <c r="A1068" s="4" t="s">
        <v>3262</v>
      </c>
      <c r="B1068" s="4" t="s">
        <v>3263</v>
      </c>
      <c r="C1068" s="4" t="s">
        <v>3264</v>
      </c>
      <c r="D1068" s="22" t="s">
        <v>6087</v>
      </c>
      <c r="E1068" s="4" t="s">
        <v>87</v>
      </c>
      <c r="F1068" s="4" t="s">
        <v>46</v>
      </c>
      <c r="G1068" s="4" t="s">
        <v>57</v>
      </c>
      <c r="H1068" s="4" t="s">
        <v>72</v>
      </c>
      <c r="I1068" s="5">
        <v>45470</v>
      </c>
      <c r="J1068" s="4" t="s">
        <v>30</v>
      </c>
      <c r="K1068" s="5">
        <v>45565</v>
      </c>
      <c r="L1068" s="4" t="s">
        <v>59</v>
      </c>
      <c r="M1068" s="6">
        <v>5308</v>
      </c>
      <c r="N1068" s="6">
        <v>1312</v>
      </c>
      <c r="O1068" s="4">
        <v>8</v>
      </c>
      <c r="P1068" s="5">
        <v>45573</v>
      </c>
      <c r="Q1068" s="4" t="s">
        <v>33</v>
      </c>
      <c r="R1068" s="4" t="s">
        <v>33</v>
      </c>
      <c r="S1068" s="4" t="s">
        <v>60</v>
      </c>
      <c r="T1068" s="7">
        <v>4.0457000000000001</v>
      </c>
      <c r="U1068" s="8">
        <v>95</v>
      </c>
      <c r="V1068" s="8">
        <v>2024</v>
      </c>
      <c r="W1068" s="4" t="s">
        <v>168</v>
      </c>
    </row>
    <row r="1069" spans="1:23" s="9" customFormat="1" ht="15.75" hidden="1" customHeight="1" x14ac:dyDescent="0.25">
      <c r="A1069" s="10" t="s">
        <v>3265</v>
      </c>
      <c r="B1069" s="10" t="s">
        <v>3266</v>
      </c>
      <c r="C1069" s="10" t="s">
        <v>3267</v>
      </c>
      <c r="D1069" s="21" t="s">
        <v>6086</v>
      </c>
      <c r="E1069" s="10" t="s">
        <v>87</v>
      </c>
      <c r="F1069" s="10" t="s">
        <v>65</v>
      </c>
      <c r="G1069" s="10" t="s">
        <v>28</v>
      </c>
      <c r="H1069" s="10" t="s">
        <v>29</v>
      </c>
      <c r="I1069" s="11">
        <v>45081</v>
      </c>
      <c r="J1069" s="10" t="s">
        <v>30</v>
      </c>
      <c r="K1069" s="11">
        <v>45366</v>
      </c>
      <c r="L1069" s="10" t="s">
        <v>31</v>
      </c>
      <c r="M1069" s="12">
        <v>57568</v>
      </c>
      <c r="N1069" s="12">
        <v>3881</v>
      </c>
      <c r="O1069" s="10" t="s">
        <v>32</v>
      </c>
      <c r="P1069" s="10" t="s">
        <v>32</v>
      </c>
      <c r="Q1069" s="10" t="s">
        <v>94</v>
      </c>
      <c r="R1069" s="10" t="s">
        <v>33</v>
      </c>
      <c r="S1069" s="10" t="s">
        <v>60</v>
      </c>
      <c r="T1069" s="13">
        <v>14.833299999999999</v>
      </c>
      <c r="U1069" s="14">
        <v>285</v>
      </c>
      <c r="V1069" s="14">
        <v>2024</v>
      </c>
      <c r="W1069" s="10" t="s">
        <v>77</v>
      </c>
    </row>
    <row r="1070" spans="1:23" s="9" customFormat="1" ht="15.75" hidden="1" customHeight="1" x14ac:dyDescent="0.25">
      <c r="A1070" s="4" t="s">
        <v>3268</v>
      </c>
      <c r="B1070" s="4" t="s">
        <v>3269</v>
      </c>
      <c r="C1070" s="4" t="s">
        <v>3270</v>
      </c>
      <c r="D1070" s="21" t="s">
        <v>6091</v>
      </c>
      <c r="E1070" s="4" t="s">
        <v>87</v>
      </c>
      <c r="F1070" s="4" t="s">
        <v>27</v>
      </c>
      <c r="G1070" s="4" t="s">
        <v>28</v>
      </c>
      <c r="H1070" s="4" t="s">
        <v>88</v>
      </c>
      <c r="I1070" s="5">
        <v>45469</v>
      </c>
      <c r="J1070" s="4" t="s">
        <v>30</v>
      </c>
      <c r="K1070" s="5">
        <v>45579</v>
      </c>
      <c r="L1070" s="4" t="s">
        <v>59</v>
      </c>
      <c r="M1070" s="6">
        <v>11703</v>
      </c>
      <c r="N1070" s="6">
        <v>6300</v>
      </c>
      <c r="O1070" s="4">
        <v>33</v>
      </c>
      <c r="P1070" s="5">
        <v>45612</v>
      </c>
      <c r="Q1070" s="4" t="s">
        <v>33</v>
      </c>
      <c r="R1070" s="4" t="s">
        <v>33</v>
      </c>
      <c r="S1070" s="4" t="s">
        <v>60</v>
      </c>
      <c r="T1070" s="7">
        <v>1.8575999999999999</v>
      </c>
      <c r="U1070" s="8">
        <v>110</v>
      </c>
      <c r="V1070" s="8">
        <v>2024</v>
      </c>
      <c r="W1070" s="4" t="s">
        <v>95</v>
      </c>
    </row>
    <row r="1071" spans="1:23" s="9" customFormat="1" ht="15.75" hidden="1" customHeight="1" x14ac:dyDescent="0.25">
      <c r="A1071" s="10" t="s">
        <v>3271</v>
      </c>
      <c r="B1071" s="10" t="s">
        <v>3272</v>
      </c>
      <c r="C1071" s="10" t="s">
        <v>3273</v>
      </c>
      <c r="D1071" s="22" t="s">
        <v>6090</v>
      </c>
      <c r="E1071" s="10" t="s">
        <v>26</v>
      </c>
      <c r="F1071" s="10" t="s">
        <v>71</v>
      </c>
      <c r="G1071" s="10" t="s">
        <v>28</v>
      </c>
      <c r="H1071" s="10" t="s">
        <v>39</v>
      </c>
      <c r="I1071" s="11">
        <v>45244</v>
      </c>
      <c r="J1071" s="10" t="s">
        <v>30</v>
      </c>
      <c r="K1071" s="11">
        <v>45433</v>
      </c>
      <c r="L1071" s="10" t="s">
        <v>59</v>
      </c>
      <c r="M1071" s="12">
        <v>47855</v>
      </c>
      <c r="N1071" s="12">
        <v>1076</v>
      </c>
      <c r="O1071" s="10">
        <v>24</v>
      </c>
      <c r="P1071" s="11">
        <v>45457</v>
      </c>
      <c r="Q1071" s="10" t="s">
        <v>33</v>
      </c>
      <c r="R1071" s="10" t="s">
        <v>33</v>
      </c>
      <c r="S1071" s="10" t="s">
        <v>41</v>
      </c>
      <c r="T1071" s="13">
        <v>44.474899999999998</v>
      </c>
      <c r="U1071" s="14">
        <v>189</v>
      </c>
      <c r="V1071" s="14">
        <v>2024</v>
      </c>
      <c r="W1071" s="10" t="s">
        <v>52</v>
      </c>
    </row>
    <row r="1072" spans="1:23" s="9" customFormat="1" ht="15.75" hidden="1" customHeight="1" x14ac:dyDescent="0.25">
      <c r="A1072" s="4" t="s">
        <v>3274</v>
      </c>
      <c r="B1072" s="4" t="s">
        <v>3275</v>
      </c>
      <c r="C1072" s="4" t="s">
        <v>3276</v>
      </c>
      <c r="D1072" s="21" t="s">
        <v>6086</v>
      </c>
      <c r="E1072" s="4" t="s">
        <v>26</v>
      </c>
      <c r="F1072" s="4" t="s">
        <v>71</v>
      </c>
      <c r="G1072" s="4" t="s">
        <v>28</v>
      </c>
      <c r="H1072" s="4" t="s">
        <v>58</v>
      </c>
      <c r="I1072" s="5">
        <v>45412</v>
      </c>
      <c r="J1072" s="4" t="s">
        <v>30</v>
      </c>
      <c r="K1072" s="5">
        <v>45653</v>
      </c>
      <c r="L1072" s="4" t="s">
        <v>31</v>
      </c>
      <c r="M1072" s="6">
        <v>61291</v>
      </c>
      <c r="N1072" s="6">
        <v>3707</v>
      </c>
      <c r="O1072" s="4" t="s">
        <v>32</v>
      </c>
      <c r="P1072" s="4" t="s">
        <v>32</v>
      </c>
      <c r="Q1072" s="4" t="s">
        <v>33</v>
      </c>
      <c r="R1072" s="4" t="s">
        <v>33</v>
      </c>
      <c r="S1072" s="4" t="s">
        <v>34</v>
      </c>
      <c r="T1072" s="7">
        <v>16.533899999999999</v>
      </c>
      <c r="U1072" s="8">
        <v>241</v>
      </c>
      <c r="V1072" s="8">
        <v>2024</v>
      </c>
      <c r="W1072" s="4" t="s">
        <v>89</v>
      </c>
    </row>
    <row r="1073" spans="1:23" s="9" customFormat="1" ht="15.75" hidden="1" customHeight="1" x14ac:dyDescent="0.25">
      <c r="A1073" s="10" t="s">
        <v>3277</v>
      </c>
      <c r="B1073" s="10" t="s">
        <v>3278</v>
      </c>
      <c r="C1073" s="10" t="s">
        <v>3279</v>
      </c>
      <c r="D1073" s="22" t="s">
        <v>6087</v>
      </c>
      <c r="E1073" s="10" t="s">
        <v>51</v>
      </c>
      <c r="F1073" s="10" t="s">
        <v>71</v>
      </c>
      <c r="G1073" s="10" t="s">
        <v>57</v>
      </c>
      <c r="H1073" s="10" t="s">
        <v>58</v>
      </c>
      <c r="I1073" s="11">
        <v>45252</v>
      </c>
      <c r="J1073" s="10" t="s">
        <v>30</v>
      </c>
      <c r="K1073" s="11">
        <v>45355</v>
      </c>
      <c r="L1073" s="10" t="s">
        <v>59</v>
      </c>
      <c r="M1073" s="12">
        <v>27804</v>
      </c>
      <c r="N1073" s="12">
        <v>5144</v>
      </c>
      <c r="O1073" s="10">
        <v>24</v>
      </c>
      <c r="P1073" s="11">
        <v>45379</v>
      </c>
      <c r="Q1073" s="10" t="s">
        <v>94</v>
      </c>
      <c r="R1073" s="10" t="s">
        <v>33</v>
      </c>
      <c r="S1073" s="10" t="s">
        <v>34</v>
      </c>
      <c r="T1073" s="13">
        <v>5.4051</v>
      </c>
      <c r="U1073" s="14">
        <v>103</v>
      </c>
      <c r="V1073" s="14">
        <v>2024</v>
      </c>
      <c r="W1073" s="10" t="s">
        <v>77</v>
      </c>
    </row>
    <row r="1074" spans="1:23" s="9" customFormat="1" ht="15.75" hidden="1" customHeight="1" x14ac:dyDescent="0.25">
      <c r="A1074" s="4" t="s">
        <v>3280</v>
      </c>
      <c r="B1074" s="4" t="s">
        <v>3281</v>
      </c>
      <c r="C1074" s="4" t="s">
        <v>3282</v>
      </c>
      <c r="D1074" s="21" t="s">
        <v>6091</v>
      </c>
      <c r="E1074" s="4" t="s">
        <v>51</v>
      </c>
      <c r="F1074" s="4" t="s">
        <v>46</v>
      </c>
      <c r="G1074" s="4" t="s">
        <v>57</v>
      </c>
      <c r="H1074" s="4" t="s">
        <v>118</v>
      </c>
      <c r="I1074" s="5">
        <v>45142</v>
      </c>
      <c r="J1074" s="4" t="s">
        <v>40</v>
      </c>
      <c r="K1074" s="5">
        <v>45398</v>
      </c>
      <c r="L1074" s="4" t="s">
        <v>59</v>
      </c>
      <c r="M1074" s="6">
        <v>10811</v>
      </c>
      <c r="N1074" s="6">
        <v>5922</v>
      </c>
      <c r="O1074" s="4">
        <v>17</v>
      </c>
      <c r="P1074" s="5">
        <v>45415</v>
      </c>
      <c r="Q1074" s="4" t="s">
        <v>33</v>
      </c>
      <c r="R1074" s="4" t="s">
        <v>33</v>
      </c>
      <c r="S1074" s="4" t="s">
        <v>60</v>
      </c>
      <c r="T1074" s="7">
        <v>1.8255999999999999</v>
      </c>
      <c r="U1074" s="8">
        <v>256</v>
      </c>
      <c r="V1074" s="8">
        <v>2024</v>
      </c>
      <c r="W1074" s="4" t="s">
        <v>47</v>
      </c>
    </row>
    <row r="1075" spans="1:23" s="9" customFormat="1" ht="15.75" hidden="1" customHeight="1" x14ac:dyDescent="0.25">
      <c r="A1075" s="10" t="s">
        <v>3283</v>
      </c>
      <c r="B1075" s="10" t="s">
        <v>3284</v>
      </c>
      <c r="C1075" s="10" t="s">
        <v>3285</v>
      </c>
      <c r="D1075" s="22" t="s">
        <v>6090</v>
      </c>
      <c r="E1075" s="10" t="s">
        <v>51</v>
      </c>
      <c r="F1075" s="10" t="s">
        <v>65</v>
      </c>
      <c r="G1075" s="10" t="s">
        <v>57</v>
      </c>
      <c r="H1075" s="10" t="s">
        <v>93</v>
      </c>
      <c r="I1075" s="11">
        <v>45150</v>
      </c>
      <c r="J1075" s="10" t="s">
        <v>30</v>
      </c>
      <c r="K1075" s="11">
        <v>45490</v>
      </c>
      <c r="L1075" s="10" t="s">
        <v>31</v>
      </c>
      <c r="M1075" s="12">
        <v>29290</v>
      </c>
      <c r="N1075" s="12">
        <v>8508</v>
      </c>
      <c r="O1075" s="10" t="s">
        <v>32</v>
      </c>
      <c r="P1075" s="10" t="s">
        <v>32</v>
      </c>
      <c r="Q1075" s="10" t="s">
        <v>94</v>
      </c>
      <c r="R1075" s="10" t="s">
        <v>94</v>
      </c>
      <c r="S1075" s="10" t="s">
        <v>60</v>
      </c>
      <c r="T1075" s="13">
        <v>3.4426000000000001</v>
      </c>
      <c r="U1075" s="14">
        <v>340</v>
      </c>
      <c r="V1075" s="14">
        <v>2024</v>
      </c>
      <c r="W1075" s="10" t="s">
        <v>42</v>
      </c>
    </row>
    <row r="1076" spans="1:23" s="9" customFormat="1" ht="15.75" hidden="1" customHeight="1" x14ac:dyDescent="0.25">
      <c r="A1076" s="4" t="s">
        <v>3286</v>
      </c>
      <c r="B1076" s="4" t="s">
        <v>3287</v>
      </c>
      <c r="C1076" s="4" t="s">
        <v>3288</v>
      </c>
      <c r="D1076" s="22" t="s">
        <v>6090</v>
      </c>
      <c r="E1076" s="4" t="s">
        <v>26</v>
      </c>
      <c r="F1076" s="4" t="s">
        <v>27</v>
      </c>
      <c r="G1076" s="4" t="s">
        <v>28</v>
      </c>
      <c r="H1076" s="4" t="s">
        <v>93</v>
      </c>
      <c r="I1076" s="5">
        <v>45138</v>
      </c>
      <c r="J1076" s="4" t="s">
        <v>40</v>
      </c>
      <c r="K1076" s="5">
        <v>45324</v>
      </c>
      <c r="L1076" s="4" t="s">
        <v>59</v>
      </c>
      <c r="M1076" s="6">
        <v>3650</v>
      </c>
      <c r="N1076" s="6">
        <v>8086</v>
      </c>
      <c r="O1076" s="4">
        <v>43</v>
      </c>
      <c r="P1076" s="5">
        <v>45367</v>
      </c>
      <c r="Q1076" s="4" t="s">
        <v>33</v>
      </c>
      <c r="R1076" s="4" t="s">
        <v>33</v>
      </c>
      <c r="S1076" s="4" t="s">
        <v>41</v>
      </c>
      <c r="T1076" s="7">
        <v>0.45140000000000002</v>
      </c>
      <c r="U1076" s="8">
        <v>186</v>
      </c>
      <c r="V1076" s="8">
        <v>2024</v>
      </c>
      <c r="W1076" s="4" t="s">
        <v>35</v>
      </c>
    </row>
    <row r="1077" spans="1:23" s="9" customFormat="1" ht="15.75" hidden="1" customHeight="1" x14ac:dyDescent="0.25">
      <c r="A1077" s="10" t="s">
        <v>3289</v>
      </c>
      <c r="B1077" s="10" t="s">
        <v>3290</v>
      </c>
      <c r="C1077" s="10" t="s">
        <v>3291</v>
      </c>
      <c r="D1077" s="21" t="s">
        <v>6089</v>
      </c>
      <c r="E1077" s="10" t="s">
        <v>51</v>
      </c>
      <c r="F1077" s="10" t="s">
        <v>27</v>
      </c>
      <c r="G1077" s="10" t="s">
        <v>57</v>
      </c>
      <c r="H1077" s="10" t="s">
        <v>58</v>
      </c>
      <c r="I1077" s="11">
        <v>45053</v>
      </c>
      <c r="J1077" s="10" t="s">
        <v>30</v>
      </c>
      <c r="K1077" s="11">
        <v>45417</v>
      </c>
      <c r="L1077" s="10" t="s">
        <v>66</v>
      </c>
      <c r="M1077" s="12">
        <v>56866</v>
      </c>
      <c r="N1077" s="12">
        <v>5500</v>
      </c>
      <c r="O1077" s="10" t="s">
        <v>32</v>
      </c>
      <c r="P1077" s="10" t="s">
        <v>32</v>
      </c>
      <c r="Q1077" s="10" t="s">
        <v>33</v>
      </c>
      <c r="R1077" s="10" t="s">
        <v>33</v>
      </c>
      <c r="S1077" s="10" t="s">
        <v>60</v>
      </c>
      <c r="T1077" s="13">
        <v>10.3393</v>
      </c>
      <c r="U1077" s="14">
        <v>364</v>
      </c>
      <c r="V1077" s="14">
        <v>2024</v>
      </c>
      <c r="W1077" s="10" t="s">
        <v>52</v>
      </c>
    </row>
    <row r="1078" spans="1:23" s="9" customFormat="1" ht="15.75" hidden="1" customHeight="1" x14ac:dyDescent="0.25">
      <c r="A1078" s="4" t="s">
        <v>3292</v>
      </c>
      <c r="B1078" s="4" t="s">
        <v>3293</v>
      </c>
      <c r="C1078" s="4" t="s">
        <v>3294</v>
      </c>
      <c r="D1078" s="21" t="s">
        <v>6091</v>
      </c>
      <c r="E1078" s="4" t="s">
        <v>26</v>
      </c>
      <c r="F1078" s="4" t="s">
        <v>27</v>
      </c>
      <c r="G1078" s="4" t="s">
        <v>28</v>
      </c>
      <c r="H1078" s="4" t="s">
        <v>93</v>
      </c>
      <c r="I1078" s="5">
        <v>45176</v>
      </c>
      <c r="J1078" s="4" t="s">
        <v>30</v>
      </c>
      <c r="K1078" s="5">
        <v>45327</v>
      </c>
      <c r="L1078" s="4" t="s">
        <v>66</v>
      </c>
      <c r="M1078" s="6">
        <v>12652</v>
      </c>
      <c r="N1078" s="6">
        <v>4019</v>
      </c>
      <c r="O1078" s="4" t="s">
        <v>32</v>
      </c>
      <c r="P1078" s="4" t="s">
        <v>32</v>
      </c>
      <c r="Q1078" s="4" t="s">
        <v>33</v>
      </c>
      <c r="R1078" s="4" t="s">
        <v>33</v>
      </c>
      <c r="S1078" s="4" t="s">
        <v>60</v>
      </c>
      <c r="T1078" s="7">
        <v>3.1480000000000001</v>
      </c>
      <c r="U1078" s="8">
        <v>151</v>
      </c>
      <c r="V1078" s="8">
        <v>2024</v>
      </c>
      <c r="W1078" s="4" t="s">
        <v>35</v>
      </c>
    </row>
    <row r="1079" spans="1:23" s="9" customFormat="1" ht="15.75" hidden="1" customHeight="1" x14ac:dyDescent="0.25">
      <c r="A1079" s="10" t="s">
        <v>3295</v>
      </c>
      <c r="B1079" s="10" t="s">
        <v>3296</v>
      </c>
      <c r="C1079" s="10" t="s">
        <v>3297</v>
      </c>
      <c r="D1079" s="22" t="s">
        <v>6090</v>
      </c>
      <c r="E1079" s="10" t="s">
        <v>87</v>
      </c>
      <c r="F1079" s="10" t="s">
        <v>71</v>
      </c>
      <c r="G1079" s="10" t="s">
        <v>57</v>
      </c>
      <c r="H1079" s="10" t="s">
        <v>58</v>
      </c>
      <c r="I1079" s="11">
        <v>45418</v>
      </c>
      <c r="J1079" s="10" t="s">
        <v>30</v>
      </c>
      <c r="K1079" s="11">
        <v>45631</v>
      </c>
      <c r="L1079" s="10" t="s">
        <v>59</v>
      </c>
      <c r="M1079" s="12">
        <v>47710</v>
      </c>
      <c r="N1079" s="12">
        <v>5254</v>
      </c>
      <c r="O1079" s="10">
        <v>18</v>
      </c>
      <c r="P1079" s="11">
        <v>45649</v>
      </c>
      <c r="Q1079" s="10" t="s">
        <v>33</v>
      </c>
      <c r="R1079" s="10" t="s">
        <v>33</v>
      </c>
      <c r="S1079" s="10" t="s">
        <v>41</v>
      </c>
      <c r="T1079" s="13">
        <v>9.0807000000000002</v>
      </c>
      <c r="U1079" s="14">
        <v>213</v>
      </c>
      <c r="V1079" s="14">
        <v>2024</v>
      </c>
      <c r="W1079" s="10" t="s">
        <v>89</v>
      </c>
    </row>
    <row r="1080" spans="1:23" s="9" customFormat="1" ht="15.75" hidden="1" customHeight="1" x14ac:dyDescent="0.25">
      <c r="A1080" s="4" t="s">
        <v>3298</v>
      </c>
      <c r="B1080" s="4" t="s">
        <v>3299</v>
      </c>
      <c r="C1080" s="4" t="s">
        <v>3300</v>
      </c>
      <c r="D1080" s="22" t="s">
        <v>6090</v>
      </c>
      <c r="E1080" s="4" t="s">
        <v>87</v>
      </c>
      <c r="F1080" s="4" t="s">
        <v>56</v>
      </c>
      <c r="G1080" s="4" t="s">
        <v>5</v>
      </c>
      <c r="H1080" s="4" t="s">
        <v>72</v>
      </c>
      <c r="I1080" s="5">
        <v>45111</v>
      </c>
      <c r="J1080" s="4" t="s">
        <v>30</v>
      </c>
      <c r="K1080" s="5">
        <v>45360</v>
      </c>
      <c r="L1080" s="4" t="s">
        <v>31</v>
      </c>
      <c r="M1080" s="6">
        <v>29944</v>
      </c>
      <c r="N1080" s="6">
        <v>6268</v>
      </c>
      <c r="O1080" s="4" t="s">
        <v>32</v>
      </c>
      <c r="P1080" s="4" t="s">
        <v>32</v>
      </c>
      <c r="Q1080" s="4" t="s">
        <v>33</v>
      </c>
      <c r="R1080" s="4" t="s">
        <v>33</v>
      </c>
      <c r="S1080" s="4" t="s">
        <v>34</v>
      </c>
      <c r="T1080" s="7">
        <v>4.7773000000000003</v>
      </c>
      <c r="U1080" s="8">
        <v>249</v>
      </c>
      <c r="V1080" s="8">
        <v>2024</v>
      </c>
      <c r="W1080" s="4" t="s">
        <v>77</v>
      </c>
    </row>
    <row r="1081" spans="1:23" s="9" customFormat="1" ht="15.75" hidden="1" customHeight="1" x14ac:dyDescent="0.25">
      <c r="A1081" s="10" t="s">
        <v>3301</v>
      </c>
      <c r="B1081" s="10" t="s">
        <v>3302</v>
      </c>
      <c r="C1081" s="10" t="s">
        <v>3303</v>
      </c>
      <c r="D1081" s="22" t="s">
        <v>6090</v>
      </c>
      <c r="E1081" s="10" t="s">
        <v>87</v>
      </c>
      <c r="F1081" s="10" t="s">
        <v>71</v>
      </c>
      <c r="G1081" s="10" t="s">
        <v>57</v>
      </c>
      <c r="H1081" s="10" t="s">
        <v>161</v>
      </c>
      <c r="I1081" s="11">
        <v>45327</v>
      </c>
      <c r="J1081" s="10" t="s">
        <v>30</v>
      </c>
      <c r="K1081" s="11">
        <v>45605</v>
      </c>
      <c r="L1081" s="10" t="s">
        <v>59</v>
      </c>
      <c r="M1081" s="12">
        <v>36002</v>
      </c>
      <c r="N1081" s="12">
        <v>4737</v>
      </c>
      <c r="O1081" s="10">
        <v>45</v>
      </c>
      <c r="P1081" s="11">
        <v>45650</v>
      </c>
      <c r="Q1081" s="10" t="s">
        <v>33</v>
      </c>
      <c r="R1081" s="10" t="s">
        <v>33</v>
      </c>
      <c r="S1081" s="10" t="s">
        <v>60</v>
      </c>
      <c r="T1081" s="13">
        <v>7.6002000000000001</v>
      </c>
      <c r="U1081" s="14">
        <v>278</v>
      </c>
      <c r="V1081" s="14">
        <v>2024</v>
      </c>
      <c r="W1081" s="10" t="s">
        <v>61</v>
      </c>
    </row>
    <row r="1082" spans="1:23" s="9" customFormat="1" ht="15.75" hidden="1" customHeight="1" x14ac:dyDescent="0.25">
      <c r="A1082" s="4" t="s">
        <v>3304</v>
      </c>
      <c r="B1082" s="4" t="s">
        <v>3305</v>
      </c>
      <c r="C1082" s="4" t="s">
        <v>3306</v>
      </c>
      <c r="D1082" s="21" t="s">
        <v>6088</v>
      </c>
      <c r="E1082" s="4" t="s">
        <v>26</v>
      </c>
      <c r="F1082" s="4" t="s">
        <v>65</v>
      </c>
      <c r="G1082" s="4" t="s">
        <v>28</v>
      </c>
      <c r="H1082" s="4" t="s">
        <v>88</v>
      </c>
      <c r="I1082" s="5">
        <v>45130</v>
      </c>
      <c r="J1082" s="4" t="s">
        <v>30</v>
      </c>
      <c r="K1082" s="5">
        <v>45401</v>
      </c>
      <c r="L1082" s="4" t="s">
        <v>59</v>
      </c>
      <c r="M1082" s="6">
        <v>41431</v>
      </c>
      <c r="N1082" s="6">
        <v>6605</v>
      </c>
      <c r="O1082" s="4">
        <v>32</v>
      </c>
      <c r="P1082" s="5">
        <v>45433</v>
      </c>
      <c r="Q1082" s="4" t="s">
        <v>33</v>
      </c>
      <c r="R1082" s="4" t="s">
        <v>33</v>
      </c>
      <c r="S1082" s="4" t="s">
        <v>34</v>
      </c>
      <c r="T1082" s="7">
        <v>6.2727000000000004</v>
      </c>
      <c r="U1082" s="8">
        <v>271</v>
      </c>
      <c r="V1082" s="8">
        <v>2024</v>
      </c>
      <c r="W1082" s="4" t="s">
        <v>47</v>
      </c>
    </row>
    <row r="1083" spans="1:23" s="9" customFormat="1" ht="15.75" hidden="1" customHeight="1" x14ac:dyDescent="0.25">
      <c r="A1083" s="10" t="s">
        <v>3307</v>
      </c>
      <c r="B1083" s="10" t="s">
        <v>3308</v>
      </c>
      <c r="C1083" s="10" t="s">
        <v>3309</v>
      </c>
      <c r="D1083" s="22" t="s">
        <v>6090</v>
      </c>
      <c r="E1083" s="10" t="s">
        <v>26</v>
      </c>
      <c r="F1083" s="10" t="s">
        <v>56</v>
      </c>
      <c r="G1083" s="10" t="s">
        <v>5</v>
      </c>
      <c r="H1083" s="10" t="s">
        <v>161</v>
      </c>
      <c r="I1083" s="11">
        <v>45436</v>
      </c>
      <c r="J1083" s="10" t="s">
        <v>40</v>
      </c>
      <c r="K1083" s="11">
        <v>45546</v>
      </c>
      <c r="L1083" s="10" t="s">
        <v>59</v>
      </c>
      <c r="M1083" s="12">
        <v>17232</v>
      </c>
      <c r="N1083" s="12">
        <v>7976</v>
      </c>
      <c r="O1083" s="10">
        <v>27</v>
      </c>
      <c r="P1083" s="11">
        <v>45573</v>
      </c>
      <c r="Q1083" s="10" t="s">
        <v>33</v>
      </c>
      <c r="R1083" s="10" t="s">
        <v>33</v>
      </c>
      <c r="S1083" s="10" t="s">
        <v>41</v>
      </c>
      <c r="T1083" s="13">
        <v>2.1604999999999999</v>
      </c>
      <c r="U1083" s="14">
        <v>110</v>
      </c>
      <c r="V1083" s="14">
        <v>2024</v>
      </c>
      <c r="W1083" s="10" t="s">
        <v>168</v>
      </c>
    </row>
    <row r="1084" spans="1:23" s="9" customFormat="1" ht="15.75" hidden="1" customHeight="1" x14ac:dyDescent="0.25">
      <c r="A1084" s="4" t="s">
        <v>3310</v>
      </c>
      <c r="B1084" s="4" t="s">
        <v>3311</v>
      </c>
      <c r="C1084" s="4" t="s">
        <v>3312</v>
      </c>
      <c r="D1084" s="22" t="s">
        <v>6090</v>
      </c>
      <c r="E1084" s="4" t="s">
        <v>51</v>
      </c>
      <c r="F1084" s="4" t="s">
        <v>71</v>
      </c>
      <c r="G1084" s="4" t="s">
        <v>28</v>
      </c>
      <c r="H1084" s="4" t="s">
        <v>58</v>
      </c>
      <c r="I1084" s="5">
        <v>45531</v>
      </c>
      <c r="J1084" s="4" t="s">
        <v>40</v>
      </c>
      <c r="K1084" s="5">
        <v>45577</v>
      </c>
      <c r="L1084" s="4" t="s">
        <v>31</v>
      </c>
      <c r="M1084" s="6">
        <v>57030</v>
      </c>
      <c r="N1084" s="6">
        <v>641</v>
      </c>
      <c r="O1084" s="4" t="s">
        <v>32</v>
      </c>
      <c r="P1084" s="4" t="s">
        <v>32</v>
      </c>
      <c r="Q1084" s="4" t="s">
        <v>33</v>
      </c>
      <c r="R1084" s="4" t="s">
        <v>33</v>
      </c>
      <c r="S1084" s="4" t="s">
        <v>41</v>
      </c>
      <c r="T1084" s="7">
        <v>88.970399999999998</v>
      </c>
      <c r="U1084" s="8">
        <v>46</v>
      </c>
      <c r="V1084" s="8">
        <v>2024</v>
      </c>
      <c r="W1084" s="4" t="s">
        <v>95</v>
      </c>
    </row>
    <row r="1085" spans="1:23" s="9" customFormat="1" ht="15.75" hidden="1" customHeight="1" x14ac:dyDescent="0.25">
      <c r="A1085" s="10" t="s">
        <v>3313</v>
      </c>
      <c r="B1085" s="10" t="s">
        <v>3314</v>
      </c>
      <c r="C1085" s="10" t="s">
        <v>3315</v>
      </c>
      <c r="D1085" s="21" t="s">
        <v>6089</v>
      </c>
      <c r="E1085" s="10" t="s">
        <v>51</v>
      </c>
      <c r="F1085" s="10" t="s">
        <v>46</v>
      </c>
      <c r="G1085" s="10" t="s">
        <v>5</v>
      </c>
      <c r="H1085" s="10" t="s">
        <v>118</v>
      </c>
      <c r="I1085" s="11">
        <v>45261</v>
      </c>
      <c r="J1085" s="10" t="s">
        <v>30</v>
      </c>
      <c r="K1085" s="11">
        <v>45410</v>
      </c>
      <c r="L1085" s="10" t="s">
        <v>31</v>
      </c>
      <c r="M1085" s="12">
        <v>49557</v>
      </c>
      <c r="N1085" s="12">
        <v>2775</v>
      </c>
      <c r="O1085" s="10" t="s">
        <v>32</v>
      </c>
      <c r="P1085" s="10" t="s">
        <v>32</v>
      </c>
      <c r="Q1085" s="10" t="s">
        <v>33</v>
      </c>
      <c r="R1085" s="10" t="s">
        <v>33</v>
      </c>
      <c r="S1085" s="10" t="s">
        <v>60</v>
      </c>
      <c r="T1085" s="13">
        <v>17.8584</v>
      </c>
      <c r="U1085" s="14">
        <v>149</v>
      </c>
      <c r="V1085" s="14">
        <v>2024</v>
      </c>
      <c r="W1085" s="10" t="s">
        <v>47</v>
      </c>
    </row>
    <row r="1086" spans="1:23" s="9" customFormat="1" ht="15.75" hidden="1" customHeight="1" x14ac:dyDescent="0.25">
      <c r="A1086" s="4" t="s">
        <v>3316</v>
      </c>
      <c r="B1086" s="4" t="s">
        <v>3317</v>
      </c>
      <c r="C1086" s="4" t="s">
        <v>3318</v>
      </c>
      <c r="D1086" s="22" t="s">
        <v>6087</v>
      </c>
      <c r="E1086" s="4" t="s">
        <v>51</v>
      </c>
      <c r="F1086" s="4" t="s">
        <v>56</v>
      </c>
      <c r="G1086" s="4" t="s">
        <v>5</v>
      </c>
      <c r="H1086" s="4" t="s">
        <v>39</v>
      </c>
      <c r="I1086" s="5">
        <v>45106</v>
      </c>
      <c r="J1086" s="4" t="s">
        <v>40</v>
      </c>
      <c r="K1086" s="5">
        <v>45416</v>
      </c>
      <c r="L1086" s="4" t="s">
        <v>31</v>
      </c>
      <c r="M1086" s="6">
        <v>11443</v>
      </c>
      <c r="N1086" s="6">
        <v>1780</v>
      </c>
      <c r="O1086" s="4" t="s">
        <v>32</v>
      </c>
      <c r="P1086" s="4" t="s">
        <v>32</v>
      </c>
      <c r="Q1086" s="4" t="s">
        <v>33</v>
      </c>
      <c r="R1086" s="4" t="s">
        <v>33</v>
      </c>
      <c r="S1086" s="4" t="s">
        <v>41</v>
      </c>
      <c r="T1086" s="7">
        <v>6.4287000000000001</v>
      </c>
      <c r="U1086" s="8">
        <v>310</v>
      </c>
      <c r="V1086" s="8">
        <v>2024</v>
      </c>
      <c r="W1086" s="4" t="s">
        <v>52</v>
      </c>
    </row>
    <row r="1087" spans="1:23" s="9" customFormat="1" ht="15.75" hidden="1" customHeight="1" x14ac:dyDescent="0.25">
      <c r="A1087" s="10" t="s">
        <v>3319</v>
      </c>
      <c r="B1087" s="10" t="s">
        <v>3320</v>
      </c>
      <c r="C1087" s="10" t="s">
        <v>3321</v>
      </c>
      <c r="D1087" s="21" t="s">
        <v>6089</v>
      </c>
      <c r="E1087" s="10" t="s">
        <v>51</v>
      </c>
      <c r="F1087" s="10" t="s">
        <v>71</v>
      </c>
      <c r="G1087" s="10" t="s">
        <v>5</v>
      </c>
      <c r="H1087" s="10" t="s">
        <v>161</v>
      </c>
      <c r="I1087" s="11">
        <v>45061</v>
      </c>
      <c r="J1087" s="10" t="s">
        <v>40</v>
      </c>
      <c r="K1087" s="11">
        <v>45323</v>
      </c>
      <c r="L1087" s="10" t="s">
        <v>66</v>
      </c>
      <c r="M1087" s="12">
        <v>13953</v>
      </c>
      <c r="N1087" s="12">
        <v>6560</v>
      </c>
      <c r="O1087" s="10" t="s">
        <v>32</v>
      </c>
      <c r="P1087" s="10" t="s">
        <v>32</v>
      </c>
      <c r="Q1087" s="10" t="s">
        <v>33</v>
      </c>
      <c r="R1087" s="10" t="s">
        <v>33</v>
      </c>
      <c r="S1087" s="10" t="s">
        <v>34</v>
      </c>
      <c r="T1087" s="13">
        <v>2.1269999999999998</v>
      </c>
      <c r="U1087" s="14">
        <v>262</v>
      </c>
      <c r="V1087" s="14">
        <v>2024</v>
      </c>
      <c r="W1087" s="10" t="s">
        <v>35</v>
      </c>
    </row>
    <row r="1088" spans="1:23" s="9" customFormat="1" ht="15.75" hidden="1" customHeight="1" x14ac:dyDescent="0.25">
      <c r="A1088" s="4" t="s">
        <v>3322</v>
      </c>
      <c r="B1088" s="4" t="s">
        <v>3323</v>
      </c>
      <c r="C1088" s="4" t="s">
        <v>3324</v>
      </c>
      <c r="D1088" s="22" t="s">
        <v>6090</v>
      </c>
      <c r="E1088" s="4" t="s">
        <v>51</v>
      </c>
      <c r="F1088" s="4" t="s">
        <v>46</v>
      </c>
      <c r="G1088" s="4" t="s">
        <v>57</v>
      </c>
      <c r="H1088" s="4" t="s">
        <v>58</v>
      </c>
      <c r="I1088" s="5">
        <v>45537</v>
      </c>
      <c r="J1088" s="4" t="s">
        <v>40</v>
      </c>
      <c r="K1088" s="5">
        <v>45576</v>
      </c>
      <c r="L1088" s="4" t="s">
        <v>59</v>
      </c>
      <c r="M1088" s="6">
        <v>12525</v>
      </c>
      <c r="N1088" s="6">
        <v>2158</v>
      </c>
      <c r="O1088" s="4">
        <v>19</v>
      </c>
      <c r="P1088" s="5">
        <v>45595</v>
      </c>
      <c r="Q1088" s="4" t="s">
        <v>33</v>
      </c>
      <c r="R1088" s="4" t="s">
        <v>33</v>
      </c>
      <c r="S1088" s="4" t="s">
        <v>34</v>
      </c>
      <c r="T1088" s="7">
        <v>5.8040000000000003</v>
      </c>
      <c r="U1088" s="8">
        <v>39</v>
      </c>
      <c r="V1088" s="8">
        <v>2024</v>
      </c>
      <c r="W1088" s="4" t="s">
        <v>95</v>
      </c>
    </row>
    <row r="1089" spans="1:23" s="9" customFormat="1" ht="15.75" hidden="1" customHeight="1" x14ac:dyDescent="0.25">
      <c r="A1089" s="10" t="s">
        <v>3325</v>
      </c>
      <c r="B1089" s="10" t="s">
        <v>3326</v>
      </c>
      <c r="C1089" s="10" t="s">
        <v>3327</v>
      </c>
      <c r="D1089" s="22" t="s">
        <v>6090</v>
      </c>
      <c r="E1089" s="10" t="s">
        <v>26</v>
      </c>
      <c r="F1089" s="10" t="s">
        <v>46</v>
      </c>
      <c r="G1089" s="10" t="s">
        <v>57</v>
      </c>
      <c r="H1089" s="10" t="s">
        <v>161</v>
      </c>
      <c r="I1089" s="11">
        <v>45470</v>
      </c>
      <c r="J1089" s="10" t="s">
        <v>30</v>
      </c>
      <c r="K1089" s="11">
        <v>45604</v>
      </c>
      <c r="L1089" s="10" t="s">
        <v>59</v>
      </c>
      <c r="M1089" s="12">
        <v>7721</v>
      </c>
      <c r="N1089" s="12">
        <v>6295</v>
      </c>
      <c r="O1089" s="10">
        <v>4</v>
      </c>
      <c r="P1089" s="11">
        <v>45608</v>
      </c>
      <c r="Q1089" s="10" t="s">
        <v>33</v>
      </c>
      <c r="R1089" s="10" t="s">
        <v>33</v>
      </c>
      <c r="S1089" s="10" t="s">
        <v>41</v>
      </c>
      <c r="T1089" s="13">
        <v>1.2264999999999999</v>
      </c>
      <c r="U1089" s="14">
        <v>134</v>
      </c>
      <c r="V1089" s="14">
        <v>2024</v>
      </c>
      <c r="W1089" s="10" t="s">
        <v>61</v>
      </c>
    </row>
    <row r="1090" spans="1:23" s="9" customFormat="1" ht="15.75" hidden="1" customHeight="1" x14ac:dyDescent="0.25">
      <c r="A1090" s="4" t="s">
        <v>3328</v>
      </c>
      <c r="B1090" s="4" t="s">
        <v>3329</v>
      </c>
      <c r="C1090" s="4" t="s">
        <v>3330</v>
      </c>
      <c r="D1090" s="21" t="s">
        <v>6086</v>
      </c>
      <c r="E1090" s="4" t="s">
        <v>26</v>
      </c>
      <c r="F1090" s="4" t="s">
        <v>71</v>
      </c>
      <c r="G1090" s="4" t="s">
        <v>28</v>
      </c>
      <c r="H1090" s="4" t="s">
        <v>58</v>
      </c>
      <c r="I1090" s="5">
        <v>45064</v>
      </c>
      <c r="J1090" s="4" t="s">
        <v>30</v>
      </c>
      <c r="K1090" s="5">
        <v>45419</v>
      </c>
      <c r="L1090" s="4" t="s">
        <v>59</v>
      </c>
      <c r="M1090" s="6">
        <v>76395</v>
      </c>
      <c r="N1090" s="6">
        <v>8699</v>
      </c>
      <c r="O1090" s="4">
        <v>15</v>
      </c>
      <c r="P1090" s="5">
        <v>45434</v>
      </c>
      <c r="Q1090" s="4" t="s">
        <v>33</v>
      </c>
      <c r="R1090" s="4" t="s">
        <v>33</v>
      </c>
      <c r="S1090" s="4" t="s">
        <v>60</v>
      </c>
      <c r="T1090" s="7">
        <v>8.782</v>
      </c>
      <c r="U1090" s="8">
        <v>355</v>
      </c>
      <c r="V1090" s="8">
        <v>2024</v>
      </c>
      <c r="W1090" s="4" t="s">
        <v>52</v>
      </c>
    </row>
    <row r="1091" spans="1:23" s="9" customFormat="1" ht="15.75" hidden="1" customHeight="1" x14ac:dyDescent="0.25">
      <c r="A1091" s="10" t="s">
        <v>3331</v>
      </c>
      <c r="B1091" s="10" t="s">
        <v>3332</v>
      </c>
      <c r="C1091" s="10" t="s">
        <v>3333</v>
      </c>
      <c r="D1091" s="22" t="s">
        <v>6087</v>
      </c>
      <c r="E1091" s="10" t="s">
        <v>87</v>
      </c>
      <c r="F1091" s="10" t="s">
        <v>56</v>
      </c>
      <c r="G1091" s="10" t="s">
        <v>28</v>
      </c>
      <c r="H1091" s="10" t="s">
        <v>72</v>
      </c>
      <c r="I1091" s="11">
        <v>45154</v>
      </c>
      <c r="J1091" s="10" t="s">
        <v>40</v>
      </c>
      <c r="K1091" s="11">
        <v>45508</v>
      </c>
      <c r="L1091" s="10" t="s">
        <v>31</v>
      </c>
      <c r="M1091" s="12">
        <v>28621</v>
      </c>
      <c r="N1091" s="12">
        <v>3484</v>
      </c>
      <c r="O1091" s="10" t="s">
        <v>32</v>
      </c>
      <c r="P1091" s="10" t="s">
        <v>32</v>
      </c>
      <c r="Q1091" s="10" t="s">
        <v>33</v>
      </c>
      <c r="R1091" s="10" t="s">
        <v>33</v>
      </c>
      <c r="S1091" s="10" t="s">
        <v>41</v>
      </c>
      <c r="T1091" s="13">
        <v>8.2149999999999999</v>
      </c>
      <c r="U1091" s="14">
        <v>354</v>
      </c>
      <c r="V1091" s="14">
        <v>2024</v>
      </c>
      <c r="W1091" s="10" t="s">
        <v>114</v>
      </c>
    </row>
    <row r="1092" spans="1:23" s="9" customFormat="1" ht="15.75" hidden="1" customHeight="1" x14ac:dyDescent="0.25">
      <c r="A1092" s="4" t="s">
        <v>3334</v>
      </c>
      <c r="B1092" s="4" t="s">
        <v>3335</v>
      </c>
      <c r="C1092" s="4" t="s">
        <v>3336</v>
      </c>
      <c r="D1092" s="21" t="s">
        <v>6091</v>
      </c>
      <c r="E1092" s="4" t="s">
        <v>26</v>
      </c>
      <c r="F1092" s="4" t="s">
        <v>71</v>
      </c>
      <c r="G1092" s="4" t="s">
        <v>57</v>
      </c>
      <c r="H1092" s="4" t="s">
        <v>88</v>
      </c>
      <c r="I1092" s="5">
        <v>45322</v>
      </c>
      <c r="J1092" s="4" t="s">
        <v>30</v>
      </c>
      <c r="K1092" s="5">
        <v>45650</v>
      </c>
      <c r="L1092" s="4" t="s">
        <v>66</v>
      </c>
      <c r="M1092" s="6">
        <v>16179</v>
      </c>
      <c r="N1092" s="6">
        <v>1724</v>
      </c>
      <c r="O1092" s="4" t="s">
        <v>32</v>
      </c>
      <c r="P1092" s="4" t="s">
        <v>32</v>
      </c>
      <c r="Q1092" s="4" t="s">
        <v>33</v>
      </c>
      <c r="R1092" s="4" t="s">
        <v>33</v>
      </c>
      <c r="S1092" s="4" t="s">
        <v>34</v>
      </c>
      <c r="T1092" s="7">
        <v>9.3846000000000007</v>
      </c>
      <c r="U1092" s="8">
        <v>328</v>
      </c>
      <c r="V1092" s="8">
        <v>2024</v>
      </c>
      <c r="W1092" s="4" t="s">
        <v>89</v>
      </c>
    </row>
    <row r="1093" spans="1:23" s="9" customFormat="1" ht="15.75" hidden="1" customHeight="1" x14ac:dyDescent="0.25">
      <c r="A1093" s="10" t="s">
        <v>3337</v>
      </c>
      <c r="B1093" s="10" t="s">
        <v>3338</v>
      </c>
      <c r="C1093" s="10" t="s">
        <v>3339</v>
      </c>
      <c r="D1093" s="22" t="s">
        <v>6087</v>
      </c>
      <c r="E1093" s="10" t="s">
        <v>51</v>
      </c>
      <c r="F1093" s="10" t="s">
        <v>27</v>
      </c>
      <c r="G1093" s="10" t="s">
        <v>5</v>
      </c>
      <c r="H1093" s="10" t="s">
        <v>88</v>
      </c>
      <c r="I1093" s="11">
        <v>45266</v>
      </c>
      <c r="J1093" s="10" t="s">
        <v>30</v>
      </c>
      <c r="K1093" s="11">
        <v>45366</v>
      </c>
      <c r="L1093" s="10" t="s">
        <v>59</v>
      </c>
      <c r="M1093" s="12">
        <v>33740</v>
      </c>
      <c r="N1093" s="12">
        <v>7483</v>
      </c>
      <c r="O1093" s="10">
        <v>32</v>
      </c>
      <c r="P1093" s="11">
        <v>45398</v>
      </c>
      <c r="Q1093" s="10" t="s">
        <v>33</v>
      </c>
      <c r="R1093" s="10" t="s">
        <v>33</v>
      </c>
      <c r="S1093" s="10" t="s">
        <v>34</v>
      </c>
      <c r="T1093" s="13">
        <v>4.5088999999999997</v>
      </c>
      <c r="U1093" s="14">
        <v>100</v>
      </c>
      <c r="V1093" s="14">
        <v>2024</v>
      </c>
      <c r="W1093" s="10" t="s">
        <v>77</v>
      </c>
    </row>
    <row r="1094" spans="1:23" s="9" customFormat="1" ht="15.75" hidden="1" customHeight="1" x14ac:dyDescent="0.25">
      <c r="A1094" s="4" t="s">
        <v>3340</v>
      </c>
      <c r="B1094" s="4" t="s">
        <v>3341</v>
      </c>
      <c r="C1094" s="4" t="s">
        <v>3342</v>
      </c>
      <c r="D1094" s="22" t="s">
        <v>6090</v>
      </c>
      <c r="E1094" s="4" t="s">
        <v>87</v>
      </c>
      <c r="F1094" s="4" t="s">
        <v>65</v>
      </c>
      <c r="G1094" s="4" t="s">
        <v>5</v>
      </c>
      <c r="H1094" s="4" t="s">
        <v>161</v>
      </c>
      <c r="I1094" s="5">
        <v>45195</v>
      </c>
      <c r="J1094" s="4" t="s">
        <v>30</v>
      </c>
      <c r="K1094" s="5">
        <v>45416</v>
      </c>
      <c r="L1094" s="4" t="s">
        <v>31</v>
      </c>
      <c r="M1094" s="6">
        <v>13741</v>
      </c>
      <c r="N1094" s="6">
        <v>7137</v>
      </c>
      <c r="O1094" s="4" t="s">
        <v>32</v>
      </c>
      <c r="P1094" s="4" t="s">
        <v>32</v>
      </c>
      <c r="Q1094" s="4" t="s">
        <v>33</v>
      </c>
      <c r="R1094" s="4" t="s">
        <v>33</v>
      </c>
      <c r="S1094" s="4" t="s">
        <v>41</v>
      </c>
      <c r="T1094" s="7">
        <v>1.9253</v>
      </c>
      <c r="U1094" s="8">
        <v>221</v>
      </c>
      <c r="V1094" s="8">
        <v>2024</v>
      </c>
      <c r="W1094" s="4" t="s">
        <v>52</v>
      </c>
    </row>
    <row r="1095" spans="1:23" s="9" customFormat="1" ht="15.75" hidden="1" customHeight="1" x14ac:dyDescent="0.25">
      <c r="A1095" s="10" t="s">
        <v>3343</v>
      </c>
      <c r="B1095" s="10" t="s">
        <v>3344</v>
      </c>
      <c r="C1095" s="10" t="s">
        <v>3345</v>
      </c>
      <c r="D1095" s="22" t="s">
        <v>6087</v>
      </c>
      <c r="E1095" s="10" t="s">
        <v>51</v>
      </c>
      <c r="F1095" s="10" t="s">
        <v>65</v>
      </c>
      <c r="G1095" s="10" t="s">
        <v>5</v>
      </c>
      <c r="H1095" s="10" t="s">
        <v>161</v>
      </c>
      <c r="I1095" s="11">
        <v>45356</v>
      </c>
      <c r="J1095" s="10" t="s">
        <v>40</v>
      </c>
      <c r="K1095" s="11">
        <v>45481</v>
      </c>
      <c r="L1095" s="10" t="s">
        <v>59</v>
      </c>
      <c r="M1095" s="12">
        <v>15271</v>
      </c>
      <c r="N1095" s="12">
        <v>6586</v>
      </c>
      <c r="O1095" s="10">
        <v>31</v>
      </c>
      <c r="P1095" s="11">
        <v>45512</v>
      </c>
      <c r="Q1095" s="10" t="s">
        <v>94</v>
      </c>
      <c r="R1095" s="10" t="s">
        <v>33</v>
      </c>
      <c r="S1095" s="10" t="s">
        <v>41</v>
      </c>
      <c r="T1095" s="13">
        <v>2.3187000000000002</v>
      </c>
      <c r="U1095" s="14">
        <v>125</v>
      </c>
      <c r="V1095" s="14">
        <v>2024</v>
      </c>
      <c r="W1095" s="10" t="s">
        <v>42</v>
      </c>
    </row>
    <row r="1096" spans="1:23" s="9" customFormat="1" ht="15.75" hidden="1" customHeight="1" x14ac:dyDescent="0.25">
      <c r="A1096" s="4" t="s">
        <v>3346</v>
      </c>
      <c r="B1096" s="4" t="s">
        <v>3347</v>
      </c>
      <c r="C1096" s="4" t="s">
        <v>3348</v>
      </c>
      <c r="D1096" s="22" t="s">
        <v>6090</v>
      </c>
      <c r="E1096" s="4" t="s">
        <v>87</v>
      </c>
      <c r="F1096" s="4" t="s">
        <v>71</v>
      </c>
      <c r="G1096" s="4" t="s">
        <v>28</v>
      </c>
      <c r="H1096" s="4" t="s">
        <v>72</v>
      </c>
      <c r="I1096" s="5">
        <v>45252</v>
      </c>
      <c r="J1096" s="4" t="s">
        <v>40</v>
      </c>
      <c r="K1096" s="5">
        <v>45562</v>
      </c>
      <c r="L1096" s="4" t="s">
        <v>31</v>
      </c>
      <c r="M1096" s="6">
        <v>41668</v>
      </c>
      <c r="N1096" s="6">
        <v>1861</v>
      </c>
      <c r="O1096" s="4" t="s">
        <v>32</v>
      </c>
      <c r="P1096" s="4" t="s">
        <v>32</v>
      </c>
      <c r="Q1096" s="4" t="s">
        <v>33</v>
      </c>
      <c r="R1096" s="4" t="s">
        <v>33</v>
      </c>
      <c r="S1096" s="4" t="s">
        <v>34</v>
      </c>
      <c r="T1096" s="7">
        <v>22.3901</v>
      </c>
      <c r="U1096" s="8">
        <v>310</v>
      </c>
      <c r="V1096" s="8">
        <v>2024</v>
      </c>
      <c r="W1096" s="4" t="s">
        <v>168</v>
      </c>
    </row>
    <row r="1097" spans="1:23" s="9" customFormat="1" ht="15.75" hidden="1" customHeight="1" x14ac:dyDescent="0.25">
      <c r="A1097" s="10" t="s">
        <v>3349</v>
      </c>
      <c r="B1097" s="10" t="s">
        <v>3350</v>
      </c>
      <c r="C1097" s="10" t="s">
        <v>3351</v>
      </c>
      <c r="D1097" s="21" t="s">
        <v>6089</v>
      </c>
      <c r="E1097" s="10" t="s">
        <v>26</v>
      </c>
      <c r="F1097" s="21" t="s">
        <v>6092</v>
      </c>
      <c r="G1097" s="10" t="s">
        <v>57</v>
      </c>
      <c r="H1097" s="10" t="s">
        <v>161</v>
      </c>
      <c r="I1097" s="11">
        <v>45070</v>
      </c>
      <c r="J1097" s="10" t="s">
        <v>40</v>
      </c>
      <c r="K1097" s="11">
        <v>45364</v>
      </c>
      <c r="L1097" s="10" t="s">
        <v>66</v>
      </c>
      <c r="M1097" s="12">
        <v>35233</v>
      </c>
      <c r="N1097" s="12">
        <v>704</v>
      </c>
      <c r="O1097" s="10" t="s">
        <v>32</v>
      </c>
      <c r="P1097" s="10" t="s">
        <v>32</v>
      </c>
      <c r="Q1097" s="10" t="s">
        <v>33</v>
      </c>
      <c r="R1097" s="10" t="s">
        <v>33</v>
      </c>
      <c r="S1097" s="10" t="s">
        <v>41</v>
      </c>
      <c r="T1097" s="13">
        <v>50.046900000000001</v>
      </c>
      <c r="U1097" s="14">
        <v>294</v>
      </c>
      <c r="V1097" s="14">
        <v>2024</v>
      </c>
      <c r="W1097" s="10" t="s">
        <v>77</v>
      </c>
    </row>
    <row r="1098" spans="1:23" s="9" customFormat="1" ht="15.75" hidden="1" customHeight="1" x14ac:dyDescent="0.25">
      <c r="A1098" s="4" t="s">
        <v>3352</v>
      </c>
      <c r="B1098" s="4" t="s">
        <v>3353</v>
      </c>
      <c r="C1098" s="4" t="s">
        <v>3354</v>
      </c>
      <c r="D1098" s="22" t="s">
        <v>6087</v>
      </c>
      <c r="E1098" s="4" t="s">
        <v>87</v>
      </c>
      <c r="F1098" s="4" t="s">
        <v>27</v>
      </c>
      <c r="G1098" s="4" t="s">
        <v>57</v>
      </c>
      <c r="H1098" s="4" t="s">
        <v>39</v>
      </c>
      <c r="I1098" s="5">
        <v>45280</v>
      </c>
      <c r="J1098" s="4" t="s">
        <v>40</v>
      </c>
      <c r="K1098" s="5">
        <v>45397</v>
      </c>
      <c r="L1098" s="4" t="s">
        <v>59</v>
      </c>
      <c r="M1098" s="6">
        <v>12298</v>
      </c>
      <c r="N1098" s="6">
        <v>7998</v>
      </c>
      <c r="O1098" s="4">
        <v>25</v>
      </c>
      <c r="P1098" s="5">
        <v>45422</v>
      </c>
      <c r="Q1098" s="4" t="s">
        <v>33</v>
      </c>
      <c r="R1098" s="4" t="s">
        <v>33</v>
      </c>
      <c r="S1098" s="4" t="s">
        <v>34</v>
      </c>
      <c r="T1098" s="7">
        <v>1.5376000000000001</v>
      </c>
      <c r="U1098" s="8">
        <v>117</v>
      </c>
      <c r="V1098" s="8">
        <v>2024</v>
      </c>
      <c r="W1098" s="4" t="s">
        <v>47</v>
      </c>
    </row>
    <row r="1099" spans="1:23" s="9" customFormat="1" ht="15.75" hidden="1" customHeight="1" x14ac:dyDescent="0.25">
      <c r="A1099" s="10" t="s">
        <v>3355</v>
      </c>
      <c r="B1099" s="10" t="s">
        <v>3356</v>
      </c>
      <c r="C1099" s="10" t="s">
        <v>3357</v>
      </c>
      <c r="D1099" s="22" t="s">
        <v>6087</v>
      </c>
      <c r="E1099" s="10" t="s">
        <v>26</v>
      </c>
      <c r="F1099" s="10" t="s">
        <v>27</v>
      </c>
      <c r="G1099" s="10" t="s">
        <v>28</v>
      </c>
      <c r="H1099" s="10" t="s">
        <v>29</v>
      </c>
      <c r="I1099" s="11">
        <v>45341</v>
      </c>
      <c r="J1099" s="10" t="s">
        <v>30</v>
      </c>
      <c r="K1099" s="11">
        <v>45548</v>
      </c>
      <c r="L1099" s="10" t="s">
        <v>59</v>
      </c>
      <c r="M1099" s="12">
        <v>23886</v>
      </c>
      <c r="N1099" s="12">
        <v>6121</v>
      </c>
      <c r="O1099" s="10">
        <v>37</v>
      </c>
      <c r="P1099" s="11">
        <v>45585</v>
      </c>
      <c r="Q1099" s="10" t="s">
        <v>33</v>
      </c>
      <c r="R1099" s="10" t="s">
        <v>33</v>
      </c>
      <c r="S1099" s="10" t="s">
        <v>41</v>
      </c>
      <c r="T1099" s="13">
        <v>3.9022999999999999</v>
      </c>
      <c r="U1099" s="14">
        <v>207</v>
      </c>
      <c r="V1099" s="14">
        <v>2024</v>
      </c>
      <c r="W1099" s="10" t="s">
        <v>168</v>
      </c>
    </row>
    <row r="1100" spans="1:23" s="9" customFormat="1" ht="15.75" hidden="1" customHeight="1" x14ac:dyDescent="0.25">
      <c r="A1100" s="4" t="s">
        <v>3358</v>
      </c>
      <c r="B1100" s="4" t="s">
        <v>3359</v>
      </c>
      <c r="C1100" s="4" t="s">
        <v>3360</v>
      </c>
      <c r="D1100" s="21" t="s">
        <v>6088</v>
      </c>
      <c r="E1100" s="4" t="s">
        <v>51</v>
      </c>
      <c r="F1100" s="4" t="s">
        <v>27</v>
      </c>
      <c r="G1100" s="4" t="s">
        <v>5</v>
      </c>
      <c r="H1100" s="4" t="s">
        <v>29</v>
      </c>
      <c r="I1100" s="5">
        <v>45075</v>
      </c>
      <c r="J1100" s="4" t="s">
        <v>30</v>
      </c>
      <c r="K1100" s="5">
        <v>45307</v>
      </c>
      <c r="L1100" s="4" t="s">
        <v>31</v>
      </c>
      <c r="M1100" s="6">
        <v>43238</v>
      </c>
      <c r="N1100" s="6">
        <v>7670</v>
      </c>
      <c r="O1100" s="4" t="s">
        <v>32</v>
      </c>
      <c r="P1100" s="4" t="s">
        <v>32</v>
      </c>
      <c r="Q1100" s="4" t="s">
        <v>94</v>
      </c>
      <c r="R1100" s="4" t="s">
        <v>94</v>
      </c>
      <c r="S1100" s="4" t="s">
        <v>41</v>
      </c>
      <c r="T1100" s="7">
        <v>5.6372999999999998</v>
      </c>
      <c r="U1100" s="8">
        <v>232</v>
      </c>
      <c r="V1100" s="8">
        <v>2024</v>
      </c>
      <c r="W1100" s="4" t="s">
        <v>73</v>
      </c>
    </row>
    <row r="1101" spans="1:23" s="9" customFormat="1" ht="15.75" hidden="1" customHeight="1" x14ac:dyDescent="0.25">
      <c r="A1101" s="10" t="s">
        <v>3361</v>
      </c>
      <c r="B1101" s="10" t="s">
        <v>3362</v>
      </c>
      <c r="C1101" s="10" t="s">
        <v>3363</v>
      </c>
      <c r="D1101" s="21" t="s">
        <v>6086</v>
      </c>
      <c r="E1101" s="10" t="s">
        <v>87</v>
      </c>
      <c r="F1101" s="10" t="s">
        <v>56</v>
      </c>
      <c r="G1101" s="10" t="s">
        <v>5</v>
      </c>
      <c r="H1101" s="10" t="s">
        <v>88</v>
      </c>
      <c r="I1101" s="11">
        <v>45079</v>
      </c>
      <c r="J1101" s="10" t="s">
        <v>30</v>
      </c>
      <c r="K1101" s="11">
        <v>45321</v>
      </c>
      <c r="L1101" s="10" t="s">
        <v>31</v>
      </c>
      <c r="M1101" s="12">
        <v>19538</v>
      </c>
      <c r="N1101" s="12">
        <v>5519</v>
      </c>
      <c r="O1101" s="10" t="s">
        <v>32</v>
      </c>
      <c r="P1101" s="10" t="s">
        <v>32</v>
      </c>
      <c r="Q1101" s="10" t="s">
        <v>33</v>
      </c>
      <c r="R1101" s="10" t="s">
        <v>33</v>
      </c>
      <c r="S1101" s="10" t="s">
        <v>34</v>
      </c>
      <c r="T1101" s="13">
        <v>3.5400999999999998</v>
      </c>
      <c r="U1101" s="14">
        <v>242</v>
      </c>
      <c r="V1101" s="14">
        <v>2024</v>
      </c>
      <c r="W1101" s="10" t="s">
        <v>73</v>
      </c>
    </row>
    <row r="1102" spans="1:23" s="9" customFormat="1" ht="15.75" hidden="1" customHeight="1" x14ac:dyDescent="0.25">
      <c r="A1102" s="4" t="s">
        <v>3364</v>
      </c>
      <c r="B1102" s="4" t="s">
        <v>3365</v>
      </c>
      <c r="C1102" s="4" t="s">
        <v>3366</v>
      </c>
      <c r="D1102" s="21" t="s">
        <v>6089</v>
      </c>
      <c r="E1102" s="4" t="s">
        <v>51</v>
      </c>
      <c r="F1102" s="4" t="s">
        <v>65</v>
      </c>
      <c r="G1102" s="4" t="s">
        <v>5</v>
      </c>
      <c r="H1102" s="4" t="s">
        <v>93</v>
      </c>
      <c r="I1102" s="5">
        <v>45333</v>
      </c>
      <c r="J1102" s="4" t="s">
        <v>40</v>
      </c>
      <c r="K1102" s="5">
        <v>45639</v>
      </c>
      <c r="L1102" s="4" t="s">
        <v>59</v>
      </c>
      <c r="M1102" s="6">
        <v>20260</v>
      </c>
      <c r="N1102" s="6">
        <v>4535</v>
      </c>
      <c r="O1102" s="4">
        <v>34</v>
      </c>
      <c r="P1102" s="5">
        <v>45673</v>
      </c>
      <c r="Q1102" s="4" t="s">
        <v>33</v>
      </c>
      <c r="R1102" s="4" t="s">
        <v>33</v>
      </c>
      <c r="S1102" s="4" t="s">
        <v>60</v>
      </c>
      <c r="T1102" s="7">
        <v>4.4675000000000002</v>
      </c>
      <c r="U1102" s="8">
        <v>306</v>
      </c>
      <c r="V1102" s="8">
        <v>2024</v>
      </c>
      <c r="W1102" s="4" t="s">
        <v>89</v>
      </c>
    </row>
    <row r="1103" spans="1:23" s="9" customFormat="1" ht="15.75" hidden="1" customHeight="1" x14ac:dyDescent="0.25">
      <c r="A1103" s="10" t="s">
        <v>3367</v>
      </c>
      <c r="B1103" s="10" t="s">
        <v>3368</v>
      </c>
      <c r="C1103" s="10" t="s">
        <v>3369</v>
      </c>
      <c r="D1103" s="22" t="s">
        <v>6090</v>
      </c>
      <c r="E1103" s="10" t="s">
        <v>87</v>
      </c>
      <c r="F1103" s="10" t="s">
        <v>46</v>
      </c>
      <c r="G1103" s="10" t="s">
        <v>5</v>
      </c>
      <c r="H1103" s="10" t="s">
        <v>88</v>
      </c>
      <c r="I1103" s="11">
        <v>45283</v>
      </c>
      <c r="J1103" s="10" t="s">
        <v>30</v>
      </c>
      <c r="K1103" s="11">
        <v>45327</v>
      </c>
      <c r="L1103" s="10" t="s">
        <v>59</v>
      </c>
      <c r="M1103" s="12">
        <v>35430</v>
      </c>
      <c r="N1103" s="12">
        <v>4987</v>
      </c>
      <c r="O1103" s="10">
        <v>42</v>
      </c>
      <c r="P1103" s="11">
        <v>45369</v>
      </c>
      <c r="Q1103" s="10" t="s">
        <v>94</v>
      </c>
      <c r="R1103" s="10" t="s">
        <v>33</v>
      </c>
      <c r="S1103" s="10" t="s">
        <v>34</v>
      </c>
      <c r="T1103" s="13">
        <v>7.1044999999999998</v>
      </c>
      <c r="U1103" s="14">
        <v>44</v>
      </c>
      <c r="V1103" s="14">
        <v>2024</v>
      </c>
      <c r="W1103" s="10" t="s">
        <v>35</v>
      </c>
    </row>
    <row r="1104" spans="1:23" s="9" customFormat="1" ht="15.75" hidden="1" customHeight="1" x14ac:dyDescent="0.25">
      <c r="A1104" s="4" t="s">
        <v>3370</v>
      </c>
      <c r="B1104" s="4" t="s">
        <v>3371</v>
      </c>
      <c r="C1104" s="4" t="s">
        <v>3372</v>
      </c>
      <c r="D1104" s="21" t="s">
        <v>6088</v>
      </c>
      <c r="E1104" s="4" t="s">
        <v>51</v>
      </c>
      <c r="F1104" s="4" t="s">
        <v>56</v>
      </c>
      <c r="G1104" s="4" t="s">
        <v>5</v>
      </c>
      <c r="H1104" s="4" t="s">
        <v>72</v>
      </c>
      <c r="I1104" s="5">
        <v>45343</v>
      </c>
      <c r="J1104" s="4" t="s">
        <v>40</v>
      </c>
      <c r="K1104" s="5">
        <v>45536</v>
      </c>
      <c r="L1104" s="4" t="s">
        <v>31</v>
      </c>
      <c r="M1104" s="6">
        <v>31307</v>
      </c>
      <c r="N1104" s="6">
        <v>4500</v>
      </c>
      <c r="O1104" s="4" t="s">
        <v>32</v>
      </c>
      <c r="P1104" s="4" t="s">
        <v>32</v>
      </c>
      <c r="Q1104" s="4" t="s">
        <v>33</v>
      </c>
      <c r="R1104" s="4" t="s">
        <v>33</v>
      </c>
      <c r="S1104" s="4" t="s">
        <v>41</v>
      </c>
      <c r="T1104" s="7">
        <v>6.9570999999999996</v>
      </c>
      <c r="U1104" s="8">
        <v>193</v>
      </c>
      <c r="V1104" s="8">
        <v>2024</v>
      </c>
      <c r="W1104" s="4" t="s">
        <v>168</v>
      </c>
    </row>
    <row r="1105" spans="1:23" s="9" customFormat="1" ht="15.75" hidden="1" customHeight="1" x14ac:dyDescent="0.25">
      <c r="A1105" s="10" t="s">
        <v>3373</v>
      </c>
      <c r="B1105" s="10" t="s">
        <v>3374</v>
      </c>
      <c r="C1105" s="10" t="s">
        <v>3375</v>
      </c>
      <c r="D1105" s="22" t="s">
        <v>6087</v>
      </c>
      <c r="E1105" s="10" t="s">
        <v>87</v>
      </c>
      <c r="F1105" s="10" t="s">
        <v>27</v>
      </c>
      <c r="G1105" s="10" t="s">
        <v>5</v>
      </c>
      <c r="H1105" s="10" t="s">
        <v>29</v>
      </c>
      <c r="I1105" s="11">
        <v>45345</v>
      </c>
      <c r="J1105" s="10" t="s">
        <v>30</v>
      </c>
      <c r="K1105" s="11">
        <v>45560</v>
      </c>
      <c r="L1105" s="10" t="s">
        <v>66</v>
      </c>
      <c r="M1105" s="12">
        <v>35372</v>
      </c>
      <c r="N1105" s="12">
        <v>4824</v>
      </c>
      <c r="O1105" s="10" t="s">
        <v>32</v>
      </c>
      <c r="P1105" s="10" t="s">
        <v>32</v>
      </c>
      <c r="Q1105" s="10" t="s">
        <v>33</v>
      </c>
      <c r="R1105" s="10" t="s">
        <v>33</v>
      </c>
      <c r="S1105" s="10" t="s">
        <v>34</v>
      </c>
      <c r="T1105" s="13">
        <v>7.3324999999999996</v>
      </c>
      <c r="U1105" s="14">
        <v>215</v>
      </c>
      <c r="V1105" s="14">
        <v>2024</v>
      </c>
      <c r="W1105" s="10" t="s">
        <v>168</v>
      </c>
    </row>
    <row r="1106" spans="1:23" s="9" customFormat="1" ht="15.75" hidden="1" customHeight="1" x14ac:dyDescent="0.25">
      <c r="A1106" s="4" t="s">
        <v>3376</v>
      </c>
      <c r="B1106" s="4" t="s">
        <v>3377</v>
      </c>
      <c r="C1106" s="4" t="s">
        <v>3378</v>
      </c>
      <c r="D1106" s="21" t="s">
        <v>6089</v>
      </c>
      <c r="E1106" s="4" t="s">
        <v>87</v>
      </c>
      <c r="F1106" s="4" t="s">
        <v>56</v>
      </c>
      <c r="G1106" s="4" t="s">
        <v>5</v>
      </c>
      <c r="H1106" s="4" t="s">
        <v>72</v>
      </c>
      <c r="I1106" s="5">
        <v>45183</v>
      </c>
      <c r="J1106" s="4" t="s">
        <v>30</v>
      </c>
      <c r="K1106" s="5">
        <v>45487</v>
      </c>
      <c r="L1106" s="4" t="s">
        <v>66</v>
      </c>
      <c r="M1106" s="6">
        <v>39472</v>
      </c>
      <c r="N1106" s="6">
        <v>2426</v>
      </c>
      <c r="O1106" s="4" t="s">
        <v>32</v>
      </c>
      <c r="P1106" s="4" t="s">
        <v>32</v>
      </c>
      <c r="Q1106" s="4" t="s">
        <v>33</v>
      </c>
      <c r="R1106" s="4" t="s">
        <v>33</v>
      </c>
      <c r="S1106" s="4" t="s">
        <v>60</v>
      </c>
      <c r="T1106" s="7">
        <v>16.270399999999999</v>
      </c>
      <c r="U1106" s="8">
        <v>304</v>
      </c>
      <c r="V1106" s="8">
        <v>2024</v>
      </c>
      <c r="W1106" s="4" t="s">
        <v>42</v>
      </c>
    </row>
    <row r="1107" spans="1:23" s="9" customFormat="1" ht="15.75" hidden="1" customHeight="1" x14ac:dyDescent="0.25">
      <c r="A1107" s="10" t="s">
        <v>3379</v>
      </c>
      <c r="B1107" s="10" t="s">
        <v>3380</v>
      </c>
      <c r="C1107" s="10" t="s">
        <v>3381</v>
      </c>
      <c r="D1107" s="22" t="s">
        <v>6090</v>
      </c>
      <c r="E1107" s="10" t="s">
        <v>26</v>
      </c>
      <c r="F1107" s="10" t="s">
        <v>27</v>
      </c>
      <c r="G1107" s="10" t="s">
        <v>5</v>
      </c>
      <c r="H1107" s="10" t="s">
        <v>88</v>
      </c>
      <c r="I1107" s="11">
        <v>45131</v>
      </c>
      <c r="J1107" s="10" t="s">
        <v>30</v>
      </c>
      <c r="K1107" s="11">
        <v>45473</v>
      </c>
      <c r="L1107" s="10" t="s">
        <v>59</v>
      </c>
      <c r="M1107" s="12">
        <v>49395</v>
      </c>
      <c r="N1107" s="12">
        <v>5086</v>
      </c>
      <c r="O1107" s="10">
        <v>27</v>
      </c>
      <c r="P1107" s="11">
        <v>45500</v>
      </c>
      <c r="Q1107" s="10" t="s">
        <v>94</v>
      </c>
      <c r="R1107" s="10" t="s">
        <v>94</v>
      </c>
      <c r="S1107" s="10" t="s">
        <v>60</v>
      </c>
      <c r="T1107" s="13">
        <v>9.7119999999999997</v>
      </c>
      <c r="U1107" s="14">
        <v>342</v>
      </c>
      <c r="V1107" s="14">
        <v>2024</v>
      </c>
      <c r="W1107" s="10" t="s">
        <v>67</v>
      </c>
    </row>
    <row r="1108" spans="1:23" s="9" customFormat="1" ht="15.75" hidden="1" customHeight="1" x14ac:dyDescent="0.25">
      <c r="A1108" s="4" t="s">
        <v>3382</v>
      </c>
      <c r="B1108" s="4" t="s">
        <v>3383</v>
      </c>
      <c r="C1108" s="4" t="s">
        <v>3384</v>
      </c>
      <c r="D1108" s="22" t="s">
        <v>6090</v>
      </c>
      <c r="E1108" s="4" t="s">
        <v>26</v>
      </c>
      <c r="F1108" s="4" t="s">
        <v>65</v>
      </c>
      <c r="G1108" s="4" t="s">
        <v>5</v>
      </c>
      <c r="H1108" s="4" t="s">
        <v>72</v>
      </c>
      <c r="I1108" s="5">
        <v>45320</v>
      </c>
      <c r="J1108" s="4" t="s">
        <v>40</v>
      </c>
      <c r="K1108" s="5">
        <v>45388</v>
      </c>
      <c r="L1108" s="4" t="s">
        <v>59</v>
      </c>
      <c r="M1108" s="6">
        <v>44494</v>
      </c>
      <c r="N1108" s="6">
        <v>2213</v>
      </c>
      <c r="O1108" s="4">
        <v>9</v>
      </c>
      <c r="P1108" s="5">
        <v>45397</v>
      </c>
      <c r="Q1108" s="4" t="s">
        <v>33</v>
      </c>
      <c r="R1108" s="4" t="s">
        <v>33</v>
      </c>
      <c r="S1108" s="4" t="s">
        <v>60</v>
      </c>
      <c r="T1108" s="7">
        <v>20.105699999999999</v>
      </c>
      <c r="U1108" s="8">
        <v>68</v>
      </c>
      <c r="V1108" s="8">
        <v>2024</v>
      </c>
      <c r="W1108" s="4" t="s">
        <v>47</v>
      </c>
    </row>
    <row r="1109" spans="1:23" s="9" customFormat="1" ht="15.75" hidden="1" customHeight="1" x14ac:dyDescent="0.25">
      <c r="A1109" s="10" t="s">
        <v>3385</v>
      </c>
      <c r="B1109" s="10" t="s">
        <v>3386</v>
      </c>
      <c r="C1109" s="10" t="s">
        <v>3387</v>
      </c>
      <c r="D1109" s="21" t="s">
        <v>6088</v>
      </c>
      <c r="E1109" s="10" t="s">
        <v>87</v>
      </c>
      <c r="F1109" s="10" t="s">
        <v>71</v>
      </c>
      <c r="G1109" s="10" t="s">
        <v>5</v>
      </c>
      <c r="H1109" s="10" t="s">
        <v>88</v>
      </c>
      <c r="I1109" s="11">
        <v>45268</v>
      </c>
      <c r="J1109" s="10" t="s">
        <v>30</v>
      </c>
      <c r="K1109" s="11">
        <v>45412</v>
      </c>
      <c r="L1109" s="10" t="s">
        <v>59</v>
      </c>
      <c r="M1109" s="12">
        <v>19962</v>
      </c>
      <c r="N1109" s="12">
        <v>5432</v>
      </c>
      <c r="O1109" s="10">
        <v>15</v>
      </c>
      <c r="P1109" s="11">
        <v>45427</v>
      </c>
      <c r="Q1109" s="10" t="s">
        <v>33</v>
      </c>
      <c r="R1109" s="10" t="s">
        <v>33</v>
      </c>
      <c r="S1109" s="10" t="s">
        <v>41</v>
      </c>
      <c r="T1109" s="13">
        <v>3.6749000000000001</v>
      </c>
      <c r="U1109" s="14">
        <v>144</v>
      </c>
      <c r="V1109" s="14">
        <v>2024</v>
      </c>
      <c r="W1109" s="10" t="s">
        <v>47</v>
      </c>
    </row>
    <row r="1110" spans="1:23" s="9" customFormat="1" ht="15.75" hidden="1" customHeight="1" x14ac:dyDescent="0.25">
      <c r="A1110" s="4" t="s">
        <v>3388</v>
      </c>
      <c r="B1110" s="4" t="s">
        <v>3389</v>
      </c>
      <c r="C1110" s="4" t="s">
        <v>3390</v>
      </c>
      <c r="D1110" s="22" t="s">
        <v>6087</v>
      </c>
      <c r="E1110" s="4" t="s">
        <v>26</v>
      </c>
      <c r="F1110" s="21" t="s">
        <v>6092</v>
      </c>
      <c r="G1110" s="4" t="s">
        <v>5</v>
      </c>
      <c r="H1110" s="4" t="s">
        <v>58</v>
      </c>
      <c r="I1110" s="5">
        <v>45353</v>
      </c>
      <c r="J1110" s="4" t="s">
        <v>30</v>
      </c>
      <c r="K1110" s="5">
        <v>45411</v>
      </c>
      <c r="L1110" s="4" t="s">
        <v>59</v>
      </c>
      <c r="M1110" s="6">
        <v>34341</v>
      </c>
      <c r="N1110" s="6">
        <v>3833</v>
      </c>
      <c r="O1110" s="4">
        <v>33</v>
      </c>
      <c r="P1110" s="5">
        <v>45444</v>
      </c>
      <c r="Q1110" s="4" t="s">
        <v>33</v>
      </c>
      <c r="R1110" s="4" t="s">
        <v>33</v>
      </c>
      <c r="S1110" s="4" t="s">
        <v>60</v>
      </c>
      <c r="T1110" s="7">
        <v>8.9593000000000007</v>
      </c>
      <c r="U1110" s="8">
        <v>58</v>
      </c>
      <c r="V1110" s="8">
        <v>2024</v>
      </c>
      <c r="W1110" s="4" t="s">
        <v>47</v>
      </c>
    </row>
    <row r="1111" spans="1:23" s="9" customFormat="1" ht="15.75" hidden="1" customHeight="1" x14ac:dyDescent="0.25">
      <c r="A1111" s="10" t="s">
        <v>3391</v>
      </c>
      <c r="B1111" s="10" t="s">
        <v>3392</v>
      </c>
      <c r="C1111" s="10" t="s">
        <v>3393</v>
      </c>
      <c r="D1111" s="21" t="s">
        <v>6091</v>
      </c>
      <c r="E1111" s="10" t="s">
        <v>87</v>
      </c>
      <c r="F1111" s="10" t="s">
        <v>46</v>
      </c>
      <c r="G1111" s="10" t="s">
        <v>5</v>
      </c>
      <c r="H1111" s="10" t="s">
        <v>58</v>
      </c>
      <c r="I1111" s="11">
        <v>45296</v>
      </c>
      <c r="J1111" s="10" t="s">
        <v>30</v>
      </c>
      <c r="K1111" s="11">
        <v>45409</v>
      </c>
      <c r="L1111" s="10" t="s">
        <v>66</v>
      </c>
      <c r="M1111" s="12">
        <v>9533</v>
      </c>
      <c r="N1111" s="12">
        <v>6727</v>
      </c>
      <c r="O1111" s="10" t="s">
        <v>32</v>
      </c>
      <c r="P1111" s="10" t="s">
        <v>32</v>
      </c>
      <c r="Q1111" s="10" t="s">
        <v>33</v>
      </c>
      <c r="R1111" s="10" t="s">
        <v>33</v>
      </c>
      <c r="S1111" s="10" t="s">
        <v>41</v>
      </c>
      <c r="T1111" s="13">
        <v>1.4171</v>
      </c>
      <c r="U1111" s="14">
        <v>113</v>
      </c>
      <c r="V1111" s="14">
        <v>2024</v>
      </c>
      <c r="W1111" s="10" t="s">
        <v>47</v>
      </c>
    </row>
    <row r="1112" spans="1:23" s="9" customFormat="1" ht="15.75" hidden="1" customHeight="1" x14ac:dyDescent="0.25">
      <c r="A1112" s="4" t="s">
        <v>3394</v>
      </c>
      <c r="B1112" s="4" t="s">
        <v>3395</v>
      </c>
      <c r="C1112" s="4" t="s">
        <v>3396</v>
      </c>
      <c r="D1112" s="22" t="s">
        <v>6087</v>
      </c>
      <c r="E1112" s="4" t="s">
        <v>51</v>
      </c>
      <c r="F1112" s="21" t="s">
        <v>6092</v>
      </c>
      <c r="G1112" s="4" t="s">
        <v>28</v>
      </c>
      <c r="H1112" s="4" t="s">
        <v>58</v>
      </c>
      <c r="I1112" s="5">
        <v>45517</v>
      </c>
      <c r="J1112" s="4" t="s">
        <v>30</v>
      </c>
      <c r="K1112" s="5">
        <v>45651</v>
      </c>
      <c r="L1112" s="4" t="s">
        <v>66</v>
      </c>
      <c r="M1112" s="6">
        <v>5908</v>
      </c>
      <c r="N1112" s="6">
        <v>5598</v>
      </c>
      <c r="O1112" s="4" t="s">
        <v>32</v>
      </c>
      <c r="P1112" s="4" t="s">
        <v>32</v>
      </c>
      <c r="Q1112" s="4" t="s">
        <v>33</v>
      </c>
      <c r="R1112" s="4" t="s">
        <v>33</v>
      </c>
      <c r="S1112" s="4" t="s">
        <v>60</v>
      </c>
      <c r="T1112" s="7">
        <v>1.0553999999999999</v>
      </c>
      <c r="U1112" s="8">
        <v>134</v>
      </c>
      <c r="V1112" s="8">
        <v>2024</v>
      </c>
      <c r="W1112" s="4" t="s">
        <v>89</v>
      </c>
    </row>
    <row r="1113" spans="1:23" s="9" customFormat="1" ht="15.75" hidden="1" customHeight="1" x14ac:dyDescent="0.25">
      <c r="A1113" s="10" t="s">
        <v>3397</v>
      </c>
      <c r="B1113" s="10" t="s">
        <v>3398</v>
      </c>
      <c r="C1113" s="10" t="s">
        <v>3399</v>
      </c>
      <c r="D1113" s="22" t="s">
        <v>6090</v>
      </c>
      <c r="E1113" s="10" t="s">
        <v>51</v>
      </c>
      <c r="F1113" s="10" t="s">
        <v>56</v>
      </c>
      <c r="G1113" s="10" t="s">
        <v>5</v>
      </c>
      <c r="H1113" s="10" t="s">
        <v>72</v>
      </c>
      <c r="I1113" s="11">
        <v>45176</v>
      </c>
      <c r="J1113" s="10" t="s">
        <v>40</v>
      </c>
      <c r="K1113" s="11">
        <v>45366</v>
      </c>
      <c r="L1113" s="10" t="s">
        <v>31</v>
      </c>
      <c r="M1113" s="12">
        <v>46525</v>
      </c>
      <c r="N1113" s="12">
        <v>953</v>
      </c>
      <c r="O1113" s="10" t="s">
        <v>32</v>
      </c>
      <c r="P1113" s="10" t="s">
        <v>32</v>
      </c>
      <c r="Q1113" s="10" t="s">
        <v>33</v>
      </c>
      <c r="R1113" s="10" t="s">
        <v>33</v>
      </c>
      <c r="S1113" s="10" t="s">
        <v>60</v>
      </c>
      <c r="T1113" s="13">
        <v>48.819499999999998</v>
      </c>
      <c r="U1113" s="14">
        <v>190</v>
      </c>
      <c r="V1113" s="14">
        <v>2024</v>
      </c>
      <c r="W1113" s="10" t="s">
        <v>77</v>
      </c>
    </row>
    <row r="1114" spans="1:23" s="9" customFormat="1" ht="15.75" hidden="1" customHeight="1" x14ac:dyDescent="0.25">
      <c r="A1114" s="4" t="s">
        <v>3400</v>
      </c>
      <c r="B1114" s="4" t="s">
        <v>3401</v>
      </c>
      <c r="C1114" s="4" t="s">
        <v>3402</v>
      </c>
      <c r="D1114" s="22" t="s">
        <v>6090</v>
      </c>
      <c r="E1114" s="4" t="s">
        <v>87</v>
      </c>
      <c r="F1114" s="4" t="s">
        <v>46</v>
      </c>
      <c r="G1114" s="4" t="s">
        <v>5</v>
      </c>
      <c r="H1114" s="4" t="s">
        <v>118</v>
      </c>
      <c r="I1114" s="5">
        <v>45488</v>
      </c>
      <c r="J1114" s="4" t="s">
        <v>30</v>
      </c>
      <c r="K1114" s="5">
        <v>45570</v>
      </c>
      <c r="L1114" s="4" t="s">
        <v>31</v>
      </c>
      <c r="M1114" s="6">
        <v>47446</v>
      </c>
      <c r="N1114" s="6">
        <v>1300</v>
      </c>
      <c r="O1114" s="4" t="s">
        <v>32</v>
      </c>
      <c r="P1114" s="4" t="s">
        <v>32</v>
      </c>
      <c r="Q1114" s="4" t="s">
        <v>33</v>
      </c>
      <c r="R1114" s="4" t="s">
        <v>33</v>
      </c>
      <c r="S1114" s="4" t="s">
        <v>60</v>
      </c>
      <c r="T1114" s="7">
        <v>36.496899999999997</v>
      </c>
      <c r="U1114" s="8">
        <v>82</v>
      </c>
      <c r="V1114" s="8">
        <v>2024</v>
      </c>
      <c r="W1114" s="4" t="s">
        <v>95</v>
      </c>
    </row>
    <row r="1115" spans="1:23" s="9" customFormat="1" ht="15.75" hidden="1" customHeight="1" x14ac:dyDescent="0.25">
      <c r="A1115" s="10" t="s">
        <v>3403</v>
      </c>
      <c r="B1115" s="10" t="s">
        <v>3404</v>
      </c>
      <c r="C1115" s="10" t="s">
        <v>3405</v>
      </c>
      <c r="D1115" s="21" t="s">
        <v>6089</v>
      </c>
      <c r="E1115" s="10" t="s">
        <v>87</v>
      </c>
      <c r="F1115" s="21" t="s">
        <v>6092</v>
      </c>
      <c r="G1115" s="10" t="s">
        <v>28</v>
      </c>
      <c r="H1115" s="10" t="s">
        <v>58</v>
      </c>
      <c r="I1115" s="11">
        <v>45508</v>
      </c>
      <c r="J1115" s="10" t="s">
        <v>40</v>
      </c>
      <c r="K1115" s="11">
        <v>45642</v>
      </c>
      <c r="L1115" s="10" t="s">
        <v>59</v>
      </c>
      <c r="M1115" s="12">
        <v>25975</v>
      </c>
      <c r="N1115" s="12">
        <v>1237</v>
      </c>
      <c r="O1115" s="10">
        <v>32</v>
      </c>
      <c r="P1115" s="11">
        <v>45674</v>
      </c>
      <c r="Q1115" s="10" t="s">
        <v>33</v>
      </c>
      <c r="R1115" s="10" t="s">
        <v>33</v>
      </c>
      <c r="S1115" s="10" t="s">
        <v>41</v>
      </c>
      <c r="T1115" s="13">
        <v>20.9984</v>
      </c>
      <c r="U1115" s="14">
        <v>134</v>
      </c>
      <c r="V1115" s="14">
        <v>2024</v>
      </c>
      <c r="W1115" s="10" t="s">
        <v>89</v>
      </c>
    </row>
    <row r="1116" spans="1:23" s="9" customFormat="1" ht="15.75" hidden="1" customHeight="1" x14ac:dyDescent="0.25">
      <c r="A1116" s="4" t="s">
        <v>3406</v>
      </c>
      <c r="B1116" s="4" t="s">
        <v>3407</v>
      </c>
      <c r="C1116" s="4" t="s">
        <v>3408</v>
      </c>
      <c r="D1116" s="21" t="s">
        <v>6089</v>
      </c>
      <c r="E1116" s="4" t="s">
        <v>87</v>
      </c>
      <c r="F1116" s="21" t="s">
        <v>6092</v>
      </c>
      <c r="G1116" s="4" t="s">
        <v>5</v>
      </c>
      <c r="H1116" s="4" t="s">
        <v>29</v>
      </c>
      <c r="I1116" s="5">
        <v>45375</v>
      </c>
      <c r="J1116" s="4" t="s">
        <v>30</v>
      </c>
      <c r="K1116" s="5">
        <v>45634</v>
      </c>
      <c r="L1116" s="4" t="s">
        <v>66</v>
      </c>
      <c r="M1116" s="6">
        <v>57991</v>
      </c>
      <c r="N1116" s="6">
        <v>5130</v>
      </c>
      <c r="O1116" s="4" t="s">
        <v>32</v>
      </c>
      <c r="P1116" s="4" t="s">
        <v>32</v>
      </c>
      <c r="Q1116" s="4" t="s">
        <v>94</v>
      </c>
      <c r="R1116" s="4" t="s">
        <v>33</v>
      </c>
      <c r="S1116" s="4" t="s">
        <v>34</v>
      </c>
      <c r="T1116" s="7">
        <v>11.3043</v>
      </c>
      <c r="U1116" s="8">
        <v>259</v>
      </c>
      <c r="V1116" s="8">
        <v>2024</v>
      </c>
      <c r="W1116" s="4" t="s">
        <v>89</v>
      </c>
    </row>
    <row r="1117" spans="1:23" s="9" customFormat="1" ht="15.75" hidden="1" customHeight="1" x14ac:dyDescent="0.25">
      <c r="A1117" s="10" t="s">
        <v>3409</v>
      </c>
      <c r="B1117" s="10" t="s">
        <v>3410</v>
      </c>
      <c r="C1117" s="10" t="s">
        <v>3411</v>
      </c>
      <c r="D1117" s="22" t="s">
        <v>6087</v>
      </c>
      <c r="E1117" s="10" t="s">
        <v>26</v>
      </c>
      <c r="F1117" s="10" t="s">
        <v>65</v>
      </c>
      <c r="G1117" s="10" t="s">
        <v>57</v>
      </c>
      <c r="H1117" s="10" t="s">
        <v>93</v>
      </c>
      <c r="I1117" s="11">
        <v>45490</v>
      </c>
      <c r="J1117" s="10" t="s">
        <v>40</v>
      </c>
      <c r="K1117" s="11">
        <v>45593</v>
      </c>
      <c r="L1117" s="10" t="s">
        <v>59</v>
      </c>
      <c r="M1117" s="12">
        <v>5575</v>
      </c>
      <c r="N1117" s="12">
        <v>3866</v>
      </c>
      <c r="O1117" s="10">
        <v>5</v>
      </c>
      <c r="P1117" s="11">
        <v>45598</v>
      </c>
      <c r="Q1117" s="10" t="s">
        <v>33</v>
      </c>
      <c r="R1117" s="10" t="s">
        <v>33</v>
      </c>
      <c r="S1117" s="10" t="s">
        <v>60</v>
      </c>
      <c r="T1117" s="13">
        <v>1.4420999999999999</v>
      </c>
      <c r="U1117" s="14">
        <v>103</v>
      </c>
      <c r="V1117" s="14">
        <v>2024</v>
      </c>
      <c r="W1117" s="10" t="s">
        <v>95</v>
      </c>
    </row>
    <row r="1118" spans="1:23" s="9" customFormat="1" ht="15.75" hidden="1" customHeight="1" x14ac:dyDescent="0.25">
      <c r="A1118" s="4" t="s">
        <v>3412</v>
      </c>
      <c r="B1118" s="4" t="s">
        <v>3413</v>
      </c>
      <c r="C1118" s="4" t="s">
        <v>3414</v>
      </c>
      <c r="D1118" s="22" t="s">
        <v>6090</v>
      </c>
      <c r="E1118" s="4" t="s">
        <v>51</v>
      </c>
      <c r="F1118" s="4" t="s">
        <v>71</v>
      </c>
      <c r="G1118" s="4" t="s">
        <v>28</v>
      </c>
      <c r="H1118" s="4" t="s">
        <v>118</v>
      </c>
      <c r="I1118" s="5">
        <v>45278</v>
      </c>
      <c r="J1118" s="4" t="s">
        <v>30</v>
      </c>
      <c r="K1118" s="5">
        <v>45552</v>
      </c>
      <c r="L1118" s="4" t="s">
        <v>59</v>
      </c>
      <c r="M1118" s="6">
        <v>48550</v>
      </c>
      <c r="N1118" s="6">
        <v>1512</v>
      </c>
      <c r="O1118" s="4">
        <v>33</v>
      </c>
      <c r="P1118" s="5">
        <v>45585</v>
      </c>
      <c r="Q1118" s="4" t="s">
        <v>33</v>
      </c>
      <c r="R1118" s="4" t="s">
        <v>33</v>
      </c>
      <c r="S1118" s="4" t="s">
        <v>60</v>
      </c>
      <c r="T1118" s="7">
        <v>32.1098</v>
      </c>
      <c r="U1118" s="8">
        <v>274</v>
      </c>
      <c r="V1118" s="8">
        <v>2024</v>
      </c>
      <c r="W1118" s="4" t="s">
        <v>168</v>
      </c>
    </row>
    <row r="1119" spans="1:23" s="9" customFormat="1" ht="15.75" hidden="1" customHeight="1" x14ac:dyDescent="0.25">
      <c r="A1119" s="10" t="s">
        <v>3415</v>
      </c>
      <c r="B1119" s="10" t="s">
        <v>3416</v>
      </c>
      <c r="C1119" s="10" t="s">
        <v>3417</v>
      </c>
      <c r="D1119" s="22" t="s">
        <v>6087</v>
      </c>
      <c r="E1119" s="10" t="s">
        <v>87</v>
      </c>
      <c r="F1119" s="10" t="s">
        <v>65</v>
      </c>
      <c r="G1119" s="10" t="s">
        <v>57</v>
      </c>
      <c r="H1119" s="10" t="s">
        <v>39</v>
      </c>
      <c r="I1119" s="11">
        <v>45320</v>
      </c>
      <c r="J1119" s="10" t="s">
        <v>40</v>
      </c>
      <c r="K1119" s="11">
        <v>45476</v>
      </c>
      <c r="L1119" s="10" t="s">
        <v>66</v>
      </c>
      <c r="M1119" s="12">
        <v>6616</v>
      </c>
      <c r="N1119" s="12">
        <v>2813</v>
      </c>
      <c r="O1119" s="10" t="s">
        <v>32</v>
      </c>
      <c r="P1119" s="10" t="s">
        <v>32</v>
      </c>
      <c r="Q1119" s="10" t="s">
        <v>33</v>
      </c>
      <c r="R1119" s="10" t="s">
        <v>33</v>
      </c>
      <c r="S1119" s="10" t="s">
        <v>60</v>
      </c>
      <c r="T1119" s="13">
        <v>2.3519000000000001</v>
      </c>
      <c r="U1119" s="14">
        <v>156</v>
      </c>
      <c r="V1119" s="14">
        <v>2024</v>
      </c>
      <c r="W1119" s="10" t="s">
        <v>42</v>
      </c>
    </row>
    <row r="1120" spans="1:23" s="9" customFormat="1" ht="15.75" hidden="1" customHeight="1" x14ac:dyDescent="0.25">
      <c r="A1120" s="4" t="s">
        <v>3418</v>
      </c>
      <c r="B1120" s="4" t="s">
        <v>3419</v>
      </c>
      <c r="C1120" s="4" t="s">
        <v>3420</v>
      </c>
      <c r="D1120" s="22" t="s">
        <v>6087</v>
      </c>
      <c r="E1120" s="4" t="s">
        <v>26</v>
      </c>
      <c r="F1120" s="4" t="s">
        <v>65</v>
      </c>
      <c r="G1120" s="4" t="s">
        <v>5</v>
      </c>
      <c r="H1120" s="4" t="s">
        <v>118</v>
      </c>
      <c r="I1120" s="5">
        <v>45414</v>
      </c>
      <c r="J1120" s="4" t="s">
        <v>30</v>
      </c>
      <c r="K1120" s="5">
        <v>45656</v>
      </c>
      <c r="L1120" s="4" t="s">
        <v>59</v>
      </c>
      <c r="M1120" s="6">
        <v>29007</v>
      </c>
      <c r="N1120" s="6">
        <v>2637</v>
      </c>
      <c r="O1120" s="4">
        <v>40</v>
      </c>
      <c r="P1120" s="5">
        <v>45696</v>
      </c>
      <c r="Q1120" s="4" t="s">
        <v>94</v>
      </c>
      <c r="R1120" s="4" t="s">
        <v>33</v>
      </c>
      <c r="S1120" s="4" t="s">
        <v>60</v>
      </c>
      <c r="T1120" s="7">
        <v>11</v>
      </c>
      <c r="U1120" s="8">
        <v>242</v>
      </c>
      <c r="V1120" s="8">
        <v>2024</v>
      </c>
      <c r="W1120" s="4" t="s">
        <v>89</v>
      </c>
    </row>
    <row r="1121" spans="1:23" s="9" customFormat="1" ht="15.75" hidden="1" customHeight="1" x14ac:dyDescent="0.25">
      <c r="A1121" s="10" t="s">
        <v>3421</v>
      </c>
      <c r="B1121" s="10" t="s">
        <v>3422</v>
      </c>
      <c r="C1121" s="10" t="s">
        <v>3423</v>
      </c>
      <c r="D1121" s="22" t="s">
        <v>6090</v>
      </c>
      <c r="E1121" s="10" t="s">
        <v>51</v>
      </c>
      <c r="F1121" s="10" t="s">
        <v>71</v>
      </c>
      <c r="G1121" s="10" t="s">
        <v>28</v>
      </c>
      <c r="H1121" s="10" t="s">
        <v>72</v>
      </c>
      <c r="I1121" s="11">
        <v>45133</v>
      </c>
      <c r="J1121" s="10" t="s">
        <v>30</v>
      </c>
      <c r="K1121" s="11">
        <v>45343</v>
      </c>
      <c r="L1121" s="10" t="s">
        <v>31</v>
      </c>
      <c r="M1121" s="12">
        <v>31101</v>
      </c>
      <c r="N1121" s="12">
        <v>2850</v>
      </c>
      <c r="O1121" s="10" t="s">
        <v>32</v>
      </c>
      <c r="P1121" s="10" t="s">
        <v>32</v>
      </c>
      <c r="Q1121" s="10" t="s">
        <v>33</v>
      </c>
      <c r="R1121" s="10" t="s">
        <v>33</v>
      </c>
      <c r="S1121" s="10" t="s">
        <v>60</v>
      </c>
      <c r="T1121" s="13">
        <v>10.912599999999999</v>
      </c>
      <c r="U1121" s="14">
        <v>210</v>
      </c>
      <c r="V1121" s="14">
        <v>2024</v>
      </c>
      <c r="W1121" s="10" t="s">
        <v>35</v>
      </c>
    </row>
    <row r="1122" spans="1:23" s="9" customFormat="1" ht="15.75" hidden="1" customHeight="1" x14ac:dyDescent="0.25">
      <c r="A1122" s="4" t="s">
        <v>3424</v>
      </c>
      <c r="B1122" s="4" t="s">
        <v>3425</v>
      </c>
      <c r="C1122" s="4" t="s">
        <v>3426</v>
      </c>
      <c r="D1122" s="21" t="s">
        <v>6086</v>
      </c>
      <c r="E1122" s="4" t="s">
        <v>87</v>
      </c>
      <c r="F1122" s="4" t="s">
        <v>46</v>
      </c>
      <c r="G1122" s="4" t="s">
        <v>5</v>
      </c>
      <c r="H1122" s="4" t="s">
        <v>118</v>
      </c>
      <c r="I1122" s="5">
        <v>45330</v>
      </c>
      <c r="J1122" s="4" t="s">
        <v>30</v>
      </c>
      <c r="K1122" s="5">
        <v>45552</v>
      </c>
      <c r="L1122" s="4" t="s">
        <v>59</v>
      </c>
      <c r="M1122" s="6">
        <v>75953</v>
      </c>
      <c r="N1122" s="6">
        <v>8447</v>
      </c>
      <c r="O1122" s="4">
        <v>7</v>
      </c>
      <c r="P1122" s="5">
        <v>45559</v>
      </c>
      <c r="Q1122" s="4" t="s">
        <v>33</v>
      </c>
      <c r="R1122" s="4" t="s">
        <v>33</v>
      </c>
      <c r="S1122" s="4" t="s">
        <v>60</v>
      </c>
      <c r="T1122" s="7">
        <v>8.9916999999999998</v>
      </c>
      <c r="U1122" s="8">
        <v>222</v>
      </c>
      <c r="V1122" s="8">
        <v>2024</v>
      </c>
      <c r="W1122" s="4" t="s">
        <v>168</v>
      </c>
    </row>
    <row r="1123" spans="1:23" s="9" customFormat="1" ht="15.75" hidden="1" customHeight="1" x14ac:dyDescent="0.25">
      <c r="A1123" s="10" t="s">
        <v>3427</v>
      </c>
      <c r="B1123" s="10" t="s">
        <v>3428</v>
      </c>
      <c r="C1123" s="10" t="s">
        <v>3429</v>
      </c>
      <c r="D1123" s="22" t="s">
        <v>6087</v>
      </c>
      <c r="E1123" s="10" t="s">
        <v>87</v>
      </c>
      <c r="F1123" s="10" t="s">
        <v>46</v>
      </c>
      <c r="G1123" s="10" t="s">
        <v>28</v>
      </c>
      <c r="H1123" s="10" t="s">
        <v>161</v>
      </c>
      <c r="I1123" s="11">
        <v>45321</v>
      </c>
      <c r="J1123" s="10" t="s">
        <v>40</v>
      </c>
      <c r="K1123" s="11">
        <v>45622</v>
      </c>
      <c r="L1123" s="10" t="s">
        <v>66</v>
      </c>
      <c r="M1123" s="12">
        <v>23713</v>
      </c>
      <c r="N1123" s="12">
        <v>8458</v>
      </c>
      <c r="O1123" s="10" t="s">
        <v>32</v>
      </c>
      <c r="P1123" s="10" t="s">
        <v>32</v>
      </c>
      <c r="Q1123" s="10" t="s">
        <v>33</v>
      </c>
      <c r="R1123" s="10" t="s">
        <v>33</v>
      </c>
      <c r="S1123" s="10" t="s">
        <v>41</v>
      </c>
      <c r="T1123" s="13">
        <v>2.8035999999999999</v>
      </c>
      <c r="U1123" s="14">
        <v>301</v>
      </c>
      <c r="V1123" s="14">
        <v>2024</v>
      </c>
      <c r="W1123" s="10" t="s">
        <v>61</v>
      </c>
    </row>
    <row r="1124" spans="1:23" s="9" customFormat="1" ht="15.75" hidden="1" customHeight="1" x14ac:dyDescent="0.25">
      <c r="A1124" s="4" t="s">
        <v>3430</v>
      </c>
      <c r="B1124" s="4" t="s">
        <v>3431</v>
      </c>
      <c r="C1124" s="4" t="s">
        <v>3432</v>
      </c>
      <c r="D1124" s="21" t="s">
        <v>6089</v>
      </c>
      <c r="E1124" s="4" t="s">
        <v>51</v>
      </c>
      <c r="F1124" s="4" t="s">
        <v>71</v>
      </c>
      <c r="G1124" s="4" t="s">
        <v>28</v>
      </c>
      <c r="H1124" s="4" t="s">
        <v>118</v>
      </c>
      <c r="I1124" s="5">
        <v>45224</v>
      </c>
      <c r="J1124" s="4" t="s">
        <v>30</v>
      </c>
      <c r="K1124" s="5">
        <v>45550</v>
      </c>
      <c r="L1124" s="4" t="s">
        <v>66</v>
      </c>
      <c r="M1124" s="6">
        <v>65244</v>
      </c>
      <c r="N1124" s="6">
        <v>1991</v>
      </c>
      <c r="O1124" s="4" t="s">
        <v>32</v>
      </c>
      <c r="P1124" s="4" t="s">
        <v>32</v>
      </c>
      <c r="Q1124" s="4" t="s">
        <v>33</v>
      </c>
      <c r="R1124" s="4" t="s">
        <v>33</v>
      </c>
      <c r="S1124" s="4" t="s">
        <v>41</v>
      </c>
      <c r="T1124" s="7">
        <v>32.769500000000001</v>
      </c>
      <c r="U1124" s="8">
        <v>326</v>
      </c>
      <c r="V1124" s="8">
        <v>2024</v>
      </c>
      <c r="W1124" s="4" t="s">
        <v>168</v>
      </c>
    </row>
    <row r="1125" spans="1:23" s="9" customFormat="1" ht="15.75" hidden="1" customHeight="1" x14ac:dyDescent="0.25">
      <c r="A1125" s="10" t="s">
        <v>3433</v>
      </c>
      <c r="B1125" s="10" t="s">
        <v>3434</v>
      </c>
      <c r="C1125" s="10" t="s">
        <v>3435</v>
      </c>
      <c r="D1125" s="21" t="s">
        <v>6089</v>
      </c>
      <c r="E1125" s="10" t="s">
        <v>26</v>
      </c>
      <c r="F1125" s="10" t="s">
        <v>71</v>
      </c>
      <c r="G1125" s="10" t="s">
        <v>28</v>
      </c>
      <c r="H1125" s="10" t="s">
        <v>39</v>
      </c>
      <c r="I1125" s="11">
        <v>45294</v>
      </c>
      <c r="J1125" s="10" t="s">
        <v>30</v>
      </c>
      <c r="K1125" s="11">
        <v>45562</v>
      </c>
      <c r="L1125" s="10" t="s">
        <v>59</v>
      </c>
      <c r="M1125" s="12">
        <v>50200</v>
      </c>
      <c r="N1125" s="12">
        <v>7362</v>
      </c>
      <c r="O1125" s="10">
        <v>8</v>
      </c>
      <c r="P1125" s="11">
        <v>45570</v>
      </c>
      <c r="Q1125" s="10" t="s">
        <v>33</v>
      </c>
      <c r="R1125" s="10" t="s">
        <v>33</v>
      </c>
      <c r="S1125" s="10" t="s">
        <v>34</v>
      </c>
      <c r="T1125" s="13">
        <v>6.8188000000000004</v>
      </c>
      <c r="U1125" s="14">
        <v>268</v>
      </c>
      <c r="V1125" s="14">
        <v>2024</v>
      </c>
      <c r="W1125" s="10" t="s">
        <v>168</v>
      </c>
    </row>
    <row r="1126" spans="1:23" s="9" customFormat="1" ht="15.75" hidden="1" customHeight="1" x14ac:dyDescent="0.25">
      <c r="A1126" s="4" t="s">
        <v>3436</v>
      </c>
      <c r="B1126" s="4" t="s">
        <v>3437</v>
      </c>
      <c r="C1126" s="4" t="s">
        <v>3438</v>
      </c>
      <c r="D1126" s="22" t="s">
        <v>6090</v>
      </c>
      <c r="E1126" s="4" t="s">
        <v>26</v>
      </c>
      <c r="F1126" s="4" t="s">
        <v>65</v>
      </c>
      <c r="G1126" s="4" t="s">
        <v>28</v>
      </c>
      <c r="H1126" s="4" t="s">
        <v>88</v>
      </c>
      <c r="I1126" s="5">
        <v>45205</v>
      </c>
      <c r="J1126" s="4" t="s">
        <v>40</v>
      </c>
      <c r="K1126" s="5">
        <v>45444</v>
      </c>
      <c r="L1126" s="4" t="s">
        <v>59</v>
      </c>
      <c r="M1126" s="6">
        <v>8001</v>
      </c>
      <c r="N1126" s="6">
        <v>7772</v>
      </c>
      <c r="O1126" s="4">
        <v>22</v>
      </c>
      <c r="P1126" s="5">
        <v>45466</v>
      </c>
      <c r="Q1126" s="4" t="s">
        <v>33</v>
      </c>
      <c r="R1126" s="4" t="s">
        <v>33</v>
      </c>
      <c r="S1126" s="4" t="s">
        <v>41</v>
      </c>
      <c r="T1126" s="7">
        <v>1.0295000000000001</v>
      </c>
      <c r="U1126" s="8">
        <v>239</v>
      </c>
      <c r="V1126" s="8">
        <v>2024</v>
      </c>
      <c r="W1126" s="4" t="s">
        <v>67</v>
      </c>
    </row>
    <row r="1127" spans="1:23" s="9" customFormat="1" ht="15.75" hidden="1" customHeight="1" x14ac:dyDescent="0.25">
      <c r="A1127" s="10" t="s">
        <v>3439</v>
      </c>
      <c r="B1127" s="10" t="s">
        <v>3440</v>
      </c>
      <c r="C1127" s="10" t="s">
        <v>3441</v>
      </c>
      <c r="D1127" s="22" t="s">
        <v>6087</v>
      </c>
      <c r="E1127" s="10" t="s">
        <v>87</v>
      </c>
      <c r="F1127" s="10" t="s">
        <v>46</v>
      </c>
      <c r="G1127" s="10" t="s">
        <v>57</v>
      </c>
      <c r="H1127" s="10" t="s">
        <v>58</v>
      </c>
      <c r="I1127" s="11">
        <v>45052</v>
      </c>
      <c r="J1127" s="10" t="s">
        <v>30</v>
      </c>
      <c r="K1127" s="11">
        <v>45361</v>
      </c>
      <c r="L1127" s="10" t="s">
        <v>59</v>
      </c>
      <c r="M1127" s="12">
        <v>4826</v>
      </c>
      <c r="N1127" s="12">
        <v>3492</v>
      </c>
      <c r="O1127" s="10">
        <v>25</v>
      </c>
      <c r="P1127" s="11">
        <v>45386</v>
      </c>
      <c r="Q1127" s="10" t="s">
        <v>33</v>
      </c>
      <c r="R1127" s="10" t="s">
        <v>33</v>
      </c>
      <c r="S1127" s="10" t="s">
        <v>34</v>
      </c>
      <c r="T1127" s="13">
        <v>1.3819999999999999</v>
      </c>
      <c r="U1127" s="14">
        <v>309</v>
      </c>
      <c r="V1127" s="14">
        <v>2024</v>
      </c>
      <c r="W1127" s="10" t="s">
        <v>77</v>
      </c>
    </row>
    <row r="1128" spans="1:23" s="9" customFormat="1" ht="15.75" hidden="1" customHeight="1" x14ac:dyDescent="0.25">
      <c r="A1128" s="4" t="s">
        <v>3442</v>
      </c>
      <c r="B1128" s="4" t="s">
        <v>3443</v>
      </c>
      <c r="C1128" s="4" t="s">
        <v>3444</v>
      </c>
      <c r="D1128" s="21" t="s">
        <v>6086</v>
      </c>
      <c r="E1128" s="4" t="s">
        <v>51</v>
      </c>
      <c r="F1128" s="4" t="s">
        <v>71</v>
      </c>
      <c r="G1128" s="4" t="s">
        <v>57</v>
      </c>
      <c r="H1128" s="4" t="s">
        <v>88</v>
      </c>
      <c r="I1128" s="5">
        <v>45124</v>
      </c>
      <c r="J1128" s="4" t="s">
        <v>30</v>
      </c>
      <c r="K1128" s="5">
        <v>45352</v>
      </c>
      <c r="L1128" s="4" t="s">
        <v>31</v>
      </c>
      <c r="M1128" s="6">
        <v>56837</v>
      </c>
      <c r="N1128" s="6">
        <v>5096</v>
      </c>
      <c r="O1128" s="4" t="s">
        <v>32</v>
      </c>
      <c r="P1128" s="4" t="s">
        <v>32</v>
      </c>
      <c r="Q1128" s="4" t="s">
        <v>33</v>
      </c>
      <c r="R1128" s="4" t="s">
        <v>33</v>
      </c>
      <c r="S1128" s="4" t="s">
        <v>41</v>
      </c>
      <c r="T1128" s="7">
        <v>11.1533</v>
      </c>
      <c r="U1128" s="8">
        <v>228</v>
      </c>
      <c r="V1128" s="8">
        <v>2024</v>
      </c>
      <c r="W1128" s="4" t="s">
        <v>77</v>
      </c>
    </row>
    <row r="1129" spans="1:23" s="9" customFormat="1" ht="15.75" hidden="1" customHeight="1" x14ac:dyDescent="0.25">
      <c r="A1129" s="10" t="s">
        <v>3445</v>
      </c>
      <c r="B1129" s="10" t="s">
        <v>3446</v>
      </c>
      <c r="C1129" s="10" t="s">
        <v>3447</v>
      </c>
      <c r="D1129" s="22" t="s">
        <v>6087</v>
      </c>
      <c r="E1129" s="10" t="s">
        <v>26</v>
      </c>
      <c r="F1129" s="10" t="s">
        <v>71</v>
      </c>
      <c r="G1129" s="10" t="s">
        <v>5</v>
      </c>
      <c r="H1129" s="10" t="s">
        <v>72</v>
      </c>
      <c r="I1129" s="11">
        <v>45174</v>
      </c>
      <c r="J1129" s="10" t="s">
        <v>30</v>
      </c>
      <c r="K1129" s="11">
        <v>45526</v>
      </c>
      <c r="L1129" s="10" t="s">
        <v>59</v>
      </c>
      <c r="M1129" s="12">
        <v>25984</v>
      </c>
      <c r="N1129" s="12">
        <v>6304</v>
      </c>
      <c r="O1129" s="10">
        <v>40</v>
      </c>
      <c r="P1129" s="11">
        <v>45566</v>
      </c>
      <c r="Q1129" s="10" t="s">
        <v>33</v>
      </c>
      <c r="R1129" s="10" t="s">
        <v>33</v>
      </c>
      <c r="S1129" s="10" t="s">
        <v>34</v>
      </c>
      <c r="T1129" s="13">
        <v>4.1218000000000004</v>
      </c>
      <c r="U1129" s="14">
        <v>352</v>
      </c>
      <c r="V1129" s="14">
        <v>2024</v>
      </c>
      <c r="W1129" s="10" t="s">
        <v>114</v>
      </c>
    </row>
    <row r="1130" spans="1:23" s="9" customFormat="1" ht="15.75" hidden="1" customHeight="1" x14ac:dyDescent="0.25">
      <c r="A1130" s="4" t="s">
        <v>3448</v>
      </c>
      <c r="B1130" s="4" t="s">
        <v>3449</v>
      </c>
      <c r="C1130" s="4" t="s">
        <v>3450</v>
      </c>
      <c r="D1130" s="22" t="s">
        <v>6087</v>
      </c>
      <c r="E1130" s="4" t="s">
        <v>87</v>
      </c>
      <c r="F1130" s="4" t="s">
        <v>71</v>
      </c>
      <c r="G1130" s="4" t="s">
        <v>28</v>
      </c>
      <c r="H1130" s="4" t="s">
        <v>58</v>
      </c>
      <c r="I1130" s="5">
        <v>45418</v>
      </c>
      <c r="J1130" s="4" t="s">
        <v>30</v>
      </c>
      <c r="K1130" s="5">
        <v>45594</v>
      </c>
      <c r="L1130" s="4" t="s">
        <v>66</v>
      </c>
      <c r="M1130" s="6">
        <v>37857</v>
      </c>
      <c r="N1130" s="6">
        <v>7307</v>
      </c>
      <c r="O1130" s="4" t="s">
        <v>32</v>
      </c>
      <c r="P1130" s="4" t="s">
        <v>32</v>
      </c>
      <c r="Q1130" s="4" t="s">
        <v>33</v>
      </c>
      <c r="R1130" s="4" t="s">
        <v>33</v>
      </c>
      <c r="S1130" s="4" t="s">
        <v>41</v>
      </c>
      <c r="T1130" s="7">
        <v>5.1809000000000003</v>
      </c>
      <c r="U1130" s="8">
        <v>176</v>
      </c>
      <c r="V1130" s="8">
        <v>2024</v>
      </c>
      <c r="W1130" s="4" t="s">
        <v>95</v>
      </c>
    </row>
    <row r="1131" spans="1:23" s="9" customFormat="1" ht="15.75" hidden="1" customHeight="1" x14ac:dyDescent="0.25">
      <c r="A1131" s="10" t="s">
        <v>3451</v>
      </c>
      <c r="B1131" s="10" t="s">
        <v>3452</v>
      </c>
      <c r="C1131" s="10" t="s">
        <v>3453</v>
      </c>
      <c r="D1131" s="21" t="s">
        <v>6088</v>
      </c>
      <c r="E1131" s="10" t="s">
        <v>87</v>
      </c>
      <c r="F1131" s="21" t="s">
        <v>6092</v>
      </c>
      <c r="G1131" s="10" t="s">
        <v>5</v>
      </c>
      <c r="H1131" s="10" t="s">
        <v>29</v>
      </c>
      <c r="I1131" s="11">
        <v>44967</v>
      </c>
      <c r="J1131" s="10" t="s">
        <v>30</v>
      </c>
      <c r="K1131" s="11">
        <v>45304</v>
      </c>
      <c r="L1131" s="10" t="s">
        <v>66</v>
      </c>
      <c r="M1131" s="12">
        <v>16097</v>
      </c>
      <c r="N1131" s="12">
        <v>4871</v>
      </c>
      <c r="O1131" s="10" t="s">
        <v>32</v>
      </c>
      <c r="P1131" s="10" t="s">
        <v>32</v>
      </c>
      <c r="Q1131" s="10" t="s">
        <v>33</v>
      </c>
      <c r="R1131" s="10" t="s">
        <v>33</v>
      </c>
      <c r="S1131" s="10" t="s">
        <v>41</v>
      </c>
      <c r="T1131" s="13">
        <v>3.3047</v>
      </c>
      <c r="U1131" s="14">
        <v>337</v>
      </c>
      <c r="V1131" s="14">
        <v>2024</v>
      </c>
      <c r="W1131" s="10" t="s">
        <v>73</v>
      </c>
    </row>
    <row r="1132" spans="1:23" s="9" customFormat="1" ht="15.75" hidden="1" customHeight="1" x14ac:dyDescent="0.25">
      <c r="A1132" s="4" t="s">
        <v>3454</v>
      </c>
      <c r="B1132" s="4" t="s">
        <v>3455</v>
      </c>
      <c r="C1132" s="4" t="s">
        <v>3456</v>
      </c>
      <c r="D1132" s="22" t="s">
        <v>6090</v>
      </c>
      <c r="E1132" s="4" t="s">
        <v>87</v>
      </c>
      <c r="F1132" s="21" t="s">
        <v>6092</v>
      </c>
      <c r="G1132" s="4" t="s">
        <v>28</v>
      </c>
      <c r="H1132" s="4" t="s">
        <v>72</v>
      </c>
      <c r="I1132" s="5">
        <v>45277</v>
      </c>
      <c r="J1132" s="4" t="s">
        <v>30</v>
      </c>
      <c r="K1132" s="5">
        <v>45334</v>
      </c>
      <c r="L1132" s="4" t="s">
        <v>59</v>
      </c>
      <c r="M1132" s="6">
        <v>35094</v>
      </c>
      <c r="N1132" s="6">
        <v>4393</v>
      </c>
      <c r="O1132" s="4">
        <v>42</v>
      </c>
      <c r="P1132" s="5">
        <v>45376</v>
      </c>
      <c r="Q1132" s="4" t="s">
        <v>33</v>
      </c>
      <c r="R1132" s="4" t="s">
        <v>33</v>
      </c>
      <c r="S1132" s="4" t="s">
        <v>34</v>
      </c>
      <c r="T1132" s="7">
        <v>7.9885999999999999</v>
      </c>
      <c r="U1132" s="8">
        <v>57</v>
      </c>
      <c r="V1132" s="8">
        <v>2024</v>
      </c>
      <c r="W1132" s="4" t="s">
        <v>35</v>
      </c>
    </row>
    <row r="1133" spans="1:23" s="9" customFormat="1" ht="15.75" hidden="1" customHeight="1" x14ac:dyDescent="0.25">
      <c r="A1133" s="10" t="s">
        <v>3457</v>
      </c>
      <c r="B1133" s="10" t="s">
        <v>3458</v>
      </c>
      <c r="C1133" s="10" t="s">
        <v>3459</v>
      </c>
      <c r="D1133" s="21" t="s">
        <v>6088</v>
      </c>
      <c r="E1133" s="10" t="s">
        <v>26</v>
      </c>
      <c r="F1133" s="10" t="s">
        <v>27</v>
      </c>
      <c r="G1133" s="10" t="s">
        <v>5</v>
      </c>
      <c r="H1133" s="10" t="s">
        <v>161</v>
      </c>
      <c r="I1133" s="11">
        <v>45164</v>
      </c>
      <c r="J1133" s="10" t="s">
        <v>30</v>
      </c>
      <c r="K1133" s="11">
        <v>45372</v>
      </c>
      <c r="L1133" s="10" t="s">
        <v>59</v>
      </c>
      <c r="M1133" s="12">
        <v>25673</v>
      </c>
      <c r="N1133" s="12">
        <v>3419</v>
      </c>
      <c r="O1133" s="10">
        <v>16</v>
      </c>
      <c r="P1133" s="11">
        <v>45388</v>
      </c>
      <c r="Q1133" s="10" t="s">
        <v>33</v>
      </c>
      <c r="R1133" s="10" t="s">
        <v>33</v>
      </c>
      <c r="S1133" s="10" t="s">
        <v>41</v>
      </c>
      <c r="T1133" s="13">
        <v>7.5088999999999997</v>
      </c>
      <c r="U1133" s="14">
        <v>208</v>
      </c>
      <c r="V1133" s="14">
        <v>2024</v>
      </c>
      <c r="W1133" s="10" t="s">
        <v>77</v>
      </c>
    </row>
    <row r="1134" spans="1:23" s="9" customFormat="1" ht="15.75" hidden="1" customHeight="1" x14ac:dyDescent="0.25">
      <c r="A1134" s="4" t="s">
        <v>3460</v>
      </c>
      <c r="B1134" s="4" t="s">
        <v>3461</v>
      </c>
      <c r="C1134" s="4" t="s">
        <v>3462</v>
      </c>
      <c r="D1134" s="21" t="s">
        <v>6091</v>
      </c>
      <c r="E1134" s="4" t="s">
        <v>51</v>
      </c>
      <c r="F1134" s="4" t="s">
        <v>65</v>
      </c>
      <c r="G1134" s="4" t="s">
        <v>28</v>
      </c>
      <c r="H1134" s="4" t="s">
        <v>118</v>
      </c>
      <c r="I1134" s="5">
        <v>45153</v>
      </c>
      <c r="J1134" s="4" t="s">
        <v>40</v>
      </c>
      <c r="K1134" s="5">
        <v>45303</v>
      </c>
      <c r="L1134" s="4" t="s">
        <v>31</v>
      </c>
      <c r="M1134" s="6">
        <v>18611</v>
      </c>
      <c r="N1134" s="6">
        <v>6442</v>
      </c>
      <c r="O1134" s="4" t="s">
        <v>32</v>
      </c>
      <c r="P1134" s="4" t="s">
        <v>32</v>
      </c>
      <c r="Q1134" s="4" t="s">
        <v>33</v>
      </c>
      <c r="R1134" s="4" t="s">
        <v>33</v>
      </c>
      <c r="S1134" s="4" t="s">
        <v>60</v>
      </c>
      <c r="T1134" s="7">
        <v>2.8889999999999998</v>
      </c>
      <c r="U1134" s="8">
        <v>150</v>
      </c>
      <c r="V1134" s="8">
        <v>2024</v>
      </c>
      <c r="W1134" s="4" t="s">
        <v>73</v>
      </c>
    </row>
    <row r="1135" spans="1:23" s="9" customFormat="1" ht="15.75" hidden="1" customHeight="1" x14ac:dyDescent="0.25">
      <c r="A1135" s="10" t="s">
        <v>3463</v>
      </c>
      <c r="B1135" s="10" t="s">
        <v>3464</v>
      </c>
      <c r="C1135" s="10" t="s">
        <v>3465</v>
      </c>
      <c r="D1135" s="22" t="s">
        <v>6090</v>
      </c>
      <c r="E1135" s="10" t="s">
        <v>26</v>
      </c>
      <c r="F1135" s="10" t="s">
        <v>27</v>
      </c>
      <c r="G1135" s="10" t="s">
        <v>57</v>
      </c>
      <c r="H1135" s="10" t="s">
        <v>88</v>
      </c>
      <c r="I1135" s="11">
        <v>45460</v>
      </c>
      <c r="J1135" s="10" t="s">
        <v>40</v>
      </c>
      <c r="K1135" s="11">
        <v>45544</v>
      </c>
      <c r="L1135" s="10" t="s">
        <v>66</v>
      </c>
      <c r="M1135" s="12">
        <v>15352</v>
      </c>
      <c r="N1135" s="12">
        <v>7996</v>
      </c>
      <c r="O1135" s="10" t="s">
        <v>32</v>
      </c>
      <c r="P1135" s="10" t="s">
        <v>32</v>
      </c>
      <c r="Q1135" s="10" t="s">
        <v>33</v>
      </c>
      <c r="R1135" s="10" t="s">
        <v>33</v>
      </c>
      <c r="S1135" s="10" t="s">
        <v>60</v>
      </c>
      <c r="T1135" s="13">
        <v>1.92</v>
      </c>
      <c r="U1135" s="14">
        <v>84</v>
      </c>
      <c r="V1135" s="14">
        <v>2024</v>
      </c>
      <c r="W1135" s="10" t="s">
        <v>168</v>
      </c>
    </row>
    <row r="1136" spans="1:23" s="9" customFormat="1" ht="15.75" hidden="1" customHeight="1" x14ac:dyDescent="0.25">
      <c r="A1136" s="4" t="s">
        <v>3466</v>
      </c>
      <c r="B1136" s="4" t="s">
        <v>3467</v>
      </c>
      <c r="C1136" s="4" t="s">
        <v>3468</v>
      </c>
      <c r="D1136" s="21" t="s">
        <v>6088</v>
      </c>
      <c r="E1136" s="4" t="s">
        <v>51</v>
      </c>
      <c r="F1136" s="4" t="s">
        <v>56</v>
      </c>
      <c r="G1136" s="4" t="s">
        <v>28</v>
      </c>
      <c r="H1136" s="4" t="s">
        <v>88</v>
      </c>
      <c r="I1136" s="5">
        <v>45180</v>
      </c>
      <c r="J1136" s="4" t="s">
        <v>40</v>
      </c>
      <c r="K1136" s="5">
        <v>45522</v>
      </c>
      <c r="L1136" s="4" t="s">
        <v>59</v>
      </c>
      <c r="M1136" s="6">
        <v>69893</v>
      </c>
      <c r="N1136" s="6">
        <v>5387</v>
      </c>
      <c r="O1136" s="4">
        <v>18</v>
      </c>
      <c r="P1136" s="5">
        <v>45540</v>
      </c>
      <c r="Q1136" s="4" t="s">
        <v>33</v>
      </c>
      <c r="R1136" s="4" t="s">
        <v>33</v>
      </c>
      <c r="S1136" s="4" t="s">
        <v>34</v>
      </c>
      <c r="T1136" s="7">
        <v>12.974399999999999</v>
      </c>
      <c r="U1136" s="8">
        <v>342</v>
      </c>
      <c r="V1136" s="8">
        <v>2024</v>
      </c>
      <c r="W1136" s="4" t="s">
        <v>114</v>
      </c>
    </row>
    <row r="1137" spans="1:23" s="9" customFormat="1" ht="15.75" hidden="1" customHeight="1" x14ac:dyDescent="0.25">
      <c r="A1137" s="10" t="s">
        <v>3469</v>
      </c>
      <c r="B1137" s="10" t="s">
        <v>3470</v>
      </c>
      <c r="C1137" s="10" t="s">
        <v>3471</v>
      </c>
      <c r="D1137" s="22" t="s">
        <v>6087</v>
      </c>
      <c r="E1137" s="10" t="s">
        <v>51</v>
      </c>
      <c r="F1137" s="21" t="s">
        <v>6092</v>
      </c>
      <c r="G1137" s="10" t="s">
        <v>5</v>
      </c>
      <c r="H1137" s="10" t="s">
        <v>118</v>
      </c>
      <c r="I1137" s="11">
        <v>45388</v>
      </c>
      <c r="J1137" s="10" t="s">
        <v>30</v>
      </c>
      <c r="K1137" s="11">
        <v>45421</v>
      </c>
      <c r="L1137" s="10" t="s">
        <v>31</v>
      </c>
      <c r="M1137" s="12">
        <v>9833</v>
      </c>
      <c r="N1137" s="12">
        <v>7826</v>
      </c>
      <c r="O1137" s="10" t="s">
        <v>32</v>
      </c>
      <c r="P1137" s="10" t="s">
        <v>32</v>
      </c>
      <c r="Q1137" s="10" t="s">
        <v>94</v>
      </c>
      <c r="R1137" s="10" t="s">
        <v>33</v>
      </c>
      <c r="S1137" s="10" t="s">
        <v>41</v>
      </c>
      <c r="T1137" s="13">
        <v>1.2565</v>
      </c>
      <c r="U1137" s="14">
        <v>33</v>
      </c>
      <c r="V1137" s="14">
        <v>2024</v>
      </c>
      <c r="W1137" s="10" t="s">
        <v>52</v>
      </c>
    </row>
    <row r="1138" spans="1:23" s="9" customFormat="1" ht="15.75" hidden="1" customHeight="1" x14ac:dyDescent="0.25">
      <c r="A1138" s="4" t="s">
        <v>3472</v>
      </c>
      <c r="B1138" s="4" t="s">
        <v>3473</v>
      </c>
      <c r="C1138" s="4" t="s">
        <v>3474</v>
      </c>
      <c r="D1138" s="21" t="s">
        <v>6086</v>
      </c>
      <c r="E1138" s="4" t="s">
        <v>51</v>
      </c>
      <c r="F1138" s="4" t="s">
        <v>56</v>
      </c>
      <c r="G1138" s="4" t="s">
        <v>28</v>
      </c>
      <c r="H1138" s="4" t="s">
        <v>39</v>
      </c>
      <c r="I1138" s="5">
        <v>45377</v>
      </c>
      <c r="J1138" s="4" t="s">
        <v>40</v>
      </c>
      <c r="K1138" s="5">
        <v>45637</v>
      </c>
      <c r="L1138" s="4" t="s">
        <v>31</v>
      </c>
      <c r="M1138" s="6">
        <v>43235</v>
      </c>
      <c r="N1138" s="6">
        <v>4465</v>
      </c>
      <c r="O1138" s="4" t="s">
        <v>32</v>
      </c>
      <c r="P1138" s="4" t="s">
        <v>32</v>
      </c>
      <c r="Q1138" s="4" t="s">
        <v>33</v>
      </c>
      <c r="R1138" s="4" t="s">
        <v>33</v>
      </c>
      <c r="S1138" s="4" t="s">
        <v>41</v>
      </c>
      <c r="T1138" s="7">
        <v>9.6830999999999996</v>
      </c>
      <c r="U1138" s="8">
        <v>260</v>
      </c>
      <c r="V1138" s="8">
        <v>2024</v>
      </c>
      <c r="W1138" s="4" t="s">
        <v>89</v>
      </c>
    </row>
    <row r="1139" spans="1:23" s="9" customFormat="1" ht="15.75" hidden="1" customHeight="1" x14ac:dyDescent="0.25">
      <c r="A1139" s="10" t="s">
        <v>3475</v>
      </c>
      <c r="B1139" s="10" t="s">
        <v>3476</v>
      </c>
      <c r="C1139" s="10" t="s">
        <v>3477</v>
      </c>
      <c r="D1139" s="22" t="s">
        <v>6087</v>
      </c>
      <c r="E1139" s="10" t="s">
        <v>26</v>
      </c>
      <c r="F1139" s="10" t="s">
        <v>65</v>
      </c>
      <c r="G1139" s="10" t="s">
        <v>57</v>
      </c>
      <c r="H1139" s="10" t="s">
        <v>93</v>
      </c>
      <c r="I1139" s="11">
        <v>45342</v>
      </c>
      <c r="J1139" s="10" t="s">
        <v>40</v>
      </c>
      <c r="K1139" s="11">
        <v>45395</v>
      </c>
      <c r="L1139" s="10" t="s">
        <v>66</v>
      </c>
      <c r="M1139" s="12">
        <v>28878</v>
      </c>
      <c r="N1139" s="12">
        <v>6216</v>
      </c>
      <c r="O1139" s="10" t="s">
        <v>32</v>
      </c>
      <c r="P1139" s="10" t="s">
        <v>32</v>
      </c>
      <c r="Q1139" s="10" t="s">
        <v>33</v>
      </c>
      <c r="R1139" s="10" t="s">
        <v>33</v>
      </c>
      <c r="S1139" s="10" t="s">
        <v>60</v>
      </c>
      <c r="T1139" s="13">
        <v>4.6458000000000004</v>
      </c>
      <c r="U1139" s="14">
        <v>53</v>
      </c>
      <c r="V1139" s="14">
        <v>2024</v>
      </c>
      <c r="W1139" s="10" t="s">
        <v>47</v>
      </c>
    </row>
    <row r="1140" spans="1:23" s="9" customFormat="1" ht="15.75" hidden="1" customHeight="1" x14ac:dyDescent="0.25">
      <c r="A1140" s="4" t="s">
        <v>3478</v>
      </c>
      <c r="B1140" s="4" t="s">
        <v>3479</v>
      </c>
      <c r="C1140" s="4" t="s">
        <v>3480</v>
      </c>
      <c r="D1140" s="22" t="s">
        <v>6090</v>
      </c>
      <c r="E1140" s="4" t="s">
        <v>51</v>
      </c>
      <c r="F1140" s="4" t="s">
        <v>46</v>
      </c>
      <c r="G1140" s="4" t="s">
        <v>5</v>
      </c>
      <c r="H1140" s="4" t="s">
        <v>88</v>
      </c>
      <c r="I1140" s="5">
        <v>45317</v>
      </c>
      <c r="J1140" s="4" t="s">
        <v>30</v>
      </c>
      <c r="K1140" s="5">
        <v>45616</v>
      </c>
      <c r="L1140" s="4" t="s">
        <v>59</v>
      </c>
      <c r="M1140" s="6">
        <v>50128</v>
      </c>
      <c r="N1140" s="6">
        <v>614</v>
      </c>
      <c r="O1140" s="4">
        <v>11</v>
      </c>
      <c r="P1140" s="5">
        <v>45627</v>
      </c>
      <c r="Q1140" s="4" t="s">
        <v>94</v>
      </c>
      <c r="R1140" s="4" t="s">
        <v>33</v>
      </c>
      <c r="S1140" s="4" t="s">
        <v>60</v>
      </c>
      <c r="T1140" s="7">
        <v>81.6417</v>
      </c>
      <c r="U1140" s="8">
        <v>299</v>
      </c>
      <c r="V1140" s="8">
        <v>2024</v>
      </c>
      <c r="W1140" s="4" t="s">
        <v>61</v>
      </c>
    </row>
    <row r="1141" spans="1:23" s="9" customFormat="1" ht="15.75" hidden="1" customHeight="1" x14ac:dyDescent="0.25">
      <c r="A1141" s="10" t="s">
        <v>3481</v>
      </c>
      <c r="B1141" s="10" t="s">
        <v>3482</v>
      </c>
      <c r="C1141" s="10" t="s">
        <v>3483</v>
      </c>
      <c r="D1141" s="22" t="s">
        <v>6090</v>
      </c>
      <c r="E1141" s="10" t="s">
        <v>51</v>
      </c>
      <c r="F1141" s="10" t="s">
        <v>71</v>
      </c>
      <c r="G1141" s="10" t="s">
        <v>57</v>
      </c>
      <c r="H1141" s="10" t="s">
        <v>29</v>
      </c>
      <c r="I1141" s="11">
        <v>45227</v>
      </c>
      <c r="J1141" s="10" t="s">
        <v>30</v>
      </c>
      <c r="K1141" s="11">
        <v>45389</v>
      </c>
      <c r="L1141" s="10" t="s">
        <v>59</v>
      </c>
      <c r="M1141" s="12">
        <v>34148</v>
      </c>
      <c r="N1141" s="12">
        <v>1405</v>
      </c>
      <c r="O1141" s="10">
        <v>20</v>
      </c>
      <c r="P1141" s="11">
        <v>45409</v>
      </c>
      <c r="Q1141" s="10" t="s">
        <v>33</v>
      </c>
      <c r="R1141" s="10" t="s">
        <v>33</v>
      </c>
      <c r="S1141" s="10" t="s">
        <v>60</v>
      </c>
      <c r="T1141" s="13">
        <v>24.304600000000001</v>
      </c>
      <c r="U1141" s="14">
        <v>162</v>
      </c>
      <c r="V1141" s="14">
        <v>2024</v>
      </c>
      <c r="W1141" s="10" t="s">
        <v>47</v>
      </c>
    </row>
    <row r="1142" spans="1:23" s="9" customFormat="1" ht="15.75" hidden="1" customHeight="1" x14ac:dyDescent="0.25">
      <c r="A1142" s="4" t="s">
        <v>3484</v>
      </c>
      <c r="B1142" s="4" t="s">
        <v>3485</v>
      </c>
      <c r="C1142" s="4" t="s">
        <v>3486</v>
      </c>
      <c r="D1142" s="22" t="s">
        <v>6087</v>
      </c>
      <c r="E1142" s="4" t="s">
        <v>26</v>
      </c>
      <c r="F1142" s="4" t="s">
        <v>65</v>
      </c>
      <c r="G1142" s="4" t="s">
        <v>57</v>
      </c>
      <c r="H1142" s="4" t="s">
        <v>39</v>
      </c>
      <c r="I1142" s="5">
        <v>45295</v>
      </c>
      <c r="J1142" s="4" t="s">
        <v>30</v>
      </c>
      <c r="K1142" s="5">
        <v>45483</v>
      </c>
      <c r="L1142" s="4" t="s">
        <v>59</v>
      </c>
      <c r="M1142" s="6">
        <v>14233</v>
      </c>
      <c r="N1142" s="6">
        <v>8676</v>
      </c>
      <c r="O1142" s="4">
        <v>13</v>
      </c>
      <c r="P1142" s="5">
        <v>45496</v>
      </c>
      <c r="Q1142" s="4" t="s">
        <v>33</v>
      </c>
      <c r="R1142" s="4" t="s">
        <v>33</v>
      </c>
      <c r="S1142" s="4" t="s">
        <v>60</v>
      </c>
      <c r="T1142" s="7">
        <v>1.6405000000000001</v>
      </c>
      <c r="U1142" s="8">
        <v>188</v>
      </c>
      <c r="V1142" s="8">
        <v>2024</v>
      </c>
      <c r="W1142" s="4" t="s">
        <v>42</v>
      </c>
    </row>
    <row r="1143" spans="1:23" s="9" customFormat="1" ht="15.75" hidden="1" customHeight="1" x14ac:dyDescent="0.25">
      <c r="A1143" s="10" t="s">
        <v>3487</v>
      </c>
      <c r="B1143" s="10" t="s">
        <v>3488</v>
      </c>
      <c r="C1143" s="10" t="s">
        <v>3489</v>
      </c>
      <c r="D1143" s="22" t="s">
        <v>6087</v>
      </c>
      <c r="E1143" s="10" t="s">
        <v>87</v>
      </c>
      <c r="F1143" s="10" t="s">
        <v>56</v>
      </c>
      <c r="G1143" s="10" t="s">
        <v>5</v>
      </c>
      <c r="H1143" s="10" t="s">
        <v>118</v>
      </c>
      <c r="I1143" s="11">
        <v>45267</v>
      </c>
      <c r="J1143" s="10" t="s">
        <v>30</v>
      </c>
      <c r="K1143" s="11">
        <v>45504</v>
      </c>
      <c r="L1143" s="10" t="s">
        <v>66</v>
      </c>
      <c r="M1143" s="12">
        <v>20386</v>
      </c>
      <c r="N1143" s="12">
        <v>7772</v>
      </c>
      <c r="O1143" s="10" t="s">
        <v>32</v>
      </c>
      <c r="P1143" s="10" t="s">
        <v>32</v>
      </c>
      <c r="Q1143" s="10" t="s">
        <v>33</v>
      </c>
      <c r="R1143" s="10" t="s">
        <v>33</v>
      </c>
      <c r="S1143" s="10" t="s">
        <v>41</v>
      </c>
      <c r="T1143" s="13">
        <v>2.6230000000000002</v>
      </c>
      <c r="U1143" s="14">
        <v>237</v>
      </c>
      <c r="V1143" s="14">
        <v>2024</v>
      </c>
      <c r="W1143" s="10" t="s">
        <v>42</v>
      </c>
    </row>
    <row r="1144" spans="1:23" s="9" customFormat="1" ht="15.75" hidden="1" customHeight="1" x14ac:dyDescent="0.25">
      <c r="A1144" s="4" t="s">
        <v>3490</v>
      </c>
      <c r="B1144" s="4" t="s">
        <v>3491</v>
      </c>
      <c r="C1144" s="4" t="s">
        <v>3492</v>
      </c>
      <c r="D1144" s="21" t="s">
        <v>6089</v>
      </c>
      <c r="E1144" s="4" t="s">
        <v>87</v>
      </c>
      <c r="F1144" s="4" t="s">
        <v>46</v>
      </c>
      <c r="G1144" s="4" t="s">
        <v>5</v>
      </c>
      <c r="H1144" s="4" t="s">
        <v>118</v>
      </c>
      <c r="I1144" s="5">
        <v>45068</v>
      </c>
      <c r="J1144" s="4" t="s">
        <v>40</v>
      </c>
      <c r="K1144" s="5">
        <v>45391</v>
      </c>
      <c r="L1144" s="4" t="s">
        <v>59</v>
      </c>
      <c r="M1144" s="6">
        <v>25563</v>
      </c>
      <c r="N1144" s="6">
        <v>5323</v>
      </c>
      <c r="O1144" s="4">
        <v>41</v>
      </c>
      <c r="P1144" s="5">
        <v>45432</v>
      </c>
      <c r="Q1144" s="4" t="s">
        <v>33</v>
      </c>
      <c r="R1144" s="4" t="s">
        <v>33</v>
      </c>
      <c r="S1144" s="4" t="s">
        <v>41</v>
      </c>
      <c r="T1144" s="7">
        <v>4.8023999999999996</v>
      </c>
      <c r="U1144" s="8">
        <v>323</v>
      </c>
      <c r="V1144" s="8">
        <v>2024</v>
      </c>
      <c r="W1144" s="4" t="s">
        <v>47</v>
      </c>
    </row>
    <row r="1145" spans="1:23" s="9" customFormat="1" ht="15.75" hidden="1" customHeight="1" x14ac:dyDescent="0.25">
      <c r="A1145" s="10" t="s">
        <v>3493</v>
      </c>
      <c r="B1145" s="10" t="s">
        <v>3494</v>
      </c>
      <c r="C1145" s="10" t="s">
        <v>3495</v>
      </c>
      <c r="D1145" s="21" t="s">
        <v>6086</v>
      </c>
      <c r="E1145" s="10" t="s">
        <v>87</v>
      </c>
      <c r="F1145" s="10" t="s">
        <v>46</v>
      </c>
      <c r="G1145" s="10" t="s">
        <v>5</v>
      </c>
      <c r="H1145" s="10" t="s">
        <v>29</v>
      </c>
      <c r="I1145" s="11">
        <v>45318</v>
      </c>
      <c r="J1145" s="10" t="s">
        <v>40</v>
      </c>
      <c r="K1145" s="11">
        <v>45554</v>
      </c>
      <c r="L1145" s="10" t="s">
        <v>59</v>
      </c>
      <c r="M1145" s="12">
        <v>30660</v>
      </c>
      <c r="N1145" s="12">
        <v>7448</v>
      </c>
      <c r="O1145" s="10">
        <v>31</v>
      </c>
      <c r="P1145" s="11">
        <v>45585</v>
      </c>
      <c r="Q1145" s="10" t="s">
        <v>33</v>
      </c>
      <c r="R1145" s="10" t="s">
        <v>33</v>
      </c>
      <c r="S1145" s="10" t="s">
        <v>41</v>
      </c>
      <c r="T1145" s="13">
        <v>4.1165000000000003</v>
      </c>
      <c r="U1145" s="14">
        <v>236</v>
      </c>
      <c r="V1145" s="14">
        <v>2024</v>
      </c>
      <c r="W1145" s="10" t="s">
        <v>168</v>
      </c>
    </row>
    <row r="1146" spans="1:23" s="9" customFormat="1" ht="15.75" hidden="1" customHeight="1" x14ac:dyDescent="0.25">
      <c r="A1146" s="4" t="s">
        <v>3496</v>
      </c>
      <c r="B1146" s="4" t="s">
        <v>3497</v>
      </c>
      <c r="C1146" s="4" t="s">
        <v>3498</v>
      </c>
      <c r="D1146" s="22" t="s">
        <v>6090</v>
      </c>
      <c r="E1146" s="4" t="s">
        <v>87</v>
      </c>
      <c r="F1146" s="21" t="s">
        <v>6092</v>
      </c>
      <c r="G1146" s="4" t="s">
        <v>28</v>
      </c>
      <c r="H1146" s="4" t="s">
        <v>161</v>
      </c>
      <c r="I1146" s="5">
        <v>45104</v>
      </c>
      <c r="J1146" s="4" t="s">
        <v>40</v>
      </c>
      <c r="K1146" s="5">
        <v>45404</v>
      </c>
      <c r="L1146" s="4" t="s">
        <v>59</v>
      </c>
      <c r="M1146" s="6">
        <v>46924</v>
      </c>
      <c r="N1146" s="6">
        <v>6619</v>
      </c>
      <c r="O1146" s="4">
        <v>14</v>
      </c>
      <c r="P1146" s="5">
        <v>45418</v>
      </c>
      <c r="Q1146" s="4" t="s">
        <v>33</v>
      </c>
      <c r="R1146" s="4" t="s">
        <v>33</v>
      </c>
      <c r="S1146" s="4" t="s">
        <v>34</v>
      </c>
      <c r="T1146" s="7">
        <v>7.0892999999999997</v>
      </c>
      <c r="U1146" s="8">
        <v>300</v>
      </c>
      <c r="V1146" s="8">
        <v>2024</v>
      </c>
      <c r="W1146" s="4" t="s">
        <v>47</v>
      </c>
    </row>
    <row r="1147" spans="1:23" s="9" customFormat="1" ht="15.75" hidden="1" customHeight="1" x14ac:dyDescent="0.25">
      <c r="A1147" s="10" t="s">
        <v>3499</v>
      </c>
      <c r="B1147" s="10" t="s">
        <v>3500</v>
      </c>
      <c r="C1147" s="10" t="s">
        <v>3501</v>
      </c>
      <c r="D1147" s="21" t="s">
        <v>6091</v>
      </c>
      <c r="E1147" s="10" t="s">
        <v>51</v>
      </c>
      <c r="F1147" s="10" t="s">
        <v>27</v>
      </c>
      <c r="G1147" s="10" t="s">
        <v>28</v>
      </c>
      <c r="H1147" s="10" t="s">
        <v>118</v>
      </c>
      <c r="I1147" s="11">
        <v>45493</v>
      </c>
      <c r="J1147" s="10" t="s">
        <v>40</v>
      </c>
      <c r="K1147" s="11">
        <v>45527</v>
      </c>
      <c r="L1147" s="10" t="s">
        <v>59</v>
      </c>
      <c r="M1147" s="12">
        <v>2089</v>
      </c>
      <c r="N1147" s="12">
        <v>3596</v>
      </c>
      <c r="O1147" s="10">
        <v>45</v>
      </c>
      <c r="P1147" s="11">
        <v>45572</v>
      </c>
      <c r="Q1147" s="10" t="s">
        <v>33</v>
      </c>
      <c r="R1147" s="10" t="s">
        <v>33</v>
      </c>
      <c r="S1147" s="10" t="s">
        <v>41</v>
      </c>
      <c r="T1147" s="13">
        <v>0.58089999999999997</v>
      </c>
      <c r="U1147" s="14">
        <v>34</v>
      </c>
      <c r="V1147" s="14">
        <v>2024</v>
      </c>
      <c r="W1147" s="10" t="s">
        <v>114</v>
      </c>
    </row>
    <row r="1148" spans="1:23" s="9" customFormat="1" ht="15.75" hidden="1" customHeight="1" x14ac:dyDescent="0.25">
      <c r="A1148" s="4" t="s">
        <v>3502</v>
      </c>
      <c r="B1148" s="4" t="s">
        <v>3503</v>
      </c>
      <c r="C1148" s="4" t="s">
        <v>3504</v>
      </c>
      <c r="D1148" s="21" t="s">
        <v>6086</v>
      </c>
      <c r="E1148" s="4" t="s">
        <v>87</v>
      </c>
      <c r="F1148" s="4" t="s">
        <v>65</v>
      </c>
      <c r="G1148" s="4" t="s">
        <v>5</v>
      </c>
      <c r="H1148" s="4" t="s">
        <v>93</v>
      </c>
      <c r="I1148" s="5">
        <v>45132</v>
      </c>
      <c r="J1148" s="4" t="s">
        <v>40</v>
      </c>
      <c r="K1148" s="5">
        <v>45411</v>
      </c>
      <c r="L1148" s="4" t="s">
        <v>59</v>
      </c>
      <c r="M1148" s="6">
        <v>66691</v>
      </c>
      <c r="N1148" s="6">
        <v>6152</v>
      </c>
      <c r="O1148" s="4">
        <v>19</v>
      </c>
      <c r="P1148" s="5">
        <v>45430</v>
      </c>
      <c r="Q1148" s="4" t="s">
        <v>33</v>
      </c>
      <c r="R1148" s="4" t="s">
        <v>33</v>
      </c>
      <c r="S1148" s="4" t="s">
        <v>41</v>
      </c>
      <c r="T1148" s="7">
        <v>10.8405</v>
      </c>
      <c r="U1148" s="8">
        <v>279</v>
      </c>
      <c r="V1148" s="8">
        <v>2024</v>
      </c>
      <c r="W1148" s="4" t="s">
        <v>47</v>
      </c>
    </row>
    <row r="1149" spans="1:23" s="9" customFormat="1" ht="15.75" hidden="1" customHeight="1" x14ac:dyDescent="0.25">
      <c r="A1149" s="10" t="s">
        <v>3505</v>
      </c>
      <c r="B1149" s="10" t="s">
        <v>3506</v>
      </c>
      <c r="C1149" s="10" t="s">
        <v>3507</v>
      </c>
      <c r="D1149" s="22" t="s">
        <v>6090</v>
      </c>
      <c r="E1149" s="10" t="s">
        <v>87</v>
      </c>
      <c r="F1149" s="10" t="s">
        <v>56</v>
      </c>
      <c r="G1149" s="10" t="s">
        <v>28</v>
      </c>
      <c r="H1149" s="10" t="s">
        <v>88</v>
      </c>
      <c r="I1149" s="11">
        <v>45401</v>
      </c>
      <c r="J1149" s="10" t="s">
        <v>40</v>
      </c>
      <c r="K1149" s="11">
        <v>45531</v>
      </c>
      <c r="L1149" s="10" t="s">
        <v>59</v>
      </c>
      <c r="M1149" s="12">
        <v>29812</v>
      </c>
      <c r="N1149" s="12">
        <v>6928</v>
      </c>
      <c r="O1149" s="10">
        <v>45</v>
      </c>
      <c r="P1149" s="11">
        <v>45576</v>
      </c>
      <c r="Q1149" s="10" t="s">
        <v>33</v>
      </c>
      <c r="R1149" s="10" t="s">
        <v>33</v>
      </c>
      <c r="S1149" s="10" t="s">
        <v>60</v>
      </c>
      <c r="T1149" s="13">
        <v>4.3030999999999997</v>
      </c>
      <c r="U1149" s="14">
        <v>130</v>
      </c>
      <c r="V1149" s="14">
        <v>2024</v>
      </c>
      <c r="W1149" s="10" t="s">
        <v>114</v>
      </c>
    </row>
    <row r="1150" spans="1:23" s="9" customFormat="1" ht="15.75" hidden="1" customHeight="1" x14ac:dyDescent="0.25">
      <c r="A1150" s="4" t="s">
        <v>3508</v>
      </c>
      <c r="B1150" s="4" t="s">
        <v>3509</v>
      </c>
      <c r="C1150" s="4" t="s">
        <v>3510</v>
      </c>
      <c r="D1150" s="22" t="s">
        <v>6090</v>
      </c>
      <c r="E1150" s="4" t="s">
        <v>51</v>
      </c>
      <c r="F1150" s="4" t="s">
        <v>27</v>
      </c>
      <c r="G1150" s="4" t="s">
        <v>57</v>
      </c>
      <c r="H1150" s="4" t="s">
        <v>161</v>
      </c>
      <c r="I1150" s="5">
        <v>45384</v>
      </c>
      <c r="J1150" s="4" t="s">
        <v>40</v>
      </c>
      <c r="K1150" s="5">
        <v>45534</v>
      </c>
      <c r="L1150" s="4" t="s">
        <v>59</v>
      </c>
      <c r="M1150" s="6">
        <v>55848</v>
      </c>
      <c r="N1150" s="6">
        <v>7106</v>
      </c>
      <c r="O1150" s="4">
        <v>14</v>
      </c>
      <c r="P1150" s="5">
        <v>45548</v>
      </c>
      <c r="Q1150" s="4" t="s">
        <v>33</v>
      </c>
      <c r="R1150" s="4" t="s">
        <v>33</v>
      </c>
      <c r="S1150" s="4" t="s">
        <v>41</v>
      </c>
      <c r="T1150" s="7">
        <v>7.8593000000000002</v>
      </c>
      <c r="U1150" s="8">
        <v>150</v>
      </c>
      <c r="V1150" s="8">
        <v>2024</v>
      </c>
      <c r="W1150" s="4" t="s">
        <v>114</v>
      </c>
    </row>
    <row r="1151" spans="1:23" s="9" customFormat="1" ht="15.75" hidden="1" customHeight="1" x14ac:dyDescent="0.25">
      <c r="A1151" s="10" t="s">
        <v>3511</v>
      </c>
      <c r="B1151" s="10" t="s">
        <v>3512</v>
      </c>
      <c r="C1151" s="10" t="s">
        <v>3513</v>
      </c>
      <c r="D1151" s="22" t="s">
        <v>6087</v>
      </c>
      <c r="E1151" s="10" t="s">
        <v>26</v>
      </c>
      <c r="F1151" s="10" t="s">
        <v>27</v>
      </c>
      <c r="G1151" s="10" t="s">
        <v>57</v>
      </c>
      <c r="H1151" s="10" t="s">
        <v>58</v>
      </c>
      <c r="I1151" s="11">
        <v>45065</v>
      </c>
      <c r="J1151" s="10" t="s">
        <v>40</v>
      </c>
      <c r="K1151" s="11">
        <v>45379</v>
      </c>
      <c r="L1151" s="10" t="s">
        <v>59</v>
      </c>
      <c r="M1151" s="12">
        <v>36410</v>
      </c>
      <c r="N1151" s="12">
        <v>3504</v>
      </c>
      <c r="O1151" s="10">
        <v>13</v>
      </c>
      <c r="P1151" s="11">
        <v>45392</v>
      </c>
      <c r="Q1151" s="10" t="s">
        <v>33</v>
      </c>
      <c r="R1151" s="10" t="s">
        <v>33</v>
      </c>
      <c r="S1151" s="10" t="s">
        <v>60</v>
      </c>
      <c r="T1151" s="13">
        <v>10.391</v>
      </c>
      <c r="U1151" s="14">
        <v>314</v>
      </c>
      <c r="V1151" s="14">
        <v>2024</v>
      </c>
      <c r="W1151" s="10" t="s">
        <v>77</v>
      </c>
    </row>
    <row r="1152" spans="1:23" s="9" customFormat="1" ht="15.75" hidden="1" customHeight="1" x14ac:dyDescent="0.25">
      <c r="A1152" s="4" t="s">
        <v>3514</v>
      </c>
      <c r="B1152" s="4" t="s">
        <v>3515</v>
      </c>
      <c r="C1152" s="4" t="s">
        <v>3516</v>
      </c>
      <c r="D1152" s="22" t="s">
        <v>6087</v>
      </c>
      <c r="E1152" s="4" t="s">
        <v>87</v>
      </c>
      <c r="F1152" s="4" t="s">
        <v>56</v>
      </c>
      <c r="G1152" s="4" t="s">
        <v>28</v>
      </c>
      <c r="H1152" s="4" t="s">
        <v>29</v>
      </c>
      <c r="I1152" s="5">
        <v>45166</v>
      </c>
      <c r="J1152" s="4" t="s">
        <v>30</v>
      </c>
      <c r="K1152" s="5">
        <v>45339</v>
      </c>
      <c r="L1152" s="4" t="s">
        <v>59</v>
      </c>
      <c r="M1152" s="6">
        <v>29584</v>
      </c>
      <c r="N1152" s="6">
        <v>4868</v>
      </c>
      <c r="O1152" s="4">
        <v>42</v>
      </c>
      <c r="P1152" s="5">
        <v>45381</v>
      </c>
      <c r="Q1152" s="4" t="s">
        <v>33</v>
      </c>
      <c r="R1152" s="4" t="s">
        <v>33</v>
      </c>
      <c r="S1152" s="4" t="s">
        <v>34</v>
      </c>
      <c r="T1152" s="7">
        <v>6.0772000000000004</v>
      </c>
      <c r="U1152" s="8">
        <v>173</v>
      </c>
      <c r="V1152" s="8">
        <v>2024</v>
      </c>
      <c r="W1152" s="4" t="s">
        <v>35</v>
      </c>
    </row>
    <row r="1153" spans="1:23" s="9" customFormat="1" ht="15.75" hidden="1" customHeight="1" x14ac:dyDescent="0.25">
      <c r="A1153" s="10" t="s">
        <v>3517</v>
      </c>
      <c r="B1153" s="10" t="s">
        <v>3518</v>
      </c>
      <c r="C1153" s="10" t="s">
        <v>3519</v>
      </c>
      <c r="D1153" s="22" t="s">
        <v>6087</v>
      </c>
      <c r="E1153" s="10" t="s">
        <v>87</v>
      </c>
      <c r="F1153" s="10" t="s">
        <v>27</v>
      </c>
      <c r="G1153" s="10" t="s">
        <v>28</v>
      </c>
      <c r="H1153" s="10" t="s">
        <v>29</v>
      </c>
      <c r="I1153" s="11">
        <v>45282</v>
      </c>
      <c r="J1153" s="10" t="s">
        <v>40</v>
      </c>
      <c r="K1153" s="11">
        <v>45624</v>
      </c>
      <c r="L1153" s="10" t="s">
        <v>31</v>
      </c>
      <c r="M1153" s="12">
        <v>13820</v>
      </c>
      <c r="N1153" s="12">
        <v>4656</v>
      </c>
      <c r="O1153" s="10" t="s">
        <v>32</v>
      </c>
      <c r="P1153" s="10" t="s">
        <v>32</v>
      </c>
      <c r="Q1153" s="10" t="s">
        <v>33</v>
      </c>
      <c r="R1153" s="10" t="s">
        <v>33</v>
      </c>
      <c r="S1153" s="10" t="s">
        <v>34</v>
      </c>
      <c r="T1153" s="13">
        <v>2.9681999999999999</v>
      </c>
      <c r="U1153" s="14">
        <v>342</v>
      </c>
      <c r="V1153" s="14">
        <v>2024</v>
      </c>
      <c r="W1153" s="10" t="s">
        <v>61</v>
      </c>
    </row>
    <row r="1154" spans="1:23" s="9" customFormat="1" ht="15.75" hidden="1" customHeight="1" x14ac:dyDescent="0.25">
      <c r="A1154" s="4" t="s">
        <v>3520</v>
      </c>
      <c r="B1154" s="4" t="s">
        <v>3521</v>
      </c>
      <c r="C1154" s="4" t="s">
        <v>3522</v>
      </c>
      <c r="D1154" s="22" t="s">
        <v>6090</v>
      </c>
      <c r="E1154" s="4" t="s">
        <v>51</v>
      </c>
      <c r="F1154" s="21" t="s">
        <v>6092</v>
      </c>
      <c r="G1154" s="4" t="s">
        <v>5</v>
      </c>
      <c r="H1154" s="4" t="s">
        <v>29</v>
      </c>
      <c r="I1154" s="5">
        <v>44992</v>
      </c>
      <c r="J1154" s="4" t="s">
        <v>30</v>
      </c>
      <c r="K1154" s="5">
        <v>45335</v>
      </c>
      <c r="L1154" s="4" t="s">
        <v>66</v>
      </c>
      <c r="M1154" s="6">
        <v>32923</v>
      </c>
      <c r="N1154" s="6">
        <v>2718</v>
      </c>
      <c r="O1154" s="4" t="s">
        <v>32</v>
      </c>
      <c r="P1154" s="4" t="s">
        <v>32</v>
      </c>
      <c r="Q1154" s="4" t="s">
        <v>33</v>
      </c>
      <c r="R1154" s="4" t="s">
        <v>33</v>
      </c>
      <c r="S1154" s="4" t="s">
        <v>60</v>
      </c>
      <c r="T1154" s="7">
        <v>12.113</v>
      </c>
      <c r="U1154" s="8">
        <v>343</v>
      </c>
      <c r="V1154" s="8">
        <v>2024</v>
      </c>
      <c r="W1154" s="4" t="s">
        <v>35</v>
      </c>
    </row>
    <row r="1155" spans="1:23" s="9" customFormat="1" ht="15.75" hidden="1" customHeight="1" x14ac:dyDescent="0.25">
      <c r="A1155" s="10" t="s">
        <v>3523</v>
      </c>
      <c r="B1155" s="10" t="s">
        <v>3524</v>
      </c>
      <c r="C1155" s="10" t="s">
        <v>3525</v>
      </c>
      <c r="D1155" s="21" t="s">
        <v>6091</v>
      </c>
      <c r="E1155" s="10" t="s">
        <v>26</v>
      </c>
      <c r="F1155" s="10" t="s">
        <v>56</v>
      </c>
      <c r="G1155" s="10" t="s">
        <v>57</v>
      </c>
      <c r="H1155" s="10" t="s">
        <v>39</v>
      </c>
      <c r="I1155" s="11">
        <v>45411</v>
      </c>
      <c r="J1155" s="10" t="s">
        <v>40</v>
      </c>
      <c r="K1155" s="11">
        <v>45542</v>
      </c>
      <c r="L1155" s="10" t="s">
        <v>59</v>
      </c>
      <c r="M1155" s="12">
        <v>14719</v>
      </c>
      <c r="N1155" s="12">
        <v>8463</v>
      </c>
      <c r="O1155" s="10">
        <v>27</v>
      </c>
      <c r="P1155" s="11">
        <v>45569</v>
      </c>
      <c r="Q1155" s="10" t="s">
        <v>94</v>
      </c>
      <c r="R1155" s="10" t="s">
        <v>94</v>
      </c>
      <c r="S1155" s="10" t="s">
        <v>41</v>
      </c>
      <c r="T1155" s="13">
        <v>1.7392000000000001</v>
      </c>
      <c r="U1155" s="14">
        <v>131</v>
      </c>
      <c r="V1155" s="14">
        <v>2024</v>
      </c>
      <c r="W1155" s="10" t="s">
        <v>168</v>
      </c>
    </row>
    <row r="1156" spans="1:23" s="9" customFormat="1" ht="15.75" hidden="1" customHeight="1" x14ac:dyDescent="0.25">
      <c r="A1156" s="4" t="s">
        <v>3526</v>
      </c>
      <c r="B1156" s="4" t="s">
        <v>3527</v>
      </c>
      <c r="C1156" s="4" t="s">
        <v>3528</v>
      </c>
      <c r="D1156" s="22" t="s">
        <v>6087</v>
      </c>
      <c r="E1156" s="4" t="s">
        <v>87</v>
      </c>
      <c r="F1156" s="4" t="s">
        <v>56</v>
      </c>
      <c r="G1156" s="4" t="s">
        <v>5</v>
      </c>
      <c r="H1156" s="4" t="s">
        <v>39</v>
      </c>
      <c r="I1156" s="5">
        <v>45235</v>
      </c>
      <c r="J1156" s="4" t="s">
        <v>30</v>
      </c>
      <c r="K1156" s="5">
        <v>45471</v>
      </c>
      <c r="L1156" s="4" t="s">
        <v>59</v>
      </c>
      <c r="M1156" s="6">
        <v>28086</v>
      </c>
      <c r="N1156" s="6">
        <v>3124</v>
      </c>
      <c r="O1156" s="4">
        <v>9</v>
      </c>
      <c r="P1156" s="5">
        <v>45480</v>
      </c>
      <c r="Q1156" s="4" t="s">
        <v>33</v>
      </c>
      <c r="R1156" s="4" t="s">
        <v>33</v>
      </c>
      <c r="S1156" s="4" t="s">
        <v>41</v>
      </c>
      <c r="T1156" s="7">
        <v>8.9903999999999993</v>
      </c>
      <c r="U1156" s="8">
        <v>236</v>
      </c>
      <c r="V1156" s="8">
        <v>2024</v>
      </c>
      <c r="W1156" s="4" t="s">
        <v>67</v>
      </c>
    </row>
    <row r="1157" spans="1:23" s="9" customFormat="1" ht="15.75" hidden="1" customHeight="1" x14ac:dyDescent="0.25">
      <c r="A1157" s="10" t="s">
        <v>3529</v>
      </c>
      <c r="B1157" s="10" t="s">
        <v>3530</v>
      </c>
      <c r="C1157" s="10" t="s">
        <v>3531</v>
      </c>
      <c r="D1157" s="22" t="s">
        <v>6090</v>
      </c>
      <c r="E1157" s="10" t="s">
        <v>87</v>
      </c>
      <c r="F1157" s="10" t="s">
        <v>65</v>
      </c>
      <c r="G1157" s="10" t="s">
        <v>57</v>
      </c>
      <c r="H1157" s="10" t="s">
        <v>29</v>
      </c>
      <c r="I1157" s="11">
        <v>45331</v>
      </c>
      <c r="J1157" s="10" t="s">
        <v>40</v>
      </c>
      <c r="K1157" s="11">
        <v>45368</v>
      </c>
      <c r="L1157" s="10" t="s">
        <v>59</v>
      </c>
      <c r="M1157" s="12">
        <v>15678</v>
      </c>
      <c r="N1157" s="12">
        <v>3903</v>
      </c>
      <c r="O1157" s="10">
        <v>37</v>
      </c>
      <c r="P1157" s="11">
        <v>45405</v>
      </c>
      <c r="Q1157" s="10" t="s">
        <v>33</v>
      </c>
      <c r="R1157" s="10" t="s">
        <v>33</v>
      </c>
      <c r="S1157" s="10" t="s">
        <v>60</v>
      </c>
      <c r="T1157" s="13">
        <v>4.0168999999999997</v>
      </c>
      <c r="U1157" s="14">
        <v>37</v>
      </c>
      <c r="V1157" s="14">
        <v>2024</v>
      </c>
      <c r="W1157" s="10" t="s">
        <v>77</v>
      </c>
    </row>
    <row r="1158" spans="1:23" s="9" customFormat="1" ht="15.75" hidden="1" customHeight="1" x14ac:dyDescent="0.25">
      <c r="A1158" s="4" t="s">
        <v>3532</v>
      </c>
      <c r="B1158" s="4" t="s">
        <v>3533</v>
      </c>
      <c r="C1158" s="4" t="s">
        <v>3534</v>
      </c>
      <c r="D1158" s="21" t="s">
        <v>6089</v>
      </c>
      <c r="E1158" s="4" t="s">
        <v>51</v>
      </c>
      <c r="F1158" s="4" t="s">
        <v>65</v>
      </c>
      <c r="G1158" s="4" t="s">
        <v>5</v>
      </c>
      <c r="H1158" s="4" t="s">
        <v>161</v>
      </c>
      <c r="I1158" s="5">
        <v>45125</v>
      </c>
      <c r="J1158" s="4" t="s">
        <v>40</v>
      </c>
      <c r="K1158" s="5">
        <v>45489</v>
      </c>
      <c r="L1158" s="4" t="s">
        <v>59</v>
      </c>
      <c r="M1158" s="6">
        <v>33767</v>
      </c>
      <c r="N1158" s="6">
        <v>3419</v>
      </c>
      <c r="O1158" s="4">
        <v>43</v>
      </c>
      <c r="P1158" s="5">
        <v>45532</v>
      </c>
      <c r="Q1158" s="4" t="s">
        <v>94</v>
      </c>
      <c r="R1158" s="4" t="s">
        <v>33</v>
      </c>
      <c r="S1158" s="4" t="s">
        <v>34</v>
      </c>
      <c r="T1158" s="7">
        <v>9.8763000000000005</v>
      </c>
      <c r="U1158" s="8">
        <v>364</v>
      </c>
      <c r="V1158" s="8">
        <v>2024</v>
      </c>
      <c r="W1158" s="4" t="s">
        <v>42</v>
      </c>
    </row>
    <row r="1159" spans="1:23" s="9" customFormat="1" ht="15.75" hidden="1" customHeight="1" x14ac:dyDescent="0.25">
      <c r="A1159" s="10" t="s">
        <v>3535</v>
      </c>
      <c r="B1159" s="10" t="s">
        <v>3536</v>
      </c>
      <c r="C1159" s="10" t="s">
        <v>3537</v>
      </c>
      <c r="D1159" s="21" t="s">
        <v>6091</v>
      </c>
      <c r="E1159" s="10" t="s">
        <v>26</v>
      </c>
      <c r="F1159" s="10" t="s">
        <v>71</v>
      </c>
      <c r="G1159" s="10" t="s">
        <v>57</v>
      </c>
      <c r="H1159" s="10" t="s">
        <v>118</v>
      </c>
      <c r="I1159" s="11">
        <v>45363</v>
      </c>
      <c r="J1159" s="10" t="s">
        <v>30</v>
      </c>
      <c r="K1159" s="11">
        <v>45418</v>
      </c>
      <c r="L1159" s="10" t="s">
        <v>31</v>
      </c>
      <c r="M1159" s="12">
        <v>10213</v>
      </c>
      <c r="N1159" s="12">
        <v>4741</v>
      </c>
      <c r="O1159" s="10" t="s">
        <v>32</v>
      </c>
      <c r="P1159" s="10" t="s">
        <v>32</v>
      </c>
      <c r="Q1159" s="10" t="s">
        <v>33</v>
      </c>
      <c r="R1159" s="10" t="s">
        <v>33</v>
      </c>
      <c r="S1159" s="10" t="s">
        <v>34</v>
      </c>
      <c r="T1159" s="13">
        <v>2.1541999999999999</v>
      </c>
      <c r="U1159" s="14">
        <v>55</v>
      </c>
      <c r="V1159" s="14">
        <v>2024</v>
      </c>
      <c r="W1159" s="10" t="s">
        <v>52</v>
      </c>
    </row>
    <row r="1160" spans="1:23" s="9" customFormat="1" ht="15.75" hidden="1" customHeight="1" x14ac:dyDescent="0.25">
      <c r="A1160" s="4" t="s">
        <v>3538</v>
      </c>
      <c r="B1160" s="4" t="s">
        <v>3539</v>
      </c>
      <c r="C1160" s="4" t="s">
        <v>3540</v>
      </c>
      <c r="D1160" s="22" t="s">
        <v>6090</v>
      </c>
      <c r="E1160" s="4" t="s">
        <v>26</v>
      </c>
      <c r="F1160" s="4" t="s">
        <v>65</v>
      </c>
      <c r="G1160" s="4" t="s">
        <v>57</v>
      </c>
      <c r="H1160" s="4" t="s">
        <v>58</v>
      </c>
      <c r="I1160" s="5">
        <v>45315</v>
      </c>
      <c r="J1160" s="4" t="s">
        <v>40</v>
      </c>
      <c r="K1160" s="5">
        <v>45581</v>
      </c>
      <c r="L1160" s="4" t="s">
        <v>59</v>
      </c>
      <c r="M1160" s="6">
        <v>43189</v>
      </c>
      <c r="N1160" s="6">
        <v>6877</v>
      </c>
      <c r="O1160" s="4">
        <v>34</v>
      </c>
      <c r="P1160" s="5">
        <v>45615</v>
      </c>
      <c r="Q1160" s="4" t="s">
        <v>33</v>
      </c>
      <c r="R1160" s="4" t="s">
        <v>33</v>
      </c>
      <c r="S1160" s="4" t="s">
        <v>34</v>
      </c>
      <c r="T1160" s="7">
        <v>6.2801999999999998</v>
      </c>
      <c r="U1160" s="8">
        <v>266</v>
      </c>
      <c r="V1160" s="8">
        <v>2024</v>
      </c>
      <c r="W1160" s="4" t="s">
        <v>95</v>
      </c>
    </row>
    <row r="1161" spans="1:23" s="9" customFormat="1" ht="15.75" hidden="1" customHeight="1" x14ac:dyDescent="0.25">
      <c r="A1161" s="10" t="s">
        <v>3541</v>
      </c>
      <c r="B1161" s="10" t="s">
        <v>3542</v>
      </c>
      <c r="C1161" s="10" t="s">
        <v>3543</v>
      </c>
      <c r="D1161" s="21" t="s">
        <v>6086</v>
      </c>
      <c r="E1161" s="10" t="s">
        <v>51</v>
      </c>
      <c r="F1161" s="10" t="s">
        <v>27</v>
      </c>
      <c r="G1161" s="10" t="s">
        <v>5</v>
      </c>
      <c r="H1161" s="10" t="s">
        <v>72</v>
      </c>
      <c r="I1161" s="11">
        <v>45328</v>
      </c>
      <c r="J1161" s="10" t="s">
        <v>30</v>
      </c>
      <c r="K1161" s="11">
        <v>45649</v>
      </c>
      <c r="L1161" s="10" t="s">
        <v>59</v>
      </c>
      <c r="M1161" s="12">
        <v>22294</v>
      </c>
      <c r="N1161" s="12">
        <v>3630</v>
      </c>
      <c r="O1161" s="10">
        <v>11</v>
      </c>
      <c r="P1161" s="11">
        <v>45660</v>
      </c>
      <c r="Q1161" s="10" t="s">
        <v>33</v>
      </c>
      <c r="R1161" s="10" t="s">
        <v>33</v>
      </c>
      <c r="S1161" s="10" t="s">
        <v>34</v>
      </c>
      <c r="T1161" s="13">
        <v>6.1416000000000004</v>
      </c>
      <c r="U1161" s="14">
        <v>321</v>
      </c>
      <c r="V1161" s="14">
        <v>2024</v>
      </c>
      <c r="W1161" s="10" t="s">
        <v>89</v>
      </c>
    </row>
    <row r="1162" spans="1:23" s="9" customFormat="1" ht="15.75" hidden="1" customHeight="1" x14ac:dyDescent="0.25">
      <c r="A1162" s="4" t="s">
        <v>3544</v>
      </c>
      <c r="B1162" s="4" t="s">
        <v>3545</v>
      </c>
      <c r="C1162" s="4" t="s">
        <v>3546</v>
      </c>
      <c r="D1162" s="21" t="s">
        <v>6088</v>
      </c>
      <c r="E1162" s="4" t="s">
        <v>51</v>
      </c>
      <c r="F1162" s="4" t="s">
        <v>56</v>
      </c>
      <c r="G1162" s="4" t="s">
        <v>57</v>
      </c>
      <c r="H1162" s="4" t="s">
        <v>29</v>
      </c>
      <c r="I1162" s="5">
        <v>45092</v>
      </c>
      <c r="J1162" s="4" t="s">
        <v>30</v>
      </c>
      <c r="K1162" s="5">
        <v>45371</v>
      </c>
      <c r="L1162" s="4" t="s">
        <v>59</v>
      </c>
      <c r="M1162" s="6">
        <v>79745</v>
      </c>
      <c r="N1162" s="6">
        <v>8799</v>
      </c>
      <c r="O1162" s="4">
        <v>32</v>
      </c>
      <c r="P1162" s="5">
        <v>45403</v>
      </c>
      <c r="Q1162" s="4" t="s">
        <v>33</v>
      </c>
      <c r="R1162" s="4" t="s">
        <v>33</v>
      </c>
      <c r="S1162" s="4" t="s">
        <v>34</v>
      </c>
      <c r="T1162" s="7">
        <v>9.0630000000000006</v>
      </c>
      <c r="U1162" s="8">
        <v>279</v>
      </c>
      <c r="V1162" s="8">
        <v>2024</v>
      </c>
      <c r="W1162" s="4" t="s">
        <v>77</v>
      </c>
    </row>
    <row r="1163" spans="1:23" s="9" customFormat="1" ht="15.75" hidden="1" customHeight="1" x14ac:dyDescent="0.25">
      <c r="A1163" s="10" t="s">
        <v>3547</v>
      </c>
      <c r="B1163" s="10" t="s">
        <v>3548</v>
      </c>
      <c r="C1163" s="10" t="s">
        <v>3549</v>
      </c>
      <c r="D1163" s="21" t="s">
        <v>6089</v>
      </c>
      <c r="E1163" s="10" t="s">
        <v>87</v>
      </c>
      <c r="F1163" s="10" t="s">
        <v>46</v>
      </c>
      <c r="G1163" s="10" t="s">
        <v>28</v>
      </c>
      <c r="H1163" s="10" t="s">
        <v>29</v>
      </c>
      <c r="I1163" s="11">
        <v>45385</v>
      </c>
      <c r="J1163" s="10" t="s">
        <v>40</v>
      </c>
      <c r="K1163" s="11">
        <v>45608</v>
      </c>
      <c r="L1163" s="10" t="s">
        <v>31</v>
      </c>
      <c r="M1163" s="12">
        <v>26575</v>
      </c>
      <c r="N1163" s="12">
        <v>7483</v>
      </c>
      <c r="O1163" s="10" t="s">
        <v>32</v>
      </c>
      <c r="P1163" s="10" t="s">
        <v>32</v>
      </c>
      <c r="Q1163" s="10" t="s">
        <v>94</v>
      </c>
      <c r="R1163" s="10" t="s">
        <v>94</v>
      </c>
      <c r="S1163" s="10" t="s">
        <v>34</v>
      </c>
      <c r="T1163" s="13">
        <v>3.5514000000000001</v>
      </c>
      <c r="U1163" s="14">
        <v>223</v>
      </c>
      <c r="V1163" s="14">
        <v>2024</v>
      </c>
      <c r="W1163" s="10" t="s">
        <v>61</v>
      </c>
    </row>
    <row r="1164" spans="1:23" s="9" customFormat="1" ht="15.75" hidden="1" customHeight="1" x14ac:dyDescent="0.25">
      <c r="A1164" s="4" t="s">
        <v>3550</v>
      </c>
      <c r="B1164" s="4" t="s">
        <v>3551</v>
      </c>
      <c r="C1164" s="4" t="s">
        <v>3552</v>
      </c>
      <c r="D1164" s="22" t="s">
        <v>6090</v>
      </c>
      <c r="E1164" s="4" t="s">
        <v>26</v>
      </c>
      <c r="F1164" s="4" t="s">
        <v>65</v>
      </c>
      <c r="G1164" s="4" t="s">
        <v>57</v>
      </c>
      <c r="H1164" s="4" t="s">
        <v>93</v>
      </c>
      <c r="I1164" s="5">
        <v>45165</v>
      </c>
      <c r="J1164" s="4" t="s">
        <v>40</v>
      </c>
      <c r="K1164" s="5">
        <v>45494</v>
      </c>
      <c r="L1164" s="4" t="s">
        <v>59</v>
      </c>
      <c r="M1164" s="6">
        <v>53627</v>
      </c>
      <c r="N1164" s="6">
        <v>7448</v>
      </c>
      <c r="O1164" s="4">
        <v>30</v>
      </c>
      <c r="P1164" s="5">
        <v>45524</v>
      </c>
      <c r="Q1164" s="4" t="s">
        <v>94</v>
      </c>
      <c r="R1164" s="4" t="s">
        <v>33</v>
      </c>
      <c r="S1164" s="4" t="s">
        <v>60</v>
      </c>
      <c r="T1164" s="7">
        <v>7.2001999999999997</v>
      </c>
      <c r="U1164" s="8">
        <v>329</v>
      </c>
      <c r="V1164" s="8">
        <v>2024</v>
      </c>
      <c r="W1164" s="4" t="s">
        <v>42</v>
      </c>
    </row>
    <row r="1165" spans="1:23" s="9" customFormat="1" ht="15.75" hidden="1" customHeight="1" x14ac:dyDescent="0.25">
      <c r="A1165" s="10" t="s">
        <v>3553</v>
      </c>
      <c r="B1165" s="10" t="s">
        <v>3554</v>
      </c>
      <c r="C1165" s="10" t="s">
        <v>3555</v>
      </c>
      <c r="D1165" s="22" t="s">
        <v>6087</v>
      </c>
      <c r="E1165" s="10" t="s">
        <v>51</v>
      </c>
      <c r="F1165" s="10" t="s">
        <v>71</v>
      </c>
      <c r="G1165" s="10" t="s">
        <v>57</v>
      </c>
      <c r="H1165" s="10" t="s">
        <v>88</v>
      </c>
      <c r="I1165" s="11">
        <v>45277</v>
      </c>
      <c r="J1165" s="10" t="s">
        <v>40</v>
      </c>
      <c r="K1165" s="11">
        <v>45582</v>
      </c>
      <c r="L1165" s="10" t="s">
        <v>59</v>
      </c>
      <c r="M1165" s="12">
        <v>34280</v>
      </c>
      <c r="N1165" s="12">
        <v>8134</v>
      </c>
      <c r="O1165" s="10">
        <v>3</v>
      </c>
      <c r="P1165" s="11">
        <v>45585</v>
      </c>
      <c r="Q1165" s="10" t="s">
        <v>33</v>
      </c>
      <c r="R1165" s="10" t="s">
        <v>33</v>
      </c>
      <c r="S1165" s="10" t="s">
        <v>41</v>
      </c>
      <c r="T1165" s="13">
        <v>4.2144000000000004</v>
      </c>
      <c r="U1165" s="14">
        <v>305</v>
      </c>
      <c r="V1165" s="14">
        <v>2024</v>
      </c>
      <c r="W1165" s="10" t="s">
        <v>95</v>
      </c>
    </row>
    <row r="1166" spans="1:23" s="9" customFormat="1" ht="15.75" hidden="1" customHeight="1" x14ac:dyDescent="0.25">
      <c r="A1166" s="4" t="s">
        <v>3556</v>
      </c>
      <c r="B1166" s="4" t="s">
        <v>3557</v>
      </c>
      <c r="C1166" s="4" t="s">
        <v>3558</v>
      </c>
      <c r="D1166" s="22" t="s">
        <v>6087</v>
      </c>
      <c r="E1166" s="4" t="s">
        <v>51</v>
      </c>
      <c r="F1166" s="4" t="s">
        <v>65</v>
      </c>
      <c r="G1166" s="4" t="s">
        <v>57</v>
      </c>
      <c r="H1166" s="4" t="s">
        <v>39</v>
      </c>
      <c r="I1166" s="5">
        <v>45172</v>
      </c>
      <c r="J1166" s="4" t="s">
        <v>40</v>
      </c>
      <c r="K1166" s="5">
        <v>45451</v>
      </c>
      <c r="L1166" s="4" t="s">
        <v>66</v>
      </c>
      <c r="M1166" s="6">
        <v>17765</v>
      </c>
      <c r="N1166" s="6">
        <v>4617</v>
      </c>
      <c r="O1166" s="4" t="s">
        <v>32</v>
      </c>
      <c r="P1166" s="4" t="s">
        <v>32</v>
      </c>
      <c r="Q1166" s="4" t="s">
        <v>33</v>
      </c>
      <c r="R1166" s="4" t="s">
        <v>33</v>
      </c>
      <c r="S1166" s="4" t="s">
        <v>60</v>
      </c>
      <c r="T1166" s="7">
        <v>3.8477000000000001</v>
      </c>
      <c r="U1166" s="8">
        <v>279</v>
      </c>
      <c r="V1166" s="8">
        <v>2024</v>
      </c>
      <c r="W1166" s="4" t="s">
        <v>67</v>
      </c>
    </row>
    <row r="1167" spans="1:23" s="9" customFormat="1" ht="15.75" hidden="1" customHeight="1" x14ac:dyDescent="0.25">
      <c r="A1167" s="10" t="s">
        <v>3559</v>
      </c>
      <c r="B1167" s="10" t="s">
        <v>3560</v>
      </c>
      <c r="C1167" s="10" t="s">
        <v>3561</v>
      </c>
      <c r="D1167" s="22" t="s">
        <v>6090</v>
      </c>
      <c r="E1167" s="10" t="s">
        <v>26</v>
      </c>
      <c r="F1167" s="10" t="s">
        <v>56</v>
      </c>
      <c r="G1167" s="10" t="s">
        <v>57</v>
      </c>
      <c r="H1167" s="10" t="s">
        <v>72</v>
      </c>
      <c r="I1167" s="11">
        <v>45100</v>
      </c>
      <c r="J1167" s="10" t="s">
        <v>30</v>
      </c>
      <c r="K1167" s="11">
        <v>45434</v>
      </c>
      <c r="L1167" s="10" t="s">
        <v>31</v>
      </c>
      <c r="M1167" s="12">
        <v>35533</v>
      </c>
      <c r="N1167" s="12">
        <v>4297</v>
      </c>
      <c r="O1167" s="10" t="s">
        <v>32</v>
      </c>
      <c r="P1167" s="10" t="s">
        <v>32</v>
      </c>
      <c r="Q1167" s="10" t="s">
        <v>33</v>
      </c>
      <c r="R1167" s="10" t="s">
        <v>33</v>
      </c>
      <c r="S1167" s="10" t="s">
        <v>34</v>
      </c>
      <c r="T1167" s="13">
        <v>8.2692999999999994</v>
      </c>
      <c r="U1167" s="14">
        <v>334</v>
      </c>
      <c r="V1167" s="14">
        <v>2024</v>
      </c>
      <c r="W1167" s="10" t="s">
        <v>52</v>
      </c>
    </row>
    <row r="1168" spans="1:23" s="9" customFormat="1" ht="15.75" hidden="1" customHeight="1" x14ac:dyDescent="0.25">
      <c r="A1168" s="4" t="s">
        <v>3562</v>
      </c>
      <c r="B1168" s="4" t="s">
        <v>3563</v>
      </c>
      <c r="C1168" s="4" t="s">
        <v>3564</v>
      </c>
      <c r="D1168" s="22" t="s">
        <v>6090</v>
      </c>
      <c r="E1168" s="4" t="s">
        <v>51</v>
      </c>
      <c r="F1168" s="4" t="s">
        <v>27</v>
      </c>
      <c r="G1168" s="4" t="s">
        <v>28</v>
      </c>
      <c r="H1168" s="4" t="s">
        <v>29</v>
      </c>
      <c r="I1168" s="5">
        <v>45250</v>
      </c>
      <c r="J1168" s="4" t="s">
        <v>30</v>
      </c>
      <c r="K1168" s="5">
        <v>45559</v>
      </c>
      <c r="L1168" s="4" t="s">
        <v>59</v>
      </c>
      <c r="M1168" s="6">
        <v>49467</v>
      </c>
      <c r="N1168" s="6">
        <v>5351</v>
      </c>
      <c r="O1168" s="4">
        <v>2</v>
      </c>
      <c r="P1168" s="5">
        <v>45561</v>
      </c>
      <c r="Q1168" s="4" t="s">
        <v>33</v>
      </c>
      <c r="R1168" s="4" t="s">
        <v>33</v>
      </c>
      <c r="S1168" s="4" t="s">
        <v>41</v>
      </c>
      <c r="T1168" s="7">
        <v>9.2444000000000006</v>
      </c>
      <c r="U1168" s="8">
        <v>309</v>
      </c>
      <c r="V1168" s="8">
        <v>2024</v>
      </c>
      <c r="W1168" s="4" t="s">
        <v>168</v>
      </c>
    </row>
    <row r="1169" spans="1:23" s="9" customFormat="1" ht="15.75" hidden="1" customHeight="1" x14ac:dyDescent="0.25">
      <c r="A1169" s="10" t="s">
        <v>3565</v>
      </c>
      <c r="B1169" s="10" t="s">
        <v>3566</v>
      </c>
      <c r="C1169" s="10" t="s">
        <v>3567</v>
      </c>
      <c r="D1169" s="21" t="s">
        <v>6088</v>
      </c>
      <c r="E1169" s="10" t="s">
        <v>26</v>
      </c>
      <c r="F1169" s="21" t="s">
        <v>6092</v>
      </c>
      <c r="G1169" s="10" t="s">
        <v>5</v>
      </c>
      <c r="H1169" s="10" t="s">
        <v>88</v>
      </c>
      <c r="I1169" s="11">
        <v>45190</v>
      </c>
      <c r="J1169" s="10" t="s">
        <v>40</v>
      </c>
      <c r="K1169" s="11">
        <v>45549</v>
      </c>
      <c r="L1169" s="10" t="s">
        <v>59</v>
      </c>
      <c r="M1169" s="12">
        <v>46888</v>
      </c>
      <c r="N1169" s="12">
        <v>6798</v>
      </c>
      <c r="O1169" s="10">
        <v>38</v>
      </c>
      <c r="P1169" s="11">
        <v>45587</v>
      </c>
      <c r="Q1169" s="10" t="s">
        <v>33</v>
      </c>
      <c r="R1169" s="10" t="s">
        <v>33</v>
      </c>
      <c r="S1169" s="10" t="s">
        <v>34</v>
      </c>
      <c r="T1169" s="13">
        <v>6.8973000000000004</v>
      </c>
      <c r="U1169" s="14">
        <v>359</v>
      </c>
      <c r="V1169" s="14">
        <v>2024</v>
      </c>
      <c r="W1169" s="10" t="s">
        <v>168</v>
      </c>
    </row>
    <row r="1170" spans="1:23" s="9" customFormat="1" ht="15.75" hidden="1" customHeight="1" x14ac:dyDescent="0.25">
      <c r="A1170" s="4" t="s">
        <v>3568</v>
      </c>
      <c r="B1170" s="4" t="s">
        <v>3569</v>
      </c>
      <c r="C1170" s="4" t="s">
        <v>3570</v>
      </c>
      <c r="D1170" s="22" t="s">
        <v>6090</v>
      </c>
      <c r="E1170" s="4" t="s">
        <v>51</v>
      </c>
      <c r="F1170" s="4" t="s">
        <v>46</v>
      </c>
      <c r="G1170" s="4" t="s">
        <v>28</v>
      </c>
      <c r="H1170" s="4" t="s">
        <v>93</v>
      </c>
      <c r="I1170" s="5">
        <v>45344</v>
      </c>
      <c r="J1170" s="4" t="s">
        <v>30</v>
      </c>
      <c r="K1170" s="5">
        <v>45498</v>
      </c>
      <c r="L1170" s="4" t="s">
        <v>59</v>
      </c>
      <c r="M1170" s="6">
        <v>20010</v>
      </c>
      <c r="N1170" s="6">
        <v>2912</v>
      </c>
      <c r="O1170" s="4">
        <v>20</v>
      </c>
      <c r="P1170" s="5">
        <v>45518</v>
      </c>
      <c r="Q1170" s="4" t="s">
        <v>33</v>
      </c>
      <c r="R1170" s="4" t="s">
        <v>33</v>
      </c>
      <c r="S1170" s="4" t="s">
        <v>41</v>
      </c>
      <c r="T1170" s="7">
        <v>6.8715999999999999</v>
      </c>
      <c r="U1170" s="8">
        <v>154</v>
      </c>
      <c r="V1170" s="8">
        <v>2024</v>
      </c>
      <c r="W1170" s="4" t="s">
        <v>42</v>
      </c>
    </row>
    <row r="1171" spans="1:23" s="9" customFormat="1" ht="15.75" hidden="1" customHeight="1" x14ac:dyDescent="0.25">
      <c r="A1171" s="10" t="s">
        <v>3571</v>
      </c>
      <c r="B1171" s="10" t="s">
        <v>3572</v>
      </c>
      <c r="C1171" s="10" t="s">
        <v>3573</v>
      </c>
      <c r="D1171" s="21" t="s">
        <v>6088</v>
      </c>
      <c r="E1171" s="10" t="s">
        <v>87</v>
      </c>
      <c r="F1171" s="10" t="s">
        <v>56</v>
      </c>
      <c r="G1171" s="10" t="s">
        <v>5</v>
      </c>
      <c r="H1171" s="10" t="s">
        <v>118</v>
      </c>
      <c r="I1171" s="11">
        <v>45236</v>
      </c>
      <c r="J1171" s="10" t="s">
        <v>30</v>
      </c>
      <c r="K1171" s="11">
        <v>45506</v>
      </c>
      <c r="L1171" s="10" t="s">
        <v>31</v>
      </c>
      <c r="M1171" s="12">
        <v>30513</v>
      </c>
      <c r="N1171" s="12">
        <v>3242</v>
      </c>
      <c r="O1171" s="10" t="s">
        <v>32</v>
      </c>
      <c r="P1171" s="10" t="s">
        <v>32</v>
      </c>
      <c r="Q1171" s="10" t="s">
        <v>33</v>
      </c>
      <c r="R1171" s="10" t="s">
        <v>33</v>
      </c>
      <c r="S1171" s="10" t="s">
        <v>60</v>
      </c>
      <c r="T1171" s="13">
        <v>9.4117999999999995</v>
      </c>
      <c r="U1171" s="14">
        <v>270</v>
      </c>
      <c r="V1171" s="14">
        <v>2024</v>
      </c>
      <c r="W1171" s="10" t="s">
        <v>114</v>
      </c>
    </row>
    <row r="1172" spans="1:23" s="9" customFormat="1" ht="15.75" hidden="1" customHeight="1" x14ac:dyDescent="0.25">
      <c r="A1172" s="4" t="s">
        <v>3574</v>
      </c>
      <c r="B1172" s="4" t="s">
        <v>3575</v>
      </c>
      <c r="C1172" s="4" t="s">
        <v>3576</v>
      </c>
      <c r="D1172" s="22" t="s">
        <v>6087</v>
      </c>
      <c r="E1172" s="4" t="s">
        <v>51</v>
      </c>
      <c r="F1172" s="4" t="s">
        <v>46</v>
      </c>
      <c r="G1172" s="4" t="s">
        <v>28</v>
      </c>
      <c r="H1172" s="4" t="s">
        <v>29</v>
      </c>
      <c r="I1172" s="5">
        <v>45225</v>
      </c>
      <c r="J1172" s="4" t="s">
        <v>30</v>
      </c>
      <c r="K1172" s="5">
        <v>45411</v>
      </c>
      <c r="L1172" s="4" t="s">
        <v>59</v>
      </c>
      <c r="M1172" s="6">
        <v>4505</v>
      </c>
      <c r="N1172" s="6">
        <v>1708</v>
      </c>
      <c r="O1172" s="4">
        <v>21</v>
      </c>
      <c r="P1172" s="5">
        <v>45432</v>
      </c>
      <c r="Q1172" s="4" t="s">
        <v>33</v>
      </c>
      <c r="R1172" s="4" t="s">
        <v>33</v>
      </c>
      <c r="S1172" s="4" t="s">
        <v>34</v>
      </c>
      <c r="T1172" s="7">
        <v>2.6375999999999999</v>
      </c>
      <c r="U1172" s="8">
        <v>186</v>
      </c>
      <c r="V1172" s="8">
        <v>2024</v>
      </c>
      <c r="W1172" s="4" t="s">
        <v>47</v>
      </c>
    </row>
    <row r="1173" spans="1:23" s="9" customFormat="1" ht="15.75" hidden="1" customHeight="1" x14ac:dyDescent="0.25">
      <c r="A1173" s="10" t="s">
        <v>3577</v>
      </c>
      <c r="B1173" s="10" t="s">
        <v>3578</v>
      </c>
      <c r="C1173" s="10" t="s">
        <v>3579</v>
      </c>
      <c r="D1173" s="21" t="s">
        <v>6089</v>
      </c>
      <c r="E1173" s="10" t="s">
        <v>87</v>
      </c>
      <c r="F1173" s="10" t="s">
        <v>71</v>
      </c>
      <c r="G1173" s="10" t="s">
        <v>5</v>
      </c>
      <c r="H1173" s="10" t="s">
        <v>93</v>
      </c>
      <c r="I1173" s="11">
        <v>45341</v>
      </c>
      <c r="J1173" s="10" t="s">
        <v>40</v>
      </c>
      <c r="K1173" s="11">
        <v>45377</v>
      </c>
      <c r="L1173" s="10" t="s">
        <v>59</v>
      </c>
      <c r="M1173" s="12">
        <v>38963</v>
      </c>
      <c r="N1173" s="12">
        <v>4708</v>
      </c>
      <c r="O1173" s="10">
        <v>39</v>
      </c>
      <c r="P1173" s="11">
        <v>45416</v>
      </c>
      <c r="Q1173" s="10" t="s">
        <v>33</v>
      </c>
      <c r="R1173" s="10" t="s">
        <v>33</v>
      </c>
      <c r="S1173" s="10" t="s">
        <v>34</v>
      </c>
      <c r="T1173" s="13">
        <v>8.2759</v>
      </c>
      <c r="U1173" s="14">
        <v>36</v>
      </c>
      <c r="V1173" s="14">
        <v>2024</v>
      </c>
      <c r="W1173" s="10" t="s">
        <v>77</v>
      </c>
    </row>
    <row r="1174" spans="1:23" s="9" customFormat="1" ht="15.75" hidden="1" customHeight="1" x14ac:dyDescent="0.25">
      <c r="A1174" s="4" t="s">
        <v>3580</v>
      </c>
      <c r="B1174" s="4" t="s">
        <v>3581</v>
      </c>
      <c r="C1174" s="4" t="s">
        <v>3582</v>
      </c>
      <c r="D1174" s="22" t="s">
        <v>6087</v>
      </c>
      <c r="E1174" s="4" t="s">
        <v>87</v>
      </c>
      <c r="F1174" s="4" t="s">
        <v>27</v>
      </c>
      <c r="G1174" s="4" t="s">
        <v>57</v>
      </c>
      <c r="H1174" s="4" t="s">
        <v>88</v>
      </c>
      <c r="I1174" s="5">
        <v>45117</v>
      </c>
      <c r="J1174" s="4" t="s">
        <v>40</v>
      </c>
      <c r="K1174" s="5">
        <v>45392</v>
      </c>
      <c r="L1174" s="4" t="s">
        <v>59</v>
      </c>
      <c r="M1174" s="6">
        <v>9744</v>
      </c>
      <c r="N1174" s="6">
        <v>7002</v>
      </c>
      <c r="O1174" s="4">
        <v>6</v>
      </c>
      <c r="P1174" s="5">
        <v>45398</v>
      </c>
      <c r="Q1174" s="4" t="s">
        <v>94</v>
      </c>
      <c r="R1174" s="4" t="s">
        <v>33</v>
      </c>
      <c r="S1174" s="4" t="s">
        <v>60</v>
      </c>
      <c r="T1174" s="7">
        <v>1.3915999999999999</v>
      </c>
      <c r="U1174" s="8">
        <v>275</v>
      </c>
      <c r="V1174" s="8">
        <v>2024</v>
      </c>
      <c r="W1174" s="4" t="s">
        <v>47</v>
      </c>
    </row>
    <row r="1175" spans="1:23" s="9" customFormat="1" ht="15.75" hidden="1" customHeight="1" x14ac:dyDescent="0.25">
      <c r="A1175" s="10" t="s">
        <v>3583</v>
      </c>
      <c r="B1175" s="10" t="s">
        <v>3584</v>
      </c>
      <c r="C1175" s="10" t="s">
        <v>3585</v>
      </c>
      <c r="D1175" s="22" t="s">
        <v>6090</v>
      </c>
      <c r="E1175" s="10" t="s">
        <v>26</v>
      </c>
      <c r="F1175" s="10" t="s">
        <v>56</v>
      </c>
      <c r="G1175" s="10" t="s">
        <v>28</v>
      </c>
      <c r="H1175" s="10" t="s">
        <v>72</v>
      </c>
      <c r="I1175" s="11">
        <v>45059</v>
      </c>
      <c r="J1175" s="10" t="s">
        <v>40</v>
      </c>
      <c r="K1175" s="11">
        <v>45415</v>
      </c>
      <c r="L1175" s="10" t="s">
        <v>59</v>
      </c>
      <c r="M1175" s="12">
        <v>56637</v>
      </c>
      <c r="N1175" s="12">
        <v>4410</v>
      </c>
      <c r="O1175" s="10">
        <v>16</v>
      </c>
      <c r="P1175" s="11">
        <v>45431</v>
      </c>
      <c r="Q1175" s="10" t="s">
        <v>33</v>
      </c>
      <c r="R1175" s="10" t="s">
        <v>33</v>
      </c>
      <c r="S1175" s="10" t="s">
        <v>60</v>
      </c>
      <c r="T1175" s="13">
        <v>12.8429</v>
      </c>
      <c r="U1175" s="14">
        <v>356</v>
      </c>
      <c r="V1175" s="14">
        <v>2024</v>
      </c>
      <c r="W1175" s="10" t="s">
        <v>52</v>
      </c>
    </row>
    <row r="1176" spans="1:23" s="9" customFormat="1" ht="15.75" hidden="1" customHeight="1" x14ac:dyDescent="0.25">
      <c r="A1176" s="4" t="s">
        <v>3586</v>
      </c>
      <c r="B1176" s="4" t="s">
        <v>3587</v>
      </c>
      <c r="C1176" s="4" t="s">
        <v>3588</v>
      </c>
      <c r="D1176" s="22" t="s">
        <v>6087</v>
      </c>
      <c r="E1176" s="4" t="s">
        <v>51</v>
      </c>
      <c r="F1176" s="4" t="s">
        <v>65</v>
      </c>
      <c r="G1176" s="4" t="s">
        <v>57</v>
      </c>
      <c r="H1176" s="4" t="s">
        <v>39</v>
      </c>
      <c r="I1176" s="5">
        <v>45313</v>
      </c>
      <c r="J1176" s="4" t="s">
        <v>40</v>
      </c>
      <c r="K1176" s="5">
        <v>45435</v>
      </c>
      <c r="L1176" s="4" t="s">
        <v>59</v>
      </c>
      <c r="M1176" s="6">
        <v>24010</v>
      </c>
      <c r="N1176" s="6">
        <v>2469</v>
      </c>
      <c r="O1176" s="4">
        <v>17</v>
      </c>
      <c r="P1176" s="5">
        <v>45452</v>
      </c>
      <c r="Q1176" s="4" t="s">
        <v>33</v>
      </c>
      <c r="R1176" s="4" t="s">
        <v>33</v>
      </c>
      <c r="S1176" s="4" t="s">
        <v>34</v>
      </c>
      <c r="T1176" s="7">
        <v>9.7246000000000006</v>
      </c>
      <c r="U1176" s="8">
        <v>122</v>
      </c>
      <c r="V1176" s="8">
        <v>2024</v>
      </c>
      <c r="W1176" s="4" t="s">
        <v>52</v>
      </c>
    </row>
    <row r="1177" spans="1:23" s="9" customFormat="1" ht="15.75" hidden="1" customHeight="1" x14ac:dyDescent="0.25">
      <c r="A1177" s="10" t="s">
        <v>3589</v>
      </c>
      <c r="B1177" s="10" t="s">
        <v>3590</v>
      </c>
      <c r="C1177" s="10" t="s">
        <v>3591</v>
      </c>
      <c r="D1177" s="22" t="s">
        <v>6087</v>
      </c>
      <c r="E1177" s="10" t="s">
        <v>51</v>
      </c>
      <c r="F1177" s="10" t="s">
        <v>46</v>
      </c>
      <c r="G1177" s="10" t="s">
        <v>28</v>
      </c>
      <c r="H1177" s="10" t="s">
        <v>58</v>
      </c>
      <c r="I1177" s="11">
        <v>45252</v>
      </c>
      <c r="J1177" s="10" t="s">
        <v>30</v>
      </c>
      <c r="K1177" s="11">
        <v>45594</v>
      </c>
      <c r="L1177" s="10" t="s">
        <v>59</v>
      </c>
      <c r="M1177" s="12">
        <v>34128</v>
      </c>
      <c r="N1177" s="12">
        <v>6120</v>
      </c>
      <c r="O1177" s="10">
        <v>37</v>
      </c>
      <c r="P1177" s="11">
        <v>45631</v>
      </c>
      <c r="Q1177" s="10" t="s">
        <v>33</v>
      </c>
      <c r="R1177" s="10" t="s">
        <v>33</v>
      </c>
      <c r="S1177" s="10" t="s">
        <v>60</v>
      </c>
      <c r="T1177" s="13">
        <v>5.5765000000000002</v>
      </c>
      <c r="U1177" s="14">
        <v>342</v>
      </c>
      <c r="V1177" s="14">
        <v>2024</v>
      </c>
      <c r="W1177" s="10" t="s">
        <v>95</v>
      </c>
    </row>
    <row r="1178" spans="1:23" s="9" customFormat="1" ht="15.75" hidden="1" customHeight="1" x14ac:dyDescent="0.25">
      <c r="A1178" s="4" t="s">
        <v>3592</v>
      </c>
      <c r="B1178" s="4" t="s">
        <v>3593</v>
      </c>
      <c r="C1178" s="4" t="s">
        <v>3594</v>
      </c>
      <c r="D1178" s="21" t="s">
        <v>6091</v>
      </c>
      <c r="E1178" s="4" t="s">
        <v>51</v>
      </c>
      <c r="F1178" s="4" t="s">
        <v>56</v>
      </c>
      <c r="G1178" s="4" t="s">
        <v>5</v>
      </c>
      <c r="H1178" s="4" t="s">
        <v>72</v>
      </c>
      <c r="I1178" s="5">
        <v>45489</v>
      </c>
      <c r="J1178" s="4" t="s">
        <v>40</v>
      </c>
      <c r="K1178" s="5">
        <v>45656</v>
      </c>
      <c r="L1178" s="4" t="s">
        <v>59</v>
      </c>
      <c r="M1178" s="6">
        <v>10979</v>
      </c>
      <c r="N1178" s="6">
        <v>8956</v>
      </c>
      <c r="O1178" s="4">
        <v>4</v>
      </c>
      <c r="P1178" s="5">
        <v>45660</v>
      </c>
      <c r="Q1178" s="4" t="s">
        <v>33</v>
      </c>
      <c r="R1178" s="4" t="s">
        <v>33</v>
      </c>
      <c r="S1178" s="4" t="s">
        <v>60</v>
      </c>
      <c r="T1178" s="7">
        <v>1.2259</v>
      </c>
      <c r="U1178" s="8">
        <v>167</v>
      </c>
      <c r="V1178" s="8">
        <v>2024</v>
      </c>
      <c r="W1178" s="4" t="s">
        <v>89</v>
      </c>
    </row>
    <row r="1179" spans="1:23" s="9" customFormat="1" ht="15.75" hidden="1" customHeight="1" x14ac:dyDescent="0.25">
      <c r="A1179" s="10" t="s">
        <v>3595</v>
      </c>
      <c r="B1179" s="10" t="s">
        <v>3596</v>
      </c>
      <c r="C1179" s="10" t="s">
        <v>3597</v>
      </c>
      <c r="D1179" s="22" t="s">
        <v>6087</v>
      </c>
      <c r="E1179" s="10" t="s">
        <v>87</v>
      </c>
      <c r="F1179" s="10" t="s">
        <v>71</v>
      </c>
      <c r="G1179" s="10" t="s">
        <v>5</v>
      </c>
      <c r="H1179" s="10" t="s">
        <v>118</v>
      </c>
      <c r="I1179" s="11">
        <v>45135</v>
      </c>
      <c r="J1179" s="10" t="s">
        <v>30</v>
      </c>
      <c r="K1179" s="11">
        <v>45319</v>
      </c>
      <c r="L1179" s="10" t="s">
        <v>66</v>
      </c>
      <c r="M1179" s="12">
        <v>7248</v>
      </c>
      <c r="N1179" s="12">
        <v>2051</v>
      </c>
      <c r="O1179" s="10" t="s">
        <v>32</v>
      </c>
      <c r="P1179" s="10" t="s">
        <v>32</v>
      </c>
      <c r="Q1179" s="10" t="s">
        <v>33</v>
      </c>
      <c r="R1179" s="10" t="s">
        <v>33</v>
      </c>
      <c r="S1179" s="10" t="s">
        <v>60</v>
      </c>
      <c r="T1179" s="13">
        <v>3.5339</v>
      </c>
      <c r="U1179" s="14">
        <v>184</v>
      </c>
      <c r="V1179" s="14">
        <v>2024</v>
      </c>
      <c r="W1179" s="10" t="s">
        <v>73</v>
      </c>
    </row>
    <row r="1180" spans="1:23" s="9" customFormat="1" ht="15.75" hidden="1" customHeight="1" x14ac:dyDescent="0.25">
      <c r="A1180" s="4" t="s">
        <v>3598</v>
      </c>
      <c r="B1180" s="4" t="s">
        <v>3599</v>
      </c>
      <c r="C1180" s="4" t="s">
        <v>3600</v>
      </c>
      <c r="D1180" s="21" t="s">
        <v>6091</v>
      </c>
      <c r="E1180" s="4" t="s">
        <v>26</v>
      </c>
      <c r="F1180" s="4" t="s">
        <v>71</v>
      </c>
      <c r="G1180" s="4" t="s">
        <v>57</v>
      </c>
      <c r="H1180" s="4" t="s">
        <v>93</v>
      </c>
      <c r="I1180" s="5">
        <v>45370</v>
      </c>
      <c r="J1180" s="4" t="s">
        <v>40</v>
      </c>
      <c r="K1180" s="5">
        <v>45431</v>
      </c>
      <c r="L1180" s="4" t="s">
        <v>59</v>
      </c>
      <c r="M1180" s="6">
        <v>18608</v>
      </c>
      <c r="N1180" s="6">
        <v>8823</v>
      </c>
      <c r="O1180" s="4">
        <v>20</v>
      </c>
      <c r="P1180" s="5">
        <v>45451</v>
      </c>
      <c r="Q1180" s="4" t="s">
        <v>94</v>
      </c>
      <c r="R1180" s="4" t="s">
        <v>94</v>
      </c>
      <c r="S1180" s="4" t="s">
        <v>60</v>
      </c>
      <c r="T1180" s="7">
        <v>2.109</v>
      </c>
      <c r="U1180" s="8">
        <v>61</v>
      </c>
      <c r="V1180" s="8">
        <v>2024</v>
      </c>
      <c r="W1180" s="4" t="s">
        <v>52</v>
      </c>
    </row>
    <row r="1181" spans="1:23" s="9" customFormat="1" ht="15.75" hidden="1" customHeight="1" x14ac:dyDescent="0.25">
      <c r="A1181" s="10" t="s">
        <v>3601</v>
      </c>
      <c r="B1181" s="10" t="s">
        <v>3602</v>
      </c>
      <c r="C1181" s="10" t="s">
        <v>3603</v>
      </c>
      <c r="D1181" s="22" t="s">
        <v>6087</v>
      </c>
      <c r="E1181" s="10" t="s">
        <v>26</v>
      </c>
      <c r="F1181" s="10" t="s">
        <v>65</v>
      </c>
      <c r="G1181" s="10" t="s">
        <v>28</v>
      </c>
      <c r="H1181" s="10" t="s">
        <v>58</v>
      </c>
      <c r="I1181" s="11">
        <v>45156</v>
      </c>
      <c r="J1181" s="10" t="s">
        <v>40</v>
      </c>
      <c r="K1181" s="11">
        <v>45369</v>
      </c>
      <c r="L1181" s="10" t="s">
        <v>59</v>
      </c>
      <c r="M1181" s="12">
        <v>39305</v>
      </c>
      <c r="N1181" s="12">
        <v>6431</v>
      </c>
      <c r="O1181" s="10">
        <v>26</v>
      </c>
      <c r="P1181" s="11">
        <v>45395</v>
      </c>
      <c r="Q1181" s="10" t="s">
        <v>94</v>
      </c>
      <c r="R1181" s="10" t="s">
        <v>94</v>
      </c>
      <c r="S1181" s="10" t="s">
        <v>41</v>
      </c>
      <c r="T1181" s="13">
        <v>6.1117999999999997</v>
      </c>
      <c r="U1181" s="14">
        <v>213</v>
      </c>
      <c r="V1181" s="14">
        <v>2024</v>
      </c>
      <c r="W1181" s="10" t="s">
        <v>77</v>
      </c>
    </row>
    <row r="1182" spans="1:23" s="9" customFormat="1" ht="15.75" hidden="1" customHeight="1" x14ac:dyDescent="0.25">
      <c r="A1182" s="4" t="s">
        <v>3604</v>
      </c>
      <c r="B1182" s="4" t="s">
        <v>3605</v>
      </c>
      <c r="C1182" s="4" t="s">
        <v>3606</v>
      </c>
      <c r="D1182" s="22" t="s">
        <v>6090</v>
      </c>
      <c r="E1182" s="4" t="s">
        <v>51</v>
      </c>
      <c r="F1182" s="4" t="s">
        <v>56</v>
      </c>
      <c r="G1182" s="4" t="s">
        <v>57</v>
      </c>
      <c r="H1182" s="4" t="s">
        <v>161</v>
      </c>
      <c r="I1182" s="5">
        <v>45508</v>
      </c>
      <c r="J1182" s="4" t="s">
        <v>40</v>
      </c>
      <c r="K1182" s="5">
        <v>45562</v>
      </c>
      <c r="L1182" s="4" t="s">
        <v>59</v>
      </c>
      <c r="M1182" s="6">
        <v>48774</v>
      </c>
      <c r="N1182" s="6">
        <v>5674</v>
      </c>
      <c r="O1182" s="4">
        <v>42</v>
      </c>
      <c r="P1182" s="5">
        <v>45604</v>
      </c>
      <c r="Q1182" s="4" t="s">
        <v>33</v>
      </c>
      <c r="R1182" s="4" t="s">
        <v>33</v>
      </c>
      <c r="S1182" s="4" t="s">
        <v>34</v>
      </c>
      <c r="T1182" s="7">
        <v>8.5960999999999999</v>
      </c>
      <c r="U1182" s="8">
        <v>54</v>
      </c>
      <c r="V1182" s="8">
        <v>2024</v>
      </c>
      <c r="W1182" s="4" t="s">
        <v>168</v>
      </c>
    </row>
    <row r="1183" spans="1:23" s="9" customFormat="1" ht="15.75" hidden="1" customHeight="1" x14ac:dyDescent="0.25">
      <c r="A1183" s="10" t="s">
        <v>3607</v>
      </c>
      <c r="B1183" s="10" t="s">
        <v>3608</v>
      </c>
      <c r="C1183" s="10" t="s">
        <v>3609</v>
      </c>
      <c r="D1183" s="22" t="s">
        <v>6090</v>
      </c>
      <c r="E1183" s="10" t="s">
        <v>26</v>
      </c>
      <c r="F1183" s="10" t="s">
        <v>27</v>
      </c>
      <c r="G1183" s="10" t="s">
        <v>5</v>
      </c>
      <c r="H1183" s="10" t="s">
        <v>118</v>
      </c>
      <c r="I1183" s="11">
        <v>45284</v>
      </c>
      <c r="J1183" s="10" t="s">
        <v>30</v>
      </c>
      <c r="K1183" s="11">
        <v>45342</v>
      </c>
      <c r="L1183" s="10" t="s">
        <v>59</v>
      </c>
      <c r="M1183" s="12">
        <v>42919</v>
      </c>
      <c r="N1183" s="12">
        <v>2428</v>
      </c>
      <c r="O1183" s="10">
        <v>24</v>
      </c>
      <c r="P1183" s="11">
        <v>45366</v>
      </c>
      <c r="Q1183" s="10" t="s">
        <v>33</v>
      </c>
      <c r="R1183" s="10" t="s">
        <v>33</v>
      </c>
      <c r="S1183" s="10" t="s">
        <v>41</v>
      </c>
      <c r="T1183" s="13">
        <v>17.6767</v>
      </c>
      <c r="U1183" s="14">
        <v>58</v>
      </c>
      <c r="V1183" s="14">
        <v>2024</v>
      </c>
      <c r="W1183" s="10" t="s">
        <v>35</v>
      </c>
    </row>
    <row r="1184" spans="1:23" s="9" customFormat="1" ht="15.75" hidden="1" customHeight="1" x14ac:dyDescent="0.25">
      <c r="A1184" s="4" t="s">
        <v>3610</v>
      </c>
      <c r="B1184" s="4" t="s">
        <v>3611</v>
      </c>
      <c r="C1184" s="4" t="s">
        <v>3612</v>
      </c>
      <c r="D1184" s="21" t="s">
        <v>6086</v>
      </c>
      <c r="E1184" s="4" t="s">
        <v>26</v>
      </c>
      <c r="F1184" s="4" t="s">
        <v>71</v>
      </c>
      <c r="G1184" s="4" t="s">
        <v>28</v>
      </c>
      <c r="H1184" s="4" t="s">
        <v>58</v>
      </c>
      <c r="I1184" s="5">
        <v>45177</v>
      </c>
      <c r="J1184" s="4" t="s">
        <v>30</v>
      </c>
      <c r="K1184" s="5">
        <v>45381</v>
      </c>
      <c r="L1184" s="4" t="s">
        <v>66</v>
      </c>
      <c r="M1184" s="6">
        <v>57576</v>
      </c>
      <c r="N1184" s="6">
        <v>6806</v>
      </c>
      <c r="O1184" s="4" t="s">
        <v>32</v>
      </c>
      <c r="P1184" s="4" t="s">
        <v>32</v>
      </c>
      <c r="Q1184" s="4" t="s">
        <v>33</v>
      </c>
      <c r="R1184" s="4" t="s">
        <v>33</v>
      </c>
      <c r="S1184" s="4" t="s">
        <v>34</v>
      </c>
      <c r="T1184" s="7">
        <v>8.4596</v>
      </c>
      <c r="U1184" s="8">
        <v>204</v>
      </c>
      <c r="V1184" s="8">
        <v>2024</v>
      </c>
      <c r="W1184" s="4" t="s">
        <v>77</v>
      </c>
    </row>
    <row r="1185" spans="1:23" s="9" customFormat="1" ht="15.75" hidden="1" customHeight="1" x14ac:dyDescent="0.25">
      <c r="A1185" s="10" t="s">
        <v>3613</v>
      </c>
      <c r="B1185" s="10" t="s">
        <v>3614</v>
      </c>
      <c r="C1185" s="10" t="s">
        <v>3615</v>
      </c>
      <c r="D1185" s="21" t="s">
        <v>6088</v>
      </c>
      <c r="E1185" s="10" t="s">
        <v>51</v>
      </c>
      <c r="F1185" s="10" t="s">
        <v>46</v>
      </c>
      <c r="G1185" s="10" t="s">
        <v>57</v>
      </c>
      <c r="H1185" s="10" t="s">
        <v>88</v>
      </c>
      <c r="I1185" s="11">
        <v>45479</v>
      </c>
      <c r="J1185" s="10" t="s">
        <v>30</v>
      </c>
      <c r="K1185" s="11">
        <v>45643</v>
      </c>
      <c r="L1185" s="10" t="s">
        <v>66</v>
      </c>
      <c r="M1185" s="12">
        <v>28468</v>
      </c>
      <c r="N1185" s="12">
        <v>1911</v>
      </c>
      <c r="O1185" s="10" t="s">
        <v>32</v>
      </c>
      <c r="P1185" s="10" t="s">
        <v>32</v>
      </c>
      <c r="Q1185" s="10" t="s">
        <v>33</v>
      </c>
      <c r="R1185" s="10" t="s">
        <v>33</v>
      </c>
      <c r="S1185" s="10" t="s">
        <v>34</v>
      </c>
      <c r="T1185" s="13">
        <v>14.8969</v>
      </c>
      <c r="U1185" s="14">
        <v>164</v>
      </c>
      <c r="V1185" s="14">
        <v>2024</v>
      </c>
      <c r="W1185" s="10" t="s">
        <v>89</v>
      </c>
    </row>
    <row r="1186" spans="1:23" s="9" customFormat="1" ht="15.75" hidden="1" customHeight="1" x14ac:dyDescent="0.25">
      <c r="A1186" s="4" t="s">
        <v>3616</v>
      </c>
      <c r="B1186" s="4" t="s">
        <v>3617</v>
      </c>
      <c r="C1186" s="4" t="s">
        <v>3618</v>
      </c>
      <c r="D1186" s="21" t="s">
        <v>6086</v>
      </c>
      <c r="E1186" s="4" t="s">
        <v>51</v>
      </c>
      <c r="F1186" s="4" t="s">
        <v>71</v>
      </c>
      <c r="G1186" s="4" t="s">
        <v>28</v>
      </c>
      <c r="H1186" s="4" t="s">
        <v>39</v>
      </c>
      <c r="I1186" s="5">
        <v>45225</v>
      </c>
      <c r="J1186" s="4" t="s">
        <v>30</v>
      </c>
      <c r="K1186" s="5">
        <v>45448</v>
      </c>
      <c r="L1186" s="4" t="s">
        <v>59</v>
      </c>
      <c r="M1186" s="6">
        <v>38273</v>
      </c>
      <c r="N1186" s="6">
        <v>7650</v>
      </c>
      <c r="O1186" s="4">
        <v>25</v>
      </c>
      <c r="P1186" s="5">
        <v>45473</v>
      </c>
      <c r="Q1186" s="4" t="s">
        <v>33</v>
      </c>
      <c r="R1186" s="4" t="s">
        <v>33</v>
      </c>
      <c r="S1186" s="4" t="s">
        <v>60</v>
      </c>
      <c r="T1186" s="7">
        <v>5.0030000000000001</v>
      </c>
      <c r="U1186" s="8">
        <v>223</v>
      </c>
      <c r="V1186" s="8">
        <v>2024</v>
      </c>
      <c r="W1186" s="4" t="s">
        <v>67</v>
      </c>
    </row>
    <row r="1187" spans="1:23" s="9" customFormat="1" ht="15.75" hidden="1" customHeight="1" x14ac:dyDescent="0.25">
      <c r="A1187" s="10" t="s">
        <v>3619</v>
      </c>
      <c r="B1187" s="10" t="s">
        <v>3620</v>
      </c>
      <c r="C1187" s="10" t="s">
        <v>3621</v>
      </c>
      <c r="D1187" s="22" t="s">
        <v>6090</v>
      </c>
      <c r="E1187" s="10" t="s">
        <v>26</v>
      </c>
      <c r="F1187" s="10" t="s">
        <v>56</v>
      </c>
      <c r="G1187" s="10" t="s">
        <v>5</v>
      </c>
      <c r="H1187" s="10" t="s">
        <v>93</v>
      </c>
      <c r="I1187" s="11">
        <v>45037</v>
      </c>
      <c r="J1187" s="10" t="s">
        <v>30</v>
      </c>
      <c r="K1187" s="11">
        <v>45379</v>
      </c>
      <c r="L1187" s="10" t="s">
        <v>59</v>
      </c>
      <c r="M1187" s="12">
        <v>31926</v>
      </c>
      <c r="N1187" s="12">
        <v>1488</v>
      </c>
      <c r="O1187" s="10">
        <v>28</v>
      </c>
      <c r="P1187" s="11">
        <v>45407</v>
      </c>
      <c r="Q1187" s="10" t="s">
        <v>33</v>
      </c>
      <c r="R1187" s="10" t="s">
        <v>33</v>
      </c>
      <c r="S1187" s="10" t="s">
        <v>34</v>
      </c>
      <c r="T1187" s="13">
        <v>21.4556</v>
      </c>
      <c r="U1187" s="14">
        <v>342</v>
      </c>
      <c r="V1187" s="14">
        <v>2024</v>
      </c>
      <c r="W1187" s="10" t="s">
        <v>77</v>
      </c>
    </row>
    <row r="1188" spans="1:23" s="9" customFormat="1" ht="15.75" hidden="1" customHeight="1" x14ac:dyDescent="0.25">
      <c r="A1188" s="4" t="s">
        <v>3622</v>
      </c>
      <c r="B1188" s="4" t="s">
        <v>3623</v>
      </c>
      <c r="C1188" s="4" t="s">
        <v>3624</v>
      </c>
      <c r="D1188" s="22" t="s">
        <v>6090</v>
      </c>
      <c r="E1188" s="4" t="s">
        <v>26</v>
      </c>
      <c r="F1188" s="4" t="s">
        <v>27</v>
      </c>
      <c r="G1188" s="4" t="s">
        <v>28</v>
      </c>
      <c r="H1188" s="4" t="s">
        <v>39</v>
      </c>
      <c r="I1188" s="5">
        <v>45331</v>
      </c>
      <c r="J1188" s="4" t="s">
        <v>40</v>
      </c>
      <c r="K1188" s="5">
        <v>45440</v>
      </c>
      <c r="L1188" s="4" t="s">
        <v>59</v>
      </c>
      <c r="M1188" s="6">
        <v>10738</v>
      </c>
      <c r="N1188" s="6">
        <v>585</v>
      </c>
      <c r="O1188" s="4">
        <v>6</v>
      </c>
      <c r="P1188" s="5">
        <v>45446</v>
      </c>
      <c r="Q1188" s="4" t="s">
        <v>33</v>
      </c>
      <c r="R1188" s="4" t="s">
        <v>33</v>
      </c>
      <c r="S1188" s="4" t="s">
        <v>34</v>
      </c>
      <c r="T1188" s="7">
        <v>18.355599999999999</v>
      </c>
      <c r="U1188" s="8">
        <v>109</v>
      </c>
      <c r="V1188" s="8">
        <v>2024</v>
      </c>
      <c r="W1188" s="4" t="s">
        <v>52</v>
      </c>
    </row>
    <row r="1189" spans="1:23" s="9" customFormat="1" ht="15.75" hidden="1" customHeight="1" x14ac:dyDescent="0.25">
      <c r="A1189" s="10" t="s">
        <v>3625</v>
      </c>
      <c r="B1189" s="10" t="s">
        <v>3626</v>
      </c>
      <c r="C1189" s="10" t="s">
        <v>3627</v>
      </c>
      <c r="D1189" s="22" t="s">
        <v>6087</v>
      </c>
      <c r="E1189" s="10" t="s">
        <v>87</v>
      </c>
      <c r="F1189" s="10" t="s">
        <v>56</v>
      </c>
      <c r="G1189" s="10" t="s">
        <v>57</v>
      </c>
      <c r="H1189" s="10" t="s">
        <v>88</v>
      </c>
      <c r="I1189" s="11">
        <v>45554</v>
      </c>
      <c r="J1189" s="10" t="s">
        <v>30</v>
      </c>
      <c r="K1189" s="11">
        <v>45598</v>
      </c>
      <c r="L1189" s="10" t="s">
        <v>66</v>
      </c>
      <c r="M1189" s="12">
        <v>30768</v>
      </c>
      <c r="N1189" s="12">
        <v>7537</v>
      </c>
      <c r="O1189" s="10" t="s">
        <v>32</v>
      </c>
      <c r="P1189" s="10" t="s">
        <v>32</v>
      </c>
      <c r="Q1189" s="10" t="s">
        <v>33</v>
      </c>
      <c r="R1189" s="10" t="s">
        <v>33</v>
      </c>
      <c r="S1189" s="10" t="s">
        <v>60</v>
      </c>
      <c r="T1189" s="13">
        <v>4.0823</v>
      </c>
      <c r="U1189" s="14">
        <v>44</v>
      </c>
      <c r="V1189" s="14">
        <v>2024</v>
      </c>
      <c r="W1189" s="10" t="s">
        <v>61</v>
      </c>
    </row>
    <row r="1190" spans="1:23" s="9" customFormat="1" ht="15.75" hidden="1" customHeight="1" x14ac:dyDescent="0.25">
      <c r="A1190" s="4" t="s">
        <v>3628</v>
      </c>
      <c r="B1190" s="4" t="s">
        <v>3629</v>
      </c>
      <c r="C1190" s="4" t="s">
        <v>3630</v>
      </c>
      <c r="D1190" s="22" t="s">
        <v>6090</v>
      </c>
      <c r="E1190" s="4" t="s">
        <v>87</v>
      </c>
      <c r="F1190" s="4" t="s">
        <v>46</v>
      </c>
      <c r="G1190" s="4" t="s">
        <v>5</v>
      </c>
      <c r="H1190" s="4" t="s">
        <v>58</v>
      </c>
      <c r="I1190" s="5">
        <v>45402</v>
      </c>
      <c r="J1190" s="4" t="s">
        <v>40</v>
      </c>
      <c r="K1190" s="5">
        <v>45575</v>
      </c>
      <c r="L1190" s="4" t="s">
        <v>59</v>
      </c>
      <c r="M1190" s="6">
        <v>39460</v>
      </c>
      <c r="N1190" s="6">
        <v>6421</v>
      </c>
      <c r="O1190" s="4">
        <v>16</v>
      </c>
      <c r="P1190" s="5">
        <v>45591</v>
      </c>
      <c r="Q1190" s="4" t="s">
        <v>94</v>
      </c>
      <c r="R1190" s="4" t="s">
        <v>33</v>
      </c>
      <c r="S1190" s="4" t="s">
        <v>34</v>
      </c>
      <c r="T1190" s="7">
        <v>6.1455000000000002</v>
      </c>
      <c r="U1190" s="8">
        <v>173</v>
      </c>
      <c r="V1190" s="8">
        <v>2024</v>
      </c>
      <c r="W1190" s="4" t="s">
        <v>95</v>
      </c>
    </row>
    <row r="1191" spans="1:23" s="9" customFormat="1" ht="15.75" hidden="1" customHeight="1" x14ac:dyDescent="0.25">
      <c r="A1191" s="10" t="s">
        <v>3631</v>
      </c>
      <c r="B1191" s="10" t="s">
        <v>3632</v>
      </c>
      <c r="C1191" s="10" t="s">
        <v>3633</v>
      </c>
      <c r="D1191" s="22" t="s">
        <v>6087</v>
      </c>
      <c r="E1191" s="10" t="s">
        <v>51</v>
      </c>
      <c r="F1191" s="10" t="s">
        <v>71</v>
      </c>
      <c r="G1191" s="10" t="s">
        <v>57</v>
      </c>
      <c r="H1191" s="10" t="s">
        <v>39</v>
      </c>
      <c r="I1191" s="11">
        <v>45333</v>
      </c>
      <c r="J1191" s="10" t="s">
        <v>40</v>
      </c>
      <c r="K1191" s="11">
        <v>45648</v>
      </c>
      <c r="L1191" s="10" t="s">
        <v>31</v>
      </c>
      <c r="M1191" s="12">
        <v>28930</v>
      </c>
      <c r="N1191" s="12">
        <v>2018</v>
      </c>
      <c r="O1191" s="10" t="s">
        <v>32</v>
      </c>
      <c r="P1191" s="10" t="s">
        <v>32</v>
      </c>
      <c r="Q1191" s="10" t="s">
        <v>33</v>
      </c>
      <c r="R1191" s="10" t="s">
        <v>33</v>
      </c>
      <c r="S1191" s="10" t="s">
        <v>41</v>
      </c>
      <c r="T1191" s="13">
        <v>14.336</v>
      </c>
      <c r="U1191" s="14">
        <v>315</v>
      </c>
      <c r="V1191" s="14">
        <v>2024</v>
      </c>
      <c r="W1191" s="10" t="s">
        <v>89</v>
      </c>
    </row>
    <row r="1192" spans="1:23" s="9" customFormat="1" ht="15.75" hidden="1" customHeight="1" x14ac:dyDescent="0.25">
      <c r="A1192" s="4" t="s">
        <v>3634</v>
      </c>
      <c r="B1192" s="4" t="s">
        <v>3635</v>
      </c>
      <c r="C1192" s="4" t="s">
        <v>3636</v>
      </c>
      <c r="D1192" s="22" t="s">
        <v>6090</v>
      </c>
      <c r="E1192" s="4" t="s">
        <v>51</v>
      </c>
      <c r="F1192" s="4" t="s">
        <v>71</v>
      </c>
      <c r="G1192" s="4" t="s">
        <v>28</v>
      </c>
      <c r="H1192" s="4" t="s">
        <v>58</v>
      </c>
      <c r="I1192" s="5">
        <v>45147</v>
      </c>
      <c r="J1192" s="4" t="s">
        <v>30</v>
      </c>
      <c r="K1192" s="5">
        <v>45300</v>
      </c>
      <c r="L1192" s="4" t="s">
        <v>31</v>
      </c>
      <c r="M1192" s="6">
        <v>4881</v>
      </c>
      <c r="N1192" s="6">
        <v>1418</v>
      </c>
      <c r="O1192" s="4" t="s">
        <v>32</v>
      </c>
      <c r="P1192" s="4" t="s">
        <v>32</v>
      </c>
      <c r="Q1192" s="4" t="s">
        <v>33</v>
      </c>
      <c r="R1192" s="4" t="s">
        <v>33</v>
      </c>
      <c r="S1192" s="4" t="s">
        <v>41</v>
      </c>
      <c r="T1192" s="7">
        <v>3.4422000000000001</v>
      </c>
      <c r="U1192" s="8">
        <v>153</v>
      </c>
      <c r="V1192" s="8">
        <v>2024</v>
      </c>
      <c r="W1192" s="4" t="s">
        <v>73</v>
      </c>
    </row>
    <row r="1193" spans="1:23" s="9" customFormat="1" ht="15.75" hidden="1" customHeight="1" x14ac:dyDescent="0.25">
      <c r="A1193" s="10" t="s">
        <v>3637</v>
      </c>
      <c r="B1193" s="10" t="s">
        <v>3638</v>
      </c>
      <c r="C1193" s="10" t="s">
        <v>3639</v>
      </c>
      <c r="D1193" s="21" t="s">
        <v>6088</v>
      </c>
      <c r="E1193" s="10" t="s">
        <v>87</v>
      </c>
      <c r="F1193" s="10" t="s">
        <v>71</v>
      </c>
      <c r="G1193" s="10" t="s">
        <v>5</v>
      </c>
      <c r="H1193" s="10" t="s">
        <v>29</v>
      </c>
      <c r="I1193" s="11">
        <v>45152</v>
      </c>
      <c r="J1193" s="10" t="s">
        <v>40</v>
      </c>
      <c r="K1193" s="11">
        <v>45398</v>
      </c>
      <c r="L1193" s="10" t="s">
        <v>31</v>
      </c>
      <c r="M1193" s="12">
        <v>74499</v>
      </c>
      <c r="N1193" s="12">
        <v>2142</v>
      </c>
      <c r="O1193" s="10" t="s">
        <v>32</v>
      </c>
      <c r="P1193" s="10" t="s">
        <v>32</v>
      </c>
      <c r="Q1193" s="10" t="s">
        <v>94</v>
      </c>
      <c r="R1193" s="10" t="s">
        <v>33</v>
      </c>
      <c r="S1193" s="10" t="s">
        <v>41</v>
      </c>
      <c r="T1193" s="13">
        <v>34.780099999999997</v>
      </c>
      <c r="U1193" s="14">
        <v>246</v>
      </c>
      <c r="V1193" s="14">
        <v>2024</v>
      </c>
      <c r="W1193" s="10" t="s">
        <v>47</v>
      </c>
    </row>
    <row r="1194" spans="1:23" s="9" customFormat="1" ht="15.75" hidden="1" customHeight="1" x14ac:dyDescent="0.25">
      <c r="A1194" s="4" t="s">
        <v>3640</v>
      </c>
      <c r="B1194" s="4" t="s">
        <v>3641</v>
      </c>
      <c r="C1194" s="4" t="s">
        <v>3642</v>
      </c>
      <c r="D1194" s="21" t="s">
        <v>6091</v>
      </c>
      <c r="E1194" s="4" t="s">
        <v>26</v>
      </c>
      <c r="F1194" s="4" t="s">
        <v>27</v>
      </c>
      <c r="G1194" s="4" t="s">
        <v>5</v>
      </c>
      <c r="H1194" s="4" t="s">
        <v>118</v>
      </c>
      <c r="I1194" s="5">
        <v>45486</v>
      </c>
      <c r="J1194" s="4" t="s">
        <v>30</v>
      </c>
      <c r="K1194" s="5">
        <v>45656</v>
      </c>
      <c r="L1194" s="4" t="s">
        <v>59</v>
      </c>
      <c r="M1194" s="6">
        <v>8349</v>
      </c>
      <c r="N1194" s="6">
        <v>1633</v>
      </c>
      <c r="O1194" s="4">
        <v>30</v>
      </c>
      <c r="P1194" s="5">
        <v>45686</v>
      </c>
      <c r="Q1194" s="4" t="s">
        <v>33</v>
      </c>
      <c r="R1194" s="4" t="s">
        <v>33</v>
      </c>
      <c r="S1194" s="4" t="s">
        <v>41</v>
      </c>
      <c r="T1194" s="7">
        <v>5.1127000000000002</v>
      </c>
      <c r="U1194" s="8">
        <v>170</v>
      </c>
      <c r="V1194" s="8">
        <v>2024</v>
      </c>
      <c r="W1194" s="4" t="s">
        <v>89</v>
      </c>
    </row>
    <row r="1195" spans="1:23" s="9" customFormat="1" ht="15.75" hidden="1" customHeight="1" x14ac:dyDescent="0.25">
      <c r="A1195" s="10" t="s">
        <v>3643</v>
      </c>
      <c r="B1195" s="10" t="s">
        <v>3644</v>
      </c>
      <c r="C1195" s="10" t="s">
        <v>3645</v>
      </c>
      <c r="D1195" s="22" t="s">
        <v>6087</v>
      </c>
      <c r="E1195" s="10" t="s">
        <v>26</v>
      </c>
      <c r="F1195" s="10" t="s">
        <v>71</v>
      </c>
      <c r="G1195" s="10" t="s">
        <v>28</v>
      </c>
      <c r="H1195" s="10" t="s">
        <v>118</v>
      </c>
      <c r="I1195" s="11">
        <v>45395</v>
      </c>
      <c r="J1195" s="10" t="s">
        <v>40</v>
      </c>
      <c r="K1195" s="11">
        <v>45447</v>
      </c>
      <c r="L1195" s="10" t="s">
        <v>59</v>
      </c>
      <c r="M1195" s="12">
        <v>14351</v>
      </c>
      <c r="N1195" s="12">
        <v>1507</v>
      </c>
      <c r="O1195" s="10">
        <v>44</v>
      </c>
      <c r="P1195" s="11">
        <v>45491</v>
      </c>
      <c r="Q1195" s="10" t="s">
        <v>33</v>
      </c>
      <c r="R1195" s="10" t="s">
        <v>33</v>
      </c>
      <c r="S1195" s="10" t="s">
        <v>34</v>
      </c>
      <c r="T1195" s="13">
        <v>9.5228999999999999</v>
      </c>
      <c r="U1195" s="14">
        <v>52</v>
      </c>
      <c r="V1195" s="14">
        <v>2024</v>
      </c>
      <c r="W1195" s="10" t="s">
        <v>67</v>
      </c>
    </row>
    <row r="1196" spans="1:23" s="9" customFormat="1" ht="15.75" hidden="1" customHeight="1" x14ac:dyDescent="0.25">
      <c r="A1196" s="4" t="s">
        <v>3646</v>
      </c>
      <c r="B1196" s="4" t="s">
        <v>3647</v>
      </c>
      <c r="C1196" s="4" t="s">
        <v>3648</v>
      </c>
      <c r="D1196" s="22" t="s">
        <v>6090</v>
      </c>
      <c r="E1196" s="4" t="s">
        <v>51</v>
      </c>
      <c r="F1196" s="4" t="s">
        <v>27</v>
      </c>
      <c r="G1196" s="4" t="s">
        <v>57</v>
      </c>
      <c r="H1196" s="4" t="s">
        <v>88</v>
      </c>
      <c r="I1196" s="5">
        <v>45338</v>
      </c>
      <c r="J1196" s="4" t="s">
        <v>30</v>
      </c>
      <c r="K1196" s="5">
        <v>45609</v>
      </c>
      <c r="L1196" s="4" t="s">
        <v>59</v>
      </c>
      <c r="M1196" s="6">
        <v>7029</v>
      </c>
      <c r="N1196" s="6">
        <v>3699</v>
      </c>
      <c r="O1196" s="4">
        <v>18</v>
      </c>
      <c r="P1196" s="5">
        <v>45627</v>
      </c>
      <c r="Q1196" s="4" t="s">
        <v>33</v>
      </c>
      <c r="R1196" s="4" t="s">
        <v>33</v>
      </c>
      <c r="S1196" s="4" t="s">
        <v>41</v>
      </c>
      <c r="T1196" s="7">
        <v>1.9001999999999999</v>
      </c>
      <c r="U1196" s="8">
        <v>271</v>
      </c>
      <c r="V1196" s="8">
        <v>2024</v>
      </c>
      <c r="W1196" s="4" t="s">
        <v>61</v>
      </c>
    </row>
    <row r="1197" spans="1:23" s="9" customFormat="1" ht="15.75" hidden="1" customHeight="1" x14ac:dyDescent="0.25">
      <c r="A1197" s="10" t="s">
        <v>3649</v>
      </c>
      <c r="B1197" s="10" t="s">
        <v>3650</v>
      </c>
      <c r="C1197" s="10" t="s">
        <v>3651</v>
      </c>
      <c r="D1197" s="22" t="s">
        <v>6087</v>
      </c>
      <c r="E1197" s="10" t="s">
        <v>51</v>
      </c>
      <c r="F1197" s="10" t="s">
        <v>71</v>
      </c>
      <c r="G1197" s="10" t="s">
        <v>28</v>
      </c>
      <c r="H1197" s="10" t="s">
        <v>72</v>
      </c>
      <c r="I1197" s="11">
        <v>45359</v>
      </c>
      <c r="J1197" s="10" t="s">
        <v>30</v>
      </c>
      <c r="K1197" s="11">
        <v>45502</v>
      </c>
      <c r="L1197" s="10" t="s">
        <v>59</v>
      </c>
      <c r="M1197" s="12">
        <v>38871</v>
      </c>
      <c r="N1197" s="12">
        <v>2617</v>
      </c>
      <c r="O1197" s="10">
        <v>10</v>
      </c>
      <c r="P1197" s="11">
        <v>45512</v>
      </c>
      <c r="Q1197" s="10" t="s">
        <v>94</v>
      </c>
      <c r="R1197" s="10" t="s">
        <v>33</v>
      </c>
      <c r="S1197" s="10" t="s">
        <v>41</v>
      </c>
      <c r="T1197" s="13">
        <v>14.853300000000001</v>
      </c>
      <c r="U1197" s="14">
        <v>143</v>
      </c>
      <c r="V1197" s="14">
        <v>2024</v>
      </c>
      <c r="W1197" s="10" t="s">
        <v>42</v>
      </c>
    </row>
    <row r="1198" spans="1:23" s="9" customFormat="1" ht="15.75" hidden="1" customHeight="1" x14ac:dyDescent="0.25">
      <c r="A1198" s="4" t="s">
        <v>3652</v>
      </c>
      <c r="B1198" s="4" t="s">
        <v>3653</v>
      </c>
      <c r="C1198" s="4" t="s">
        <v>3654</v>
      </c>
      <c r="D1198" s="21" t="s">
        <v>6086</v>
      </c>
      <c r="E1198" s="4" t="s">
        <v>26</v>
      </c>
      <c r="F1198" s="4" t="s">
        <v>71</v>
      </c>
      <c r="G1198" s="4" t="s">
        <v>5</v>
      </c>
      <c r="H1198" s="4" t="s">
        <v>72</v>
      </c>
      <c r="I1198" s="5">
        <v>45239</v>
      </c>
      <c r="J1198" s="4" t="s">
        <v>30</v>
      </c>
      <c r="K1198" s="5">
        <v>45335</v>
      </c>
      <c r="L1198" s="4" t="s">
        <v>59</v>
      </c>
      <c r="M1198" s="6">
        <v>37650</v>
      </c>
      <c r="N1198" s="6">
        <v>3992</v>
      </c>
      <c r="O1198" s="4">
        <v>45</v>
      </c>
      <c r="P1198" s="5">
        <v>45380</v>
      </c>
      <c r="Q1198" s="4" t="s">
        <v>94</v>
      </c>
      <c r="R1198" s="4" t="s">
        <v>33</v>
      </c>
      <c r="S1198" s="4" t="s">
        <v>41</v>
      </c>
      <c r="T1198" s="7">
        <v>9.4314</v>
      </c>
      <c r="U1198" s="8">
        <v>96</v>
      </c>
      <c r="V1198" s="8">
        <v>2024</v>
      </c>
      <c r="W1198" s="4" t="s">
        <v>35</v>
      </c>
    </row>
    <row r="1199" spans="1:23" s="9" customFormat="1" ht="15.75" hidden="1" customHeight="1" x14ac:dyDescent="0.25">
      <c r="A1199" s="10" t="s">
        <v>3655</v>
      </c>
      <c r="B1199" s="10" t="s">
        <v>3656</v>
      </c>
      <c r="C1199" s="10" t="s">
        <v>3657</v>
      </c>
      <c r="D1199" s="22" t="s">
        <v>6090</v>
      </c>
      <c r="E1199" s="10" t="s">
        <v>26</v>
      </c>
      <c r="F1199" s="21" t="s">
        <v>6092</v>
      </c>
      <c r="G1199" s="10" t="s">
        <v>28</v>
      </c>
      <c r="H1199" s="10" t="s">
        <v>93</v>
      </c>
      <c r="I1199" s="11">
        <v>45328</v>
      </c>
      <c r="J1199" s="10" t="s">
        <v>40</v>
      </c>
      <c r="K1199" s="11">
        <v>45655</v>
      </c>
      <c r="L1199" s="10" t="s">
        <v>59</v>
      </c>
      <c r="M1199" s="12">
        <v>26927</v>
      </c>
      <c r="N1199" s="12">
        <v>8739</v>
      </c>
      <c r="O1199" s="10">
        <v>23</v>
      </c>
      <c r="P1199" s="11">
        <v>45678</v>
      </c>
      <c r="Q1199" s="10" t="s">
        <v>33</v>
      </c>
      <c r="R1199" s="10" t="s">
        <v>33</v>
      </c>
      <c r="S1199" s="10" t="s">
        <v>41</v>
      </c>
      <c r="T1199" s="13">
        <v>3.0811999999999999</v>
      </c>
      <c r="U1199" s="14">
        <v>327</v>
      </c>
      <c r="V1199" s="14">
        <v>2024</v>
      </c>
      <c r="W1199" s="10" t="s">
        <v>89</v>
      </c>
    </row>
    <row r="1200" spans="1:23" s="9" customFormat="1" ht="15.75" hidden="1" customHeight="1" x14ac:dyDescent="0.25">
      <c r="A1200" s="4" t="s">
        <v>3658</v>
      </c>
      <c r="B1200" s="4" t="s">
        <v>3659</v>
      </c>
      <c r="C1200" s="4" t="s">
        <v>3660</v>
      </c>
      <c r="D1200" s="21" t="s">
        <v>6089</v>
      </c>
      <c r="E1200" s="4" t="s">
        <v>51</v>
      </c>
      <c r="F1200" s="4" t="s">
        <v>56</v>
      </c>
      <c r="G1200" s="4" t="s">
        <v>5</v>
      </c>
      <c r="H1200" s="4" t="s">
        <v>58</v>
      </c>
      <c r="I1200" s="5">
        <v>45137</v>
      </c>
      <c r="J1200" s="4" t="s">
        <v>40</v>
      </c>
      <c r="K1200" s="5">
        <v>45422</v>
      </c>
      <c r="L1200" s="4" t="s">
        <v>31</v>
      </c>
      <c r="M1200" s="6">
        <v>54966</v>
      </c>
      <c r="N1200" s="6">
        <v>8813</v>
      </c>
      <c r="O1200" s="4" t="s">
        <v>32</v>
      </c>
      <c r="P1200" s="4" t="s">
        <v>32</v>
      </c>
      <c r="Q1200" s="4" t="s">
        <v>33</v>
      </c>
      <c r="R1200" s="4" t="s">
        <v>33</v>
      </c>
      <c r="S1200" s="4" t="s">
        <v>41</v>
      </c>
      <c r="T1200" s="7">
        <v>6.2369000000000003</v>
      </c>
      <c r="U1200" s="8">
        <v>285</v>
      </c>
      <c r="V1200" s="8">
        <v>2024</v>
      </c>
      <c r="W1200" s="4" t="s">
        <v>52</v>
      </c>
    </row>
    <row r="1201" spans="1:23" s="9" customFormat="1" ht="15.75" hidden="1" customHeight="1" x14ac:dyDescent="0.25">
      <c r="A1201" s="10" t="s">
        <v>3661</v>
      </c>
      <c r="B1201" s="10" t="s">
        <v>3662</v>
      </c>
      <c r="C1201" s="10" t="s">
        <v>3663</v>
      </c>
      <c r="D1201" s="22" t="s">
        <v>6087</v>
      </c>
      <c r="E1201" s="10" t="s">
        <v>87</v>
      </c>
      <c r="F1201" s="10" t="s">
        <v>46</v>
      </c>
      <c r="G1201" s="10" t="s">
        <v>28</v>
      </c>
      <c r="H1201" s="10" t="s">
        <v>161</v>
      </c>
      <c r="I1201" s="11">
        <v>45222</v>
      </c>
      <c r="J1201" s="10" t="s">
        <v>30</v>
      </c>
      <c r="K1201" s="11">
        <v>45573</v>
      </c>
      <c r="L1201" s="10" t="s">
        <v>59</v>
      </c>
      <c r="M1201" s="12">
        <v>28856</v>
      </c>
      <c r="N1201" s="12">
        <v>8713</v>
      </c>
      <c r="O1201" s="10">
        <v>16</v>
      </c>
      <c r="P1201" s="11">
        <v>45589</v>
      </c>
      <c r="Q1201" s="10" t="s">
        <v>33</v>
      </c>
      <c r="R1201" s="10" t="s">
        <v>33</v>
      </c>
      <c r="S1201" s="10" t="s">
        <v>34</v>
      </c>
      <c r="T1201" s="13">
        <v>3.3117999999999999</v>
      </c>
      <c r="U1201" s="14">
        <v>351</v>
      </c>
      <c r="V1201" s="14">
        <v>2024</v>
      </c>
      <c r="W1201" s="10" t="s">
        <v>95</v>
      </c>
    </row>
    <row r="1202" spans="1:23" s="9" customFormat="1" ht="15.75" hidden="1" customHeight="1" x14ac:dyDescent="0.25">
      <c r="A1202" s="4" t="s">
        <v>3664</v>
      </c>
      <c r="B1202" s="4" t="s">
        <v>3665</v>
      </c>
      <c r="C1202" s="4" t="s">
        <v>3666</v>
      </c>
      <c r="D1202" s="22" t="s">
        <v>6090</v>
      </c>
      <c r="E1202" s="4" t="s">
        <v>87</v>
      </c>
      <c r="F1202" s="4" t="s">
        <v>65</v>
      </c>
      <c r="G1202" s="4" t="s">
        <v>5</v>
      </c>
      <c r="H1202" s="4" t="s">
        <v>39</v>
      </c>
      <c r="I1202" s="5">
        <v>45180</v>
      </c>
      <c r="J1202" s="4" t="s">
        <v>30</v>
      </c>
      <c r="K1202" s="5">
        <v>45421</v>
      </c>
      <c r="L1202" s="4" t="s">
        <v>66</v>
      </c>
      <c r="M1202" s="6">
        <v>21573</v>
      </c>
      <c r="N1202" s="6">
        <v>6021</v>
      </c>
      <c r="O1202" s="4" t="s">
        <v>32</v>
      </c>
      <c r="P1202" s="4" t="s">
        <v>32</v>
      </c>
      <c r="Q1202" s="4" t="s">
        <v>33</v>
      </c>
      <c r="R1202" s="4" t="s">
        <v>33</v>
      </c>
      <c r="S1202" s="4" t="s">
        <v>34</v>
      </c>
      <c r="T1202" s="7">
        <v>3.5830000000000002</v>
      </c>
      <c r="U1202" s="8">
        <v>241</v>
      </c>
      <c r="V1202" s="8">
        <v>2024</v>
      </c>
      <c r="W1202" s="4" t="s">
        <v>52</v>
      </c>
    </row>
    <row r="1203" spans="1:23" s="9" customFormat="1" ht="15.75" hidden="1" customHeight="1" x14ac:dyDescent="0.25">
      <c r="A1203" s="10" t="s">
        <v>3667</v>
      </c>
      <c r="B1203" s="10" t="s">
        <v>3668</v>
      </c>
      <c r="C1203" s="10" t="s">
        <v>3669</v>
      </c>
      <c r="D1203" s="22" t="s">
        <v>6090</v>
      </c>
      <c r="E1203" s="10" t="s">
        <v>26</v>
      </c>
      <c r="F1203" s="10" t="s">
        <v>46</v>
      </c>
      <c r="G1203" s="10" t="s">
        <v>5</v>
      </c>
      <c r="H1203" s="10" t="s">
        <v>161</v>
      </c>
      <c r="I1203" s="11">
        <v>45195</v>
      </c>
      <c r="J1203" s="10" t="s">
        <v>30</v>
      </c>
      <c r="K1203" s="11">
        <v>45331</v>
      </c>
      <c r="L1203" s="10" t="s">
        <v>31</v>
      </c>
      <c r="M1203" s="12">
        <v>44915</v>
      </c>
      <c r="N1203" s="12">
        <v>3006</v>
      </c>
      <c r="O1203" s="10" t="s">
        <v>32</v>
      </c>
      <c r="P1203" s="10" t="s">
        <v>32</v>
      </c>
      <c r="Q1203" s="10" t="s">
        <v>33</v>
      </c>
      <c r="R1203" s="10" t="s">
        <v>33</v>
      </c>
      <c r="S1203" s="10" t="s">
        <v>60</v>
      </c>
      <c r="T1203" s="13">
        <v>14.941800000000001</v>
      </c>
      <c r="U1203" s="14">
        <v>136</v>
      </c>
      <c r="V1203" s="14">
        <v>2024</v>
      </c>
      <c r="W1203" s="10" t="s">
        <v>35</v>
      </c>
    </row>
    <row r="1204" spans="1:23" s="9" customFormat="1" ht="15.75" hidden="1" customHeight="1" x14ac:dyDescent="0.25">
      <c r="A1204" s="4" t="s">
        <v>3670</v>
      </c>
      <c r="B1204" s="4" t="s">
        <v>3671</v>
      </c>
      <c r="C1204" s="4" t="s">
        <v>3672</v>
      </c>
      <c r="D1204" s="21" t="s">
        <v>6091</v>
      </c>
      <c r="E1204" s="4" t="s">
        <v>87</v>
      </c>
      <c r="F1204" s="4" t="s">
        <v>65</v>
      </c>
      <c r="G1204" s="4" t="s">
        <v>57</v>
      </c>
      <c r="H1204" s="4" t="s">
        <v>58</v>
      </c>
      <c r="I1204" s="5">
        <v>45406</v>
      </c>
      <c r="J1204" s="4" t="s">
        <v>40</v>
      </c>
      <c r="K1204" s="5">
        <v>45451</v>
      </c>
      <c r="L1204" s="4" t="s">
        <v>59</v>
      </c>
      <c r="M1204" s="6">
        <v>3328</v>
      </c>
      <c r="N1204" s="6">
        <v>8740</v>
      </c>
      <c r="O1204" s="4">
        <v>27</v>
      </c>
      <c r="P1204" s="5">
        <v>45478</v>
      </c>
      <c r="Q1204" s="4" t="s">
        <v>33</v>
      </c>
      <c r="R1204" s="4" t="s">
        <v>33</v>
      </c>
      <c r="S1204" s="4" t="s">
        <v>41</v>
      </c>
      <c r="T1204" s="7">
        <v>0.38080000000000003</v>
      </c>
      <c r="U1204" s="8">
        <v>45</v>
      </c>
      <c r="V1204" s="8">
        <v>2024</v>
      </c>
      <c r="W1204" s="4" t="s">
        <v>67</v>
      </c>
    </row>
    <row r="1205" spans="1:23" s="9" customFormat="1" ht="15.75" hidden="1" customHeight="1" x14ac:dyDescent="0.25">
      <c r="A1205" s="10" t="s">
        <v>3673</v>
      </c>
      <c r="B1205" s="10" t="s">
        <v>3674</v>
      </c>
      <c r="C1205" s="10" t="s">
        <v>3675</v>
      </c>
      <c r="D1205" s="22" t="s">
        <v>6090</v>
      </c>
      <c r="E1205" s="10" t="s">
        <v>51</v>
      </c>
      <c r="F1205" s="21" t="s">
        <v>6092</v>
      </c>
      <c r="G1205" s="10" t="s">
        <v>28</v>
      </c>
      <c r="H1205" s="10" t="s">
        <v>39</v>
      </c>
      <c r="I1205" s="11">
        <v>45460</v>
      </c>
      <c r="J1205" s="10" t="s">
        <v>40</v>
      </c>
      <c r="K1205" s="11">
        <v>45500</v>
      </c>
      <c r="L1205" s="10" t="s">
        <v>66</v>
      </c>
      <c r="M1205" s="12">
        <v>15475</v>
      </c>
      <c r="N1205" s="12">
        <v>1394</v>
      </c>
      <c r="O1205" s="10" t="s">
        <v>32</v>
      </c>
      <c r="P1205" s="10" t="s">
        <v>32</v>
      </c>
      <c r="Q1205" s="10" t="s">
        <v>33</v>
      </c>
      <c r="R1205" s="10" t="s">
        <v>33</v>
      </c>
      <c r="S1205" s="10" t="s">
        <v>60</v>
      </c>
      <c r="T1205" s="13">
        <v>11.101100000000001</v>
      </c>
      <c r="U1205" s="14">
        <v>40</v>
      </c>
      <c r="V1205" s="14">
        <v>2024</v>
      </c>
      <c r="W1205" s="10" t="s">
        <v>42</v>
      </c>
    </row>
    <row r="1206" spans="1:23" s="9" customFormat="1" ht="15.75" hidden="1" customHeight="1" x14ac:dyDescent="0.25">
      <c r="A1206" s="4" t="s">
        <v>3676</v>
      </c>
      <c r="B1206" s="4" t="s">
        <v>3677</v>
      </c>
      <c r="C1206" s="4" t="s">
        <v>3678</v>
      </c>
      <c r="D1206" s="22" t="s">
        <v>6087</v>
      </c>
      <c r="E1206" s="4" t="s">
        <v>26</v>
      </c>
      <c r="F1206" s="4" t="s">
        <v>27</v>
      </c>
      <c r="G1206" s="4" t="s">
        <v>57</v>
      </c>
      <c r="H1206" s="4" t="s">
        <v>88</v>
      </c>
      <c r="I1206" s="5">
        <v>45254</v>
      </c>
      <c r="J1206" s="4" t="s">
        <v>40</v>
      </c>
      <c r="K1206" s="5">
        <v>45345</v>
      </c>
      <c r="L1206" s="4" t="s">
        <v>59</v>
      </c>
      <c r="M1206" s="6">
        <v>23466</v>
      </c>
      <c r="N1206" s="6">
        <v>580</v>
      </c>
      <c r="O1206" s="4">
        <v>15</v>
      </c>
      <c r="P1206" s="5">
        <v>45360</v>
      </c>
      <c r="Q1206" s="4" t="s">
        <v>33</v>
      </c>
      <c r="R1206" s="4" t="s">
        <v>33</v>
      </c>
      <c r="S1206" s="4" t="s">
        <v>34</v>
      </c>
      <c r="T1206" s="7">
        <v>40.458599999999997</v>
      </c>
      <c r="U1206" s="8">
        <v>91</v>
      </c>
      <c r="V1206" s="8">
        <v>2024</v>
      </c>
      <c r="W1206" s="4" t="s">
        <v>35</v>
      </c>
    </row>
    <row r="1207" spans="1:23" s="9" customFormat="1" ht="15.75" hidden="1" customHeight="1" x14ac:dyDescent="0.25">
      <c r="A1207" s="10" t="s">
        <v>3679</v>
      </c>
      <c r="B1207" s="10" t="s">
        <v>3680</v>
      </c>
      <c r="C1207" s="10" t="s">
        <v>3681</v>
      </c>
      <c r="D1207" s="22" t="s">
        <v>6087</v>
      </c>
      <c r="E1207" s="10" t="s">
        <v>87</v>
      </c>
      <c r="F1207" s="10" t="s">
        <v>71</v>
      </c>
      <c r="G1207" s="10" t="s">
        <v>57</v>
      </c>
      <c r="H1207" s="10" t="s">
        <v>29</v>
      </c>
      <c r="I1207" s="11">
        <v>45195</v>
      </c>
      <c r="J1207" s="10" t="s">
        <v>30</v>
      </c>
      <c r="K1207" s="11">
        <v>45325</v>
      </c>
      <c r="L1207" s="10" t="s">
        <v>66</v>
      </c>
      <c r="M1207" s="12">
        <v>12274</v>
      </c>
      <c r="N1207" s="12">
        <v>8434</v>
      </c>
      <c r="O1207" s="10" t="s">
        <v>32</v>
      </c>
      <c r="P1207" s="10" t="s">
        <v>32</v>
      </c>
      <c r="Q1207" s="10" t="s">
        <v>33</v>
      </c>
      <c r="R1207" s="10" t="s">
        <v>33</v>
      </c>
      <c r="S1207" s="10" t="s">
        <v>34</v>
      </c>
      <c r="T1207" s="13">
        <v>1.4553</v>
      </c>
      <c r="U1207" s="14">
        <v>130</v>
      </c>
      <c r="V1207" s="14">
        <v>2024</v>
      </c>
      <c r="W1207" s="10" t="s">
        <v>35</v>
      </c>
    </row>
    <row r="1208" spans="1:23" s="9" customFormat="1" ht="15.75" hidden="1" customHeight="1" x14ac:dyDescent="0.25">
      <c r="A1208" s="4" t="s">
        <v>3682</v>
      </c>
      <c r="B1208" s="4" t="s">
        <v>3683</v>
      </c>
      <c r="C1208" s="4" t="s">
        <v>3684</v>
      </c>
      <c r="D1208" s="22" t="s">
        <v>6090</v>
      </c>
      <c r="E1208" s="4" t="s">
        <v>87</v>
      </c>
      <c r="F1208" s="4" t="s">
        <v>65</v>
      </c>
      <c r="G1208" s="4" t="s">
        <v>5</v>
      </c>
      <c r="H1208" s="4" t="s">
        <v>88</v>
      </c>
      <c r="I1208" s="5">
        <v>45261</v>
      </c>
      <c r="J1208" s="4" t="s">
        <v>40</v>
      </c>
      <c r="K1208" s="5">
        <v>45546</v>
      </c>
      <c r="L1208" s="4" t="s">
        <v>59</v>
      </c>
      <c r="M1208" s="6">
        <v>43265</v>
      </c>
      <c r="N1208" s="6">
        <v>2743</v>
      </c>
      <c r="O1208" s="4">
        <v>28</v>
      </c>
      <c r="P1208" s="5">
        <v>45574</v>
      </c>
      <c r="Q1208" s="4" t="s">
        <v>94</v>
      </c>
      <c r="R1208" s="4" t="s">
        <v>94</v>
      </c>
      <c r="S1208" s="4" t="s">
        <v>41</v>
      </c>
      <c r="T1208" s="7">
        <v>15.7729</v>
      </c>
      <c r="U1208" s="8">
        <v>285</v>
      </c>
      <c r="V1208" s="8">
        <v>2024</v>
      </c>
      <c r="W1208" s="4" t="s">
        <v>168</v>
      </c>
    </row>
    <row r="1209" spans="1:23" s="9" customFormat="1" ht="15.75" hidden="1" customHeight="1" x14ac:dyDescent="0.25">
      <c r="A1209" s="10" t="s">
        <v>3685</v>
      </c>
      <c r="B1209" s="10" t="s">
        <v>3686</v>
      </c>
      <c r="C1209" s="10" t="s">
        <v>3687</v>
      </c>
      <c r="D1209" s="22" t="s">
        <v>6087</v>
      </c>
      <c r="E1209" s="10" t="s">
        <v>87</v>
      </c>
      <c r="F1209" s="10" t="s">
        <v>65</v>
      </c>
      <c r="G1209" s="10" t="s">
        <v>5</v>
      </c>
      <c r="H1209" s="10" t="s">
        <v>93</v>
      </c>
      <c r="I1209" s="11">
        <v>45266</v>
      </c>
      <c r="J1209" s="10" t="s">
        <v>30</v>
      </c>
      <c r="K1209" s="11">
        <v>45527</v>
      </c>
      <c r="L1209" s="10" t="s">
        <v>31</v>
      </c>
      <c r="M1209" s="12">
        <v>20334</v>
      </c>
      <c r="N1209" s="12">
        <v>1143</v>
      </c>
      <c r="O1209" s="10" t="s">
        <v>32</v>
      </c>
      <c r="P1209" s="10" t="s">
        <v>32</v>
      </c>
      <c r="Q1209" s="10" t="s">
        <v>33</v>
      </c>
      <c r="R1209" s="10" t="s">
        <v>33</v>
      </c>
      <c r="S1209" s="10" t="s">
        <v>34</v>
      </c>
      <c r="T1209" s="13">
        <v>17.79</v>
      </c>
      <c r="U1209" s="14">
        <v>261</v>
      </c>
      <c r="V1209" s="14">
        <v>2024</v>
      </c>
      <c r="W1209" s="10" t="s">
        <v>114</v>
      </c>
    </row>
    <row r="1210" spans="1:23" s="9" customFormat="1" ht="15.75" hidden="1" customHeight="1" x14ac:dyDescent="0.25">
      <c r="A1210" s="4" t="s">
        <v>3688</v>
      </c>
      <c r="B1210" s="4" t="s">
        <v>3689</v>
      </c>
      <c r="C1210" s="4" t="s">
        <v>3690</v>
      </c>
      <c r="D1210" s="22" t="s">
        <v>6087</v>
      </c>
      <c r="E1210" s="4" t="s">
        <v>51</v>
      </c>
      <c r="F1210" s="4" t="s">
        <v>27</v>
      </c>
      <c r="G1210" s="4" t="s">
        <v>28</v>
      </c>
      <c r="H1210" s="4" t="s">
        <v>88</v>
      </c>
      <c r="I1210" s="5">
        <v>45195</v>
      </c>
      <c r="J1210" s="4" t="s">
        <v>40</v>
      </c>
      <c r="K1210" s="5">
        <v>45355</v>
      </c>
      <c r="L1210" s="4" t="s">
        <v>59</v>
      </c>
      <c r="M1210" s="6">
        <v>28296</v>
      </c>
      <c r="N1210" s="6">
        <v>6667</v>
      </c>
      <c r="O1210" s="4">
        <v>25</v>
      </c>
      <c r="P1210" s="5">
        <v>45380</v>
      </c>
      <c r="Q1210" s="4" t="s">
        <v>33</v>
      </c>
      <c r="R1210" s="4" t="s">
        <v>33</v>
      </c>
      <c r="S1210" s="4" t="s">
        <v>34</v>
      </c>
      <c r="T1210" s="7">
        <v>4.2442000000000002</v>
      </c>
      <c r="U1210" s="8">
        <v>160</v>
      </c>
      <c r="V1210" s="8">
        <v>2024</v>
      </c>
      <c r="W1210" s="4" t="s">
        <v>77</v>
      </c>
    </row>
    <row r="1211" spans="1:23" s="9" customFormat="1" ht="15.75" hidden="1" customHeight="1" x14ac:dyDescent="0.25">
      <c r="A1211" s="10" t="s">
        <v>3691</v>
      </c>
      <c r="B1211" s="10" t="s">
        <v>3692</v>
      </c>
      <c r="C1211" s="10" t="s">
        <v>3693</v>
      </c>
      <c r="D1211" s="22" t="s">
        <v>6087</v>
      </c>
      <c r="E1211" s="10" t="s">
        <v>26</v>
      </c>
      <c r="F1211" s="21" t="s">
        <v>6092</v>
      </c>
      <c r="G1211" s="10" t="s">
        <v>5</v>
      </c>
      <c r="H1211" s="10" t="s">
        <v>88</v>
      </c>
      <c r="I1211" s="11">
        <v>45069</v>
      </c>
      <c r="J1211" s="10" t="s">
        <v>30</v>
      </c>
      <c r="K1211" s="11">
        <v>45343</v>
      </c>
      <c r="L1211" s="10" t="s">
        <v>59</v>
      </c>
      <c r="M1211" s="12">
        <v>23584</v>
      </c>
      <c r="N1211" s="12">
        <v>2131</v>
      </c>
      <c r="O1211" s="10">
        <v>5</v>
      </c>
      <c r="P1211" s="11">
        <v>45348</v>
      </c>
      <c r="Q1211" s="10" t="s">
        <v>33</v>
      </c>
      <c r="R1211" s="10" t="s">
        <v>33</v>
      </c>
      <c r="S1211" s="10" t="s">
        <v>60</v>
      </c>
      <c r="T1211" s="13">
        <v>11.0671</v>
      </c>
      <c r="U1211" s="14">
        <v>274</v>
      </c>
      <c r="V1211" s="14">
        <v>2024</v>
      </c>
      <c r="W1211" s="10" t="s">
        <v>35</v>
      </c>
    </row>
    <row r="1212" spans="1:23" s="9" customFormat="1" ht="15.75" hidden="1" customHeight="1" x14ac:dyDescent="0.25">
      <c r="A1212" s="4" t="s">
        <v>3694</v>
      </c>
      <c r="B1212" s="4" t="s">
        <v>3695</v>
      </c>
      <c r="C1212" s="4" t="s">
        <v>3696</v>
      </c>
      <c r="D1212" s="22" t="s">
        <v>6090</v>
      </c>
      <c r="E1212" s="4" t="s">
        <v>87</v>
      </c>
      <c r="F1212" s="4" t="s">
        <v>56</v>
      </c>
      <c r="G1212" s="4" t="s">
        <v>57</v>
      </c>
      <c r="H1212" s="4" t="s">
        <v>161</v>
      </c>
      <c r="I1212" s="5">
        <v>45119</v>
      </c>
      <c r="J1212" s="4" t="s">
        <v>40</v>
      </c>
      <c r="K1212" s="5">
        <v>45436</v>
      </c>
      <c r="L1212" s="4" t="s">
        <v>31</v>
      </c>
      <c r="M1212" s="6">
        <v>11662</v>
      </c>
      <c r="N1212" s="6">
        <v>4174</v>
      </c>
      <c r="O1212" s="4" t="s">
        <v>32</v>
      </c>
      <c r="P1212" s="4" t="s">
        <v>32</v>
      </c>
      <c r="Q1212" s="4" t="s">
        <v>33</v>
      </c>
      <c r="R1212" s="4" t="s">
        <v>33</v>
      </c>
      <c r="S1212" s="4" t="s">
        <v>34</v>
      </c>
      <c r="T1212" s="7">
        <v>2.794</v>
      </c>
      <c r="U1212" s="8">
        <v>317</v>
      </c>
      <c r="V1212" s="8">
        <v>2024</v>
      </c>
      <c r="W1212" s="4" t="s">
        <v>52</v>
      </c>
    </row>
    <row r="1213" spans="1:23" s="9" customFormat="1" ht="15.75" hidden="1" customHeight="1" x14ac:dyDescent="0.25">
      <c r="A1213" s="10" t="s">
        <v>3697</v>
      </c>
      <c r="B1213" s="10" t="s">
        <v>3698</v>
      </c>
      <c r="C1213" s="10" t="s">
        <v>3699</v>
      </c>
      <c r="D1213" s="21" t="s">
        <v>6086</v>
      </c>
      <c r="E1213" s="10" t="s">
        <v>26</v>
      </c>
      <c r="F1213" s="10" t="s">
        <v>65</v>
      </c>
      <c r="G1213" s="10" t="s">
        <v>57</v>
      </c>
      <c r="H1213" s="10" t="s">
        <v>118</v>
      </c>
      <c r="I1213" s="11">
        <v>45145</v>
      </c>
      <c r="J1213" s="10" t="s">
        <v>30</v>
      </c>
      <c r="K1213" s="11">
        <v>45425</v>
      </c>
      <c r="L1213" s="10" t="s">
        <v>59</v>
      </c>
      <c r="M1213" s="12">
        <v>97355</v>
      </c>
      <c r="N1213" s="12">
        <v>7482</v>
      </c>
      <c r="O1213" s="10">
        <v>33</v>
      </c>
      <c r="P1213" s="11">
        <v>45458</v>
      </c>
      <c r="Q1213" s="10" t="s">
        <v>33</v>
      </c>
      <c r="R1213" s="10" t="s">
        <v>33</v>
      </c>
      <c r="S1213" s="10" t="s">
        <v>41</v>
      </c>
      <c r="T1213" s="13">
        <v>13.011900000000001</v>
      </c>
      <c r="U1213" s="14">
        <v>280</v>
      </c>
      <c r="V1213" s="14">
        <v>2024</v>
      </c>
      <c r="W1213" s="10" t="s">
        <v>52</v>
      </c>
    </row>
    <row r="1214" spans="1:23" s="9" customFormat="1" ht="15.75" hidden="1" customHeight="1" x14ac:dyDescent="0.25">
      <c r="A1214" s="4" t="s">
        <v>3700</v>
      </c>
      <c r="B1214" s="4" t="s">
        <v>3701</v>
      </c>
      <c r="C1214" s="4" t="s">
        <v>3702</v>
      </c>
      <c r="D1214" s="22" t="s">
        <v>6090</v>
      </c>
      <c r="E1214" s="4" t="s">
        <v>87</v>
      </c>
      <c r="F1214" s="4" t="s">
        <v>27</v>
      </c>
      <c r="G1214" s="4" t="s">
        <v>5</v>
      </c>
      <c r="H1214" s="4" t="s">
        <v>72</v>
      </c>
      <c r="I1214" s="5">
        <v>44966</v>
      </c>
      <c r="J1214" s="4" t="s">
        <v>30</v>
      </c>
      <c r="K1214" s="5">
        <v>45300</v>
      </c>
      <c r="L1214" s="4" t="s">
        <v>59</v>
      </c>
      <c r="M1214" s="6">
        <v>45038</v>
      </c>
      <c r="N1214" s="6">
        <v>7491</v>
      </c>
      <c r="O1214" s="4">
        <v>42</v>
      </c>
      <c r="P1214" s="5">
        <v>45342</v>
      </c>
      <c r="Q1214" s="4" t="s">
        <v>33</v>
      </c>
      <c r="R1214" s="4" t="s">
        <v>33</v>
      </c>
      <c r="S1214" s="4" t="s">
        <v>60</v>
      </c>
      <c r="T1214" s="7">
        <v>6.0122999999999998</v>
      </c>
      <c r="U1214" s="8">
        <v>334</v>
      </c>
      <c r="V1214" s="8">
        <v>2024</v>
      </c>
      <c r="W1214" s="4" t="s">
        <v>73</v>
      </c>
    </row>
    <row r="1215" spans="1:23" s="9" customFormat="1" ht="15.75" hidden="1" customHeight="1" x14ac:dyDescent="0.25">
      <c r="A1215" s="10" t="s">
        <v>3703</v>
      </c>
      <c r="B1215" s="10" t="s">
        <v>3704</v>
      </c>
      <c r="C1215" s="10" t="s">
        <v>3705</v>
      </c>
      <c r="D1215" s="21" t="s">
        <v>6091</v>
      </c>
      <c r="E1215" s="10" t="s">
        <v>26</v>
      </c>
      <c r="F1215" s="10" t="s">
        <v>65</v>
      </c>
      <c r="G1215" s="10" t="s">
        <v>57</v>
      </c>
      <c r="H1215" s="10" t="s">
        <v>88</v>
      </c>
      <c r="I1215" s="11">
        <v>45286</v>
      </c>
      <c r="J1215" s="10" t="s">
        <v>30</v>
      </c>
      <c r="K1215" s="11">
        <v>45603</v>
      </c>
      <c r="L1215" s="10" t="s">
        <v>59</v>
      </c>
      <c r="M1215" s="12">
        <v>8961</v>
      </c>
      <c r="N1215" s="12">
        <v>6171</v>
      </c>
      <c r="O1215" s="10">
        <v>30</v>
      </c>
      <c r="P1215" s="11">
        <v>45633</v>
      </c>
      <c r="Q1215" s="10" t="s">
        <v>33</v>
      </c>
      <c r="R1215" s="10" t="s">
        <v>33</v>
      </c>
      <c r="S1215" s="10" t="s">
        <v>60</v>
      </c>
      <c r="T1215" s="13">
        <v>1.4520999999999999</v>
      </c>
      <c r="U1215" s="14">
        <v>317</v>
      </c>
      <c r="V1215" s="14">
        <v>2024</v>
      </c>
      <c r="W1215" s="10" t="s">
        <v>61</v>
      </c>
    </row>
    <row r="1216" spans="1:23" s="9" customFormat="1" ht="15.75" hidden="1" customHeight="1" x14ac:dyDescent="0.25">
      <c r="A1216" s="4" t="s">
        <v>3706</v>
      </c>
      <c r="B1216" s="4" t="s">
        <v>3707</v>
      </c>
      <c r="C1216" s="4" t="s">
        <v>3708</v>
      </c>
      <c r="D1216" s="22" t="s">
        <v>6087</v>
      </c>
      <c r="E1216" s="4" t="s">
        <v>26</v>
      </c>
      <c r="F1216" s="4" t="s">
        <v>56</v>
      </c>
      <c r="G1216" s="4" t="s">
        <v>5</v>
      </c>
      <c r="H1216" s="4" t="s">
        <v>161</v>
      </c>
      <c r="I1216" s="5">
        <v>45316</v>
      </c>
      <c r="J1216" s="4" t="s">
        <v>30</v>
      </c>
      <c r="K1216" s="5">
        <v>45460</v>
      </c>
      <c r="L1216" s="4" t="s">
        <v>31</v>
      </c>
      <c r="M1216" s="6">
        <v>6283</v>
      </c>
      <c r="N1216" s="6">
        <v>7976</v>
      </c>
      <c r="O1216" s="4" t="s">
        <v>32</v>
      </c>
      <c r="P1216" s="4" t="s">
        <v>32</v>
      </c>
      <c r="Q1216" s="4" t="s">
        <v>94</v>
      </c>
      <c r="R1216" s="4" t="s">
        <v>33</v>
      </c>
      <c r="S1216" s="4" t="s">
        <v>60</v>
      </c>
      <c r="T1216" s="7">
        <v>0.78769999999999996</v>
      </c>
      <c r="U1216" s="8">
        <v>144</v>
      </c>
      <c r="V1216" s="8">
        <v>2024</v>
      </c>
      <c r="W1216" s="4" t="s">
        <v>67</v>
      </c>
    </row>
    <row r="1217" spans="1:23" s="9" customFormat="1" ht="15.75" hidden="1" customHeight="1" x14ac:dyDescent="0.25">
      <c r="A1217" s="10" t="s">
        <v>3709</v>
      </c>
      <c r="B1217" s="10" t="s">
        <v>3710</v>
      </c>
      <c r="C1217" s="10" t="s">
        <v>3711</v>
      </c>
      <c r="D1217" s="21" t="s">
        <v>6091</v>
      </c>
      <c r="E1217" s="10" t="s">
        <v>87</v>
      </c>
      <c r="F1217" s="10" t="s">
        <v>46</v>
      </c>
      <c r="G1217" s="10" t="s">
        <v>28</v>
      </c>
      <c r="H1217" s="10" t="s">
        <v>72</v>
      </c>
      <c r="I1217" s="11">
        <v>45529</v>
      </c>
      <c r="J1217" s="10" t="s">
        <v>30</v>
      </c>
      <c r="K1217" s="11">
        <v>45635</v>
      </c>
      <c r="L1217" s="10" t="s">
        <v>31</v>
      </c>
      <c r="M1217" s="12">
        <v>16381</v>
      </c>
      <c r="N1217" s="12">
        <v>3966</v>
      </c>
      <c r="O1217" s="10" t="s">
        <v>32</v>
      </c>
      <c r="P1217" s="10" t="s">
        <v>32</v>
      </c>
      <c r="Q1217" s="10" t="s">
        <v>33</v>
      </c>
      <c r="R1217" s="10" t="s">
        <v>33</v>
      </c>
      <c r="S1217" s="10" t="s">
        <v>60</v>
      </c>
      <c r="T1217" s="13">
        <v>4.1303999999999998</v>
      </c>
      <c r="U1217" s="14">
        <v>106</v>
      </c>
      <c r="V1217" s="14">
        <v>2024</v>
      </c>
      <c r="W1217" s="10" t="s">
        <v>89</v>
      </c>
    </row>
    <row r="1218" spans="1:23" s="9" customFormat="1" ht="15.75" hidden="1" customHeight="1" x14ac:dyDescent="0.25">
      <c r="A1218" s="4" t="s">
        <v>3712</v>
      </c>
      <c r="B1218" s="4" t="s">
        <v>3713</v>
      </c>
      <c r="C1218" s="4" t="s">
        <v>3714</v>
      </c>
      <c r="D1218" s="21" t="s">
        <v>6091</v>
      </c>
      <c r="E1218" s="4" t="s">
        <v>26</v>
      </c>
      <c r="F1218" s="4" t="s">
        <v>71</v>
      </c>
      <c r="G1218" s="4" t="s">
        <v>5</v>
      </c>
      <c r="H1218" s="4" t="s">
        <v>39</v>
      </c>
      <c r="I1218" s="5">
        <v>45321</v>
      </c>
      <c r="J1218" s="4" t="s">
        <v>30</v>
      </c>
      <c r="K1218" s="5">
        <v>45501</v>
      </c>
      <c r="L1218" s="4" t="s">
        <v>31</v>
      </c>
      <c r="M1218" s="6">
        <v>2151</v>
      </c>
      <c r="N1218" s="6">
        <v>5821</v>
      </c>
      <c r="O1218" s="4" t="s">
        <v>32</v>
      </c>
      <c r="P1218" s="4" t="s">
        <v>32</v>
      </c>
      <c r="Q1218" s="4" t="s">
        <v>33</v>
      </c>
      <c r="R1218" s="4" t="s">
        <v>33</v>
      </c>
      <c r="S1218" s="4" t="s">
        <v>34</v>
      </c>
      <c r="T1218" s="7">
        <v>0.3695</v>
      </c>
      <c r="U1218" s="8">
        <v>180</v>
      </c>
      <c r="V1218" s="8">
        <v>2024</v>
      </c>
      <c r="W1218" s="4" t="s">
        <v>42</v>
      </c>
    </row>
    <row r="1219" spans="1:23" s="9" customFormat="1" ht="15.75" hidden="1" customHeight="1" x14ac:dyDescent="0.25">
      <c r="A1219" s="10" t="s">
        <v>3715</v>
      </c>
      <c r="B1219" s="10" t="s">
        <v>3716</v>
      </c>
      <c r="C1219" s="10" t="s">
        <v>3717</v>
      </c>
      <c r="D1219" s="22" t="s">
        <v>6087</v>
      </c>
      <c r="E1219" s="10" t="s">
        <v>26</v>
      </c>
      <c r="F1219" s="21" t="s">
        <v>6092</v>
      </c>
      <c r="G1219" s="10" t="s">
        <v>57</v>
      </c>
      <c r="H1219" s="10" t="s">
        <v>39</v>
      </c>
      <c r="I1219" s="11">
        <v>45215</v>
      </c>
      <c r="J1219" s="10" t="s">
        <v>40</v>
      </c>
      <c r="K1219" s="11">
        <v>45438</v>
      </c>
      <c r="L1219" s="10" t="s">
        <v>59</v>
      </c>
      <c r="M1219" s="12">
        <v>29744</v>
      </c>
      <c r="N1219" s="12">
        <v>3720</v>
      </c>
      <c r="O1219" s="10">
        <v>10</v>
      </c>
      <c r="P1219" s="11">
        <v>45448</v>
      </c>
      <c r="Q1219" s="10" t="s">
        <v>33</v>
      </c>
      <c r="R1219" s="10" t="s">
        <v>33</v>
      </c>
      <c r="S1219" s="10" t="s">
        <v>60</v>
      </c>
      <c r="T1219" s="13">
        <v>7.9957000000000003</v>
      </c>
      <c r="U1219" s="14">
        <v>223</v>
      </c>
      <c r="V1219" s="14">
        <v>2024</v>
      </c>
      <c r="W1219" s="10" t="s">
        <v>52</v>
      </c>
    </row>
    <row r="1220" spans="1:23" s="9" customFormat="1" ht="15.75" hidden="1" customHeight="1" x14ac:dyDescent="0.25">
      <c r="A1220" s="4" t="s">
        <v>3718</v>
      </c>
      <c r="B1220" s="4" t="s">
        <v>3719</v>
      </c>
      <c r="C1220" s="4" t="s">
        <v>3720</v>
      </c>
      <c r="D1220" s="21" t="s">
        <v>6089</v>
      </c>
      <c r="E1220" s="4" t="s">
        <v>51</v>
      </c>
      <c r="F1220" s="4" t="s">
        <v>46</v>
      </c>
      <c r="G1220" s="4" t="s">
        <v>5</v>
      </c>
      <c r="H1220" s="4" t="s">
        <v>72</v>
      </c>
      <c r="I1220" s="5">
        <v>45052</v>
      </c>
      <c r="J1220" s="4" t="s">
        <v>40</v>
      </c>
      <c r="K1220" s="5">
        <v>45406</v>
      </c>
      <c r="L1220" s="4" t="s">
        <v>31</v>
      </c>
      <c r="M1220" s="6">
        <v>16819</v>
      </c>
      <c r="N1220" s="6">
        <v>8789</v>
      </c>
      <c r="O1220" s="4" t="s">
        <v>32</v>
      </c>
      <c r="P1220" s="4" t="s">
        <v>32</v>
      </c>
      <c r="Q1220" s="4" t="s">
        <v>33</v>
      </c>
      <c r="R1220" s="4" t="s">
        <v>33</v>
      </c>
      <c r="S1220" s="4" t="s">
        <v>60</v>
      </c>
      <c r="T1220" s="7">
        <v>1.9136</v>
      </c>
      <c r="U1220" s="8">
        <v>354</v>
      </c>
      <c r="V1220" s="8">
        <v>2024</v>
      </c>
      <c r="W1220" s="4" t="s">
        <v>47</v>
      </c>
    </row>
    <row r="1221" spans="1:23" s="9" customFormat="1" ht="15.75" hidden="1" customHeight="1" x14ac:dyDescent="0.25">
      <c r="A1221" s="10" t="s">
        <v>3721</v>
      </c>
      <c r="B1221" s="10" t="s">
        <v>3722</v>
      </c>
      <c r="C1221" s="10" t="s">
        <v>3723</v>
      </c>
      <c r="D1221" s="21" t="s">
        <v>6091</v>
      </c>
      <c r="E1221" s="10" t="s">
        <v>51</v>
      </c>
      <c r="F1221" s="21" t="s">
        <v>6092</v>
      </c>
      <c r="G1221" s="10" t="s">
        <v>57</v>
      </c>
      <c r="H1221" s="10" t="s">
        <v>161</v>
      </c>
      <c r="I1221" s="11">
        <v>45395</v>
      </c>
      <c r="J1221" s="10" t="s">
        <v>40</v>
      </c>
      <c r="K1221" s="11">
        <v>45644</v>
      </c>
      <c r="L1221" s="10" t="s">
        <v>59</v>
      </c>
      <c r="M1221" s="12">
        <v>9338</v>
      </c>
      <c r="N1221" s="12">
        <v>2987</v>
      </c>
      <c r="O1221" s="10">
        <v>44</v>
      </c>
      <c r="P1221" s="11">
        <v>45688</v>
      </c>
      <c r="Q1221" s="10" t="s">
        <v>33</v>
      </c>
      <c r="R1221" s="10" t="s">
        <v>33</v>
      </c>
      <c r="S1221" s="10" t="s">
        <v>41</v>
      </c>
      <c r="T1221" s="13">
        <v>3.1261999999999999</v>
      </c>
      <c r="U1221" s="14">
        <v>249</v>
      </c>
      <c r="V1221" s="14">
        <v>2024</v>
      </c>
      <c r="W1221" s="10" t="s">
        <v>89</v>
      </c>
    </row>
    <row r="1222" spans="1:23" s="9" customFormat="1" ht="15.75" hidden="1" customHeight="1" x14ac:dyDescent="0.25">
      <c r="A1222" s="4" t="s">
        <v>3724</v>
      </c>
      <c r="B1222" s="4" t="s">
        <v>3725</v>
      </c>
      <c r="C1222" s="4" t="s">
        <v>3726</v>
      </c>
      <c r="D1222" s="22" t="s">
        <v>6090</v>
      </c>
      <c r="E1222" s="4" t="s">
        <v>87</v>
      </c>
      <c r="F1222" s="4" t="s">
        <v>71</v>
      </c>
      <c r="G1222" s="4" t="s">
        <v>57</v>
      </c>
      <c r="H1222" s="4" t="s">
        <v>118</v>
      </c>
      <c r="I1222" s="5">
        <v>44991</v>
      </c>
      <c r="J1222" s="4" t="s">
        <v>40</v>
      </c>
      <c r="K1222" s="5">
        <v>45342</v>
      </c>
      <c r="L1222" s="4" t="s">
        <v>31</v>
      </c>
      <c r="M1222" s="6">
        <v>54314</v>
      </c>
      <c r="N1222" s="6">
        <v>7923</v>
      </c>
      <c r="O1222" s="4" t="s">
        <v>32</v>
      </c>
      <c r="P1222" s="4" t="s">
        <v>32</v>
      </c>
      <c r="Q1222" s="4" t="s">
        <v>33</v>
      </c>
      <c r="R1222" s="4" t="s">
        <v>33</v>
      </c>
      <c r="S1222" s="4" t="s">
        <v>34</v>
      </c>
      <c r="T1222" s="7">
        <v>6.8552</v>
      </c>
      <c r="U1222" s="8">
        <v>351</v>
      </c>
      <c r="V1222" s="8">
        <v>2024</v>
      </c>
      <c r="W1222" s="4" t="s">
        <v>35</v>
      </c>
    </row>
    <row r="1223" spans="1:23" s="9" customFormat="1" ht="15.75" hidden="1" customHeight="1" x14ac:dyDescent="0.25">
      <c r="A1223" s="10" t="s">
        <v>3727</v>
      </c>
      <c r="B1223" s="10" t="s">
        <v>3728</v>
      </c>
      <c r="C1223" s="10" t="s">
        <v>3729</v>
      </c>
      <c r="D1223" s="22" t="s">
        <v>6090</v>
      </c>
      <c r="E1223" s="10" t="s">
        <v>87</v>
      </c>
      <c r="F1223" s="10" t="s">
        <v>46</v>
      </c>
      <c r="G1223" s="10" t="s">
        <v>28</v>
      </c>
      <c r="H1223" s="10" t="s">
        <v>118</v>
      </c>
      <c r="I1223" s="11">
        <v>45055</v>
      </c>
      <c r="J1223" s="10" t="s">
        <v>40</v>
      </c>
      <c r="K1223" s="11">
        <v>45404</v>
      </c>
      <c r="L1223" s="10" t="s">
        <v>59</v>
      </c>
      <c r="M1223" s="12">
        <v>19427</v>
      </c>
      <c r="N1223" s="12">
        <v>4754</v>
      </c>
      <c r="O1223" s="10">
        <v>6</v>
      </c>
      <c r="P1223" s="11">
        <v>45410</v>
      </c>
      <c r="Q1223" s="10" t="s">
        <v>33</v>
      </c>
      <c r="R1223" s="10" t="s">
        <v>33</v>
      </c>
      <c r="S1223" s="10" t="s">
        <v>34</v>
      </c>
      <c r="T1223" s="13">
        <v>4.0865</v>
      </c>
      <c r="U1223" s="14">
        <v>349</v>
      </c>
      <c r="V1223" s="14">
        <v>2024</v>
      </c>
      <c r="W1223" s="10" t="s">
        <v>47</v>
      </c>
    </row>
    <row r="1224" spans="1:23" s="9" customFormat="1" ht="15.75" hidden="1" customHeight="1" x14ac:dyDescent="0.25">
      <c r="A1224" s="4" t="s">
        <v>3730</v>
      </c>
      <c r="B1224" s="4" t="s">
        <v>3731</v>
      </c>
      <c r="C1224" s="4" t="s">
        <v>3732</v>
      </c>
      <c r="D1224" s="22" t="s">
        <v>6087</v>
      </c>
      <c r="E1224" s="4" t="s">
        <v>87</v>
      </c>
      <c r="F1224" s="4" t="s">
        <v>46</v>
      </c>
      <c r="G1224" s="4" t="s">
        <v>57</v>
      </c>
      <c r="H1224" s="4" t="s">
        <v>39</v>
      </c>
      <c r="I1224" s="5">
        <v>45275</v>
      </c>
      <c r="J1224" s="4" t="s">
        <v>40</v>
      </c>
      <c r="K1224" s="5">
        <v>45576</v>
      </c>
      <c r="L1224" s="4" t="s">
        <v>59</v>
      </c>
      <c r="M1224" s="6">
        <v>21692</v>
      </c>
      <c r="N1224" s="6">
        <v>6782</v>
      </c>
      <c r="O1224" s="4">
        <v>25</v>
      </c>
      <c r="P1224" s="5">
        <v>45601</v>
      </c>
      <c r="Q1224" s="4" t="s">
        <v>33</v>
      </c>
      <c r="R1224" s="4" t="s">
        <v>33</v>
      </c>
      <c r="S1224" s="4" t="s">
        <v>34</v>
      </c>
      <c r="T1224" s="7">
        <v>3.1985000000000001</v>
      </c>
      <c r="U1224" s="8">
        <v>301</v>
      </c>
      <c r="V1224" s="8">
        <v>2024</v>
      </c>
      <c r="W1224" s="4" t="s">
        <v>95</v>
      </c>
    </row>
    <row r="1225" spans="1:23" s="9" customFormat="1" ht="15.75" hidden="1" customHeight="1" x14ac:dyDescent="0.25">
      <c r="A1225" s="10" t="s">
        <v>3733</v>
      </c>
      <c r="B1225" s="10" t="s">
        <v>3734</v>
      </c>
      <c r="C1225" s="10" t="s">
        <v>3735</v>
      </c>
      <c r="D1225" s="21" t="s">
        <v>6086</v>
      </c>
      <c r="E1225" s="10" t="s">
        <v>51</v>
      </c>
      <c r="F1225" s="10" t="s">
        <v>27</v>
      </c>
      <c r="G1225" s="10" t="s">
        <v>57</v>
      </c>
      <c r="H1225" s="10" t="s">
        <v>58</v>
      </c>
      <c r="I1225" s="11">
        <v>45272</v>
      </c>
      <c r="J1225" s="10" t="s">
        <v>30</v>
      </c>
      <c r="K1225" s="11">
        <v>45440</v>
      </c>
      <c r="L1225" s="10" t="s">
        <v>59</v>
      </c>
      <c r="M1225" s="12">
        <v>87426</v>
      </c>
      <c r="N1225" s="12">
        <v>6574</v>
      </c>
      <c r="O1225" s="10">
        <v>42</v>
      </c>
      <c r="P1225" s="11">
        <v>45482</v>
      </c>
      <c r="Q1225" s="10" t="s">
        <v>33</v>
      </c>
      <c r="R1225" s="10" t="s">
        <v>33</v>
      </c>
      <c r="S1225" s="10" t="s">
        <v>34</v>
      </c>
      <c r="T1225" s="13">
        <v>13.2988</v>
      </c>
      <c r="U1225" s="14">
        <v>168</v>
      </c>
      <c r="V1225" s="14">
        <v>2024</v>
      </c>
      <c r="W1225" s="10" t="s">
        <v>52</v>
      </c>
    </row>
    <row r="1226" spans="1:23" s="9" customFormat="1" ht="15.75" hidden="1" customHeight="1" x14ac:dyDescent="0.25">
      <c r="A1226" s="4" t="s">
        <v>3736</v>
      </c>
      <c r="B1226" s="4" t="s">
        <v>3737</v>
      </c>
      <c r="C1226" s="4" t="s">
        <v>3738</v>
      </c>
      <c r="D1226" s="21" t="s">
        <v>6088</v>
      </c>
      <c r="E1226" s="4" t="s">
        <v>51</v>
      </c>
      <c r="F1226" s="4" t="s">
        <v>46</v>
      </c>
      <c r="G1226" s="4" t="s">
        <v>57</v>
      </c>
      <c r="H1226" s="4" t="s">
        <v>93</v>
      </c>
      <c r="I1226" s="5">
        <v>45047</v>
      </c>
      <c r="J1226" s="4" t="s">
        <v>30</v>
      </c>
      <c r="K1226" s="5">
        <v>45376</v>
      </c>
      <c r="L1226" s="4" t="s">
        <v>59</v>
      </c>
      <c r="M1226" s="6">
        <v>72326</v>
      </c>
      <c r="N1226" s="6">
        <v>1433</v>
      </c>
      <c r="O1226" s="4">
        <v>21</v>
      </c>
      <c r="P1226" s="5">
        <v>45397</v>
      </c>
      <c r="Q1226" s="4" t="s">
        <v>33</v>
      </c>
      <c r="R1226" s="4" t="s">
        <v>33</v>
      </c>
      <c r="S1226" s="4" t="s">
        <v>60</v>
      </c>
      <c r="T1226" s="7">
        <v>50.471699999999998</v>
      </c>
      <c r="U1226" s="8">
        <v>329</v>
      </c>
      <c r="V1226" s="8">
        <v>2024</v>
      </c>
      <c r="W1226" s="4" t="s">
        <v>77</v>
      </c>
    </row>
    <row r="1227" spans="1:23" s="9" customFormat="1" ht="15.75" hidden="1" customHeight="1" x14ac:dyDescent="0.25">
      <c r="A1227" s="10" t="s">
        <v>3739</v>
      </c>
      <c r="B1227" s="10" t="s">
        <v>3740</v>
      </c>
      <c r="C1227" s="10" t="s">
        <v>3741</v>
      </c>
      <c r="D1227" s="21" t="s">
        <v>6086</v>
      </c>
      <c r="E1227" s="10" t="s">
        <v>51</v>
      </c>
      <c r="F1227" s="21" t="s">
        <v>6092</v>
      </c>
      <c r="G1227" s="10" t="s">
        <v>28</v>
      </c>
      <c r="H1227" s="10" t="s">
        <v>29</v>
      </c>
      <c r="I1227" s="11">
        <v>45523</v>
      </c>
      <c r="J1227" s="10" t="s">
        <v>40</v>
      </c>
      <c r="K1227" s="11">
        <v>45591</v>
      </c>
      <c r="L1227" s="10" t="s">
        <v>59</v>
      </c>
      <c r="M1227" s="12">
        <v>34667</v>
      </c>
      <c r="N1227" s="12">
        <v>7139</v>
      </c>
      <c r="O1227" s="10">
        <v>39</v>
      </c>
      <c r="P1227" s="11">
        <v>45630</v>
      </c>
      <c r="Q1227" s="10" t="s">
        <v>33</v>
      </c>
      <c r="R1227" s="10" t="s">
        <v>33</v>
      </c>
      <c r="S1227" s="10" t="s">
        <v>60</v>
      </c>
      <c r="T1227" s="13">
        <v>4.8559999999999999</v>
      </c>
      <c r="U1227" s="14">
        <v>68</v>
      </c>
      <c r="V1227" s="14">
        <v>2024</v>
      </c>
      <c r="W1227" s="10" t="s">
        <v>95</v>
      </c>
    </row>
    <row r="1228" spans="1:23" s="9" customFormat="1" ht="15.75" hidden="1" customHeight="1" x14ac:dyDescent="0.25">
      <c r="A1228" s="4" t="s">
        <v>3742</v>
      </c>
      <c r="B1228" s="4" t="s">
        <v>3743</v>
      </c>
      <c r="C1228" s="4" t="s">
        <v>3744</v>
      </c>
      <c r="D1228" s="21" t="s">
        <v>6088</v>
      </c>
      <c r="E1228" s="4" t="s">
        <v>26</v>
      </c>
      <c r="F1228" s="4" t="s">
        <v>46</v>
      </c>
      <c r="G1228" s="4" t="s">
        <v>28</v>
      </c>
      <c r="H1228" s="4" t="s">
        <v>72</v>
      </c>
      <c r="I1228" s="5">
        <v>45216</v>
      </c>
      <c r="J1228" s="4" t="s">
        <v>40</v>
      </c>
      <c r="K1228" s="5">
        <v>45564</v>
      </c>
      <c r="L1228" s="4" t="s">
        <v>59</v>
      </c>
      <c r="M1228" s="6">
        <v>26877</v>
      </c>
      <c r="N1228" s="6">
        <v>2267</v>
      </c>
      <c r="O1228" s="4">
        <v>28</v>
      </c>
      <c r="P1228" s="5">
        <v>45592</v>
      </c>
      <c r="Q1228" s="4" t="s">
        <v>33</v>
      </c>
      <c r="R1228" s="4" t="s">
        <v>33</v>
      </c>
      <c r="S1228" s="4" t="s">
        <v>41</v>
      </c>
      <c r="T1228" s="7">
        <v>11.8558</v>
      </c>
      <c r="U1228" s="8">
        <v>348</v>
      </c>
      <c r="V1228" s="8">
        <v>2024</v>
      </c>
      <c r="W1228" s="4" t="s">
        <v>168</v>
      </c>
    </row>
    <row r="1229" spans="1:23" s="9" customFormat="1" ht="15.75" hidden="1" customHeight="1" x14ac:dyDescent="0.25">
      <c r="A1229" s="10" t="s">
        <v>3745</v>
      </c>
      <c r="B1229" s="10" t="s">
        <v>3746</v>
      </c>
      <c r="C1229" s="10" t="s">
        <v>3747</v>
      </c>
      <c r="D1229" s="21" t="s">
        <v>6086</v>
      </c>
      <c r="E1229" s="10" t="s">
        <v>51</v>
      </c>
      <c r="F1229" s="10" t="s">
        <v>27</v>
      </c>
      <c r="G1229" s="10" t="s">
        <v>28</v>
      </c>
      <c r="H1229" s="10" t="s">
        <v>93</v>
      </c>
      <c r="I1229" s="11">
        <v>45174</v>
      </c>
      <c r="J1229" s="10" t="s">
        <v>40</v>
      </c>
      <c r="K1229" s="11">
        <v>45312</v>
      </c>
      <c r="L1229" s="10" t="s">
        <v>59</v>
      </c>
      <c r="M1229" s="12">
        <v>41333</v>
      </c>
      <c r="N1229" s="12">
        <v>2429</v>
      </c>
      <c r="O1229" s="10">
        <v>25</v>
      </c>
      <c r="P1229" s="11">
        <v>45337</v>
      </c>
      <c r="Q1229" s="10" t="s">
        <v>33</v>
      </c>
      <c r="R1229" s="10" t="s">
        <v>33</v>
      </c>
      <c r="S1229" s="10" t="s">
        <v>41</v>
      </c>
      <c r="T1229" s="13">
        <v>17.016500000000001</v>
      </c>
      <c r="U1229" s="14">
        <v>138</v>
      </c>
      <c r="V1229" s="14">
        <v>2024</v>
      </c>
      <c r="W1229" s="10" t="s">
        <v>73</v>
      </c>
    </row>
    <row r="1230" spans="1:23" s="9" customFormat="1" ht="15.75" hidden="1" customHeight="1" x14ac:dyDescent="0.25">
      <c r="A1230" s="4" t="s">
        <v>3748</v>
      </c>
      <c r="B1230" s="4" t="s">
        <v>3749</v>
      </c>
      <c r="C1230" s="4" t="s">
        <v>3750</v>
      </c>
      <c r="D1230" s="22" t="s">
        <v>6090</v>
      </c>
      <c r="E1230" s="4" t="s">
        <v>51</v>
      </c>
      <c r="F1230" s="4" t="s">
        <v>71</v>
      </c>
      <c r="G1230" s="4" t="s">
        <v>28</v>
      </c>
      <c r="H1230" s="4" t="s">
        <v>88</v>
      </c>
      <c r="I1230" s="5">
        <v>45310</v>
      </c>
      <c r="J1230" s="4" t="s">
        <v>30</v>
      </c>
      <c r="K1230" s="5">
        <v>45424</v>
      </c>
      <c r="L1230" s="4" t="s">
        <v>59</v>
      </c>
      <c r="M1230" s="6">
        <v>40704</v>
      </c>
      <c r="N1230" s="6">
        <v>621</v>
      </c>
      <c r="O1230" s="4">
        <v>4</v>
      </c>
      <c r="P1230" s="5">
        <v>45428</v>
      </c>
      <c r="Q1230" s="4" t="s">
        <v>33</v>
      </c>
      <c r="R1230" s="4" t="s">
        <v>33</v>
      </c>
      <c r="S1230" s="4" t="s">
        <v>60</v>
      </c>
      <c r="T1230" s="7">
        <v>65.545900000000003</v>
      </c>
      <c r="U1230" s="8">
        <v>114</v>
      </c>
      <c r="V1230" s="8">
        <v>2024</v>
      </c>
      <c r="W1230" s="4" t="s">
        <v>52</v>
      </c>
    </row>
    <row r="1231" spans="1:23" s="9" customFormat="1" ht="15.75" hidden="1" customHeight="1" x14ac:dyDescent="0.25">
      <c r="A1231" s="10" t="s">
        <v>3751</v>
      </c>
      <c r="B1231" s="10" t="s">
        <v>3752</v>
      </c>
      <c r="C1231" s="10" t="s">
        <v>3753</v>
      </c>
      <c r="D1231" s="21" t="s">
        <v>6091</v>
      </c>
      <c r="E1231" s="10" t="s">
        <v>26</v>
      </c>
      <c r="F1231" s="10" t="s">
        <v>46</v>
      </c>
      <c r="G1231" s="10" t="s">
        <v>5</v>
      </c>
      <c r="H1231" s="10" t="s">
        <v>118</v>
      </c>
      <c r="I1231" s="11">
        <v>45308</v>
      </c>
      <c r="J1231" s="10" t="s">
        <v>40</v>
      </c>
      <c r="K1231" s="11">
        <v>45493</v>
      </c>
      <c r="L1231" s="10" t="s">
        <v>59</v>
      </c>
      <c r="M1231" s="12">
        <v>8058</v>
      </c>
      <c r="N1231" s="12">
        <v>8392</v>
      </c>
      <c r="O1231" s="10">
        <v>5</v>
      </c>
      <c r="P1231" s="11">
        <v>45498</v>
      </c>
      <c r="Q1231" s="10" t="s">
        <v>33</v>
      </c>
      <c r="R1231" s="10" t="s">
        <v>33</v>
      </c>
      <c r="S1231" s="10" t="s">
        <v>34</v>
      </c>
      <c r="T1231" s="13">
        <v>0.96020000000000005</v>
      </c>
      <c r="U1231" s="14">
        <v>185</v>
      </c>
      <c r="V1231" s="14">
        <v>2024</v>
      </c>
      <c r="W1231" s="10" t="s">
        <v>42</v>
      </c>
    </row>
    <row r="1232" spans="1:23" s="9" customFormat="1" ht="15.75" hidden="1" customHeight="1" x14ac:dyDescent="0.25">
      <c r="A1232" s="4" t="s">
        <v>3754</v>
      </c>
      <c r="B1232" s="4" t="s">
        <v>3755</v>
      </c>
      <c r="C1232" s="4" t="s">
        <v>3756</v>
      </c>
      <c r="D1232" s="22" t="s">
        <v>6090</v>
      </c>
      <c r="E1232" s="4" t="s">
        <v>87</v>
      </c>
      <c r="F1232" s="4" t="s">
        <v>27</v>
      </c>
      <c r="G1232" s="4" t="s">
        <v>28</v>
      </c>
      <c r="H1232" s="4" t="s">
        <v>88</v>
      </c>
      <c r="I1232" s="5">
        <v>45180</v>
      </c>
      <c r="J1232" s="4" t="s">
        <v>30</v>
      </c>
      <c r="K1232" s="5">
        <v>45401</v>
      </c>
      <c r="L1232" s="4" t="s">
        <v>66</v>
      </c>
      <c r="M1232" s="6">
        <v>16288</v>
      </c>
      <c r="N1232" s="6">
        <v>5565</v>
      </c>
      <c r="O1232" s="4" t="s">
        <v>32</v>
      </c>
      <c r="P1232" s="4" t="s">
        <v>32</v>
      </c>
      <c r="Q1232" s="4" t="s">
        <v>33</v>
      </c>
      <c r="R1232" s="4" t="s">
        <v>33</v>
      </c>
      <c r="S1232" s="4" t="s">
        <v>34</v>
      </c>
      <c r="T1232" s="7">
        <v>2.9268999999999998</v>
      </c>
      <c r="U1232" s="8">
        <v>221</v>
      </c>
      <c r="V1232" s="8">
        <v>2024</v>
      </c>
      <c r="W1232" s="4" t="s">
        <v>47</v>
      </c>
    </row>
    <row r="1233" spans="1:23" s="9" customFormat="1" ht="15.75" hidden="1" customHeight="1" x14ac:dyDescent="0.25">
      <c r="A1233" s="10" t="s">
        <v>3757</v>
      </c>
      <c r="B1233" s="10" t="s">
        <v>3758</v>
      </c>
      <c r="C1233" s="10" t="s">
        <v>3759</v>
      </c>
      <c r="D1233" s="22" t="s">
        <v>6087</v>
      </c>
      <c r="E1233" s="10" t="s">
        <v>87</v>
      </c>
      <c r="F1233" s="10" t="s">
        <v>71</v>
      </c>
      <c r="G1233" s="10" t="s">
        <v>5</v>
      </c>
      <c r="H1233" s="10" t="s">
        <v>161</v>
      </c>
      <c r="I1233" s="11">
        <v>45505</v>
      </c>
      <c r="J1233" s="10" t="s">
        <v>40</v>
      </c>
      <c r="K1233" s="11">
        <v>45599</v>
      </c>
      <c r="L1233" s="10" t="s">
        <v>59</v>
      </c>
      <c r="M1233" s="12">
        <v>13095</v>
      </c>
      <c r="N1233" s="12">
        <v>8569</v>
      </c>
      <c r="O1233" s="10">
        <v>31</v>
      </c>
      <c r="P1233" s="11">
        <v>45630</v>
      </c>
      <c r="Q1233" s="10" t="s">
        <v>33</v>
      </c>
      <c r="R1233" s="10" t="s">
        <v>33</v>
      </c>
      <c r="S1233" s="10" t="s">
        <v>41</v>
      </c>
      <c r="T1233" s="13">
        <v>1.5282</v>
      </c>
      <c r="U1233" s="14">
        <v>94</v>
      </c>
      <c r="V1233" s="14">
        <v>2024</v>
      </c>
      <c r="W1233" s="10" t="s">
        <v>61</v>
      </c>
    </row>
    <row r="1234" spans="1:23" s="9" customFormat="1" ht="15.75" hidden="1" customHeight="1" x14ac:dyDescent="0.25">
      <c r="A1234" s="4" t="s">
        <v>3760</v>
      </c>
      <c r="B1234" s="4" t="s">
        <v>3761</v>
      </c>
      <c r="C1234" s="4" t="s">
        <v>3762</v>
      </c>
      <c r="D1234" s="21" t="s">
        <v>6089</v>
      </c>
      <c r="E1234" s="4" t="s">
        <v>26</v>
      </c>
      <c r="F1234" s="4" t="s">
        <v>56</v>
      </c>
      <c r="G1234" s="4" t="s">
        <v>57</v>
      </c>
      <c r="H1234" s="4" t="s">
        <v>58</v>
      </c>
      <c r="I1234" s="5">
        <v>45272</v>
      </c>
      <c r="J1234" s="4" t="s">
        <v>30</v>
      </c>
      <c r="K1234" s="5">
        <v>45417</v>
      </c>
      <c r="L1234" s="4" t="s">
        <v>59</v>
      </c>
      <c r="M1234" s="6">
        <v>27653</v>
      </c>
      <c r="N1234" s="6">
        <v>5550</v>
      </c>
      <c r="O1234" s="4">
        <v>6</v>
      </c>
      <c r="P1234" s="5">
        <v>45423</v>
      </c>
      <c r="Q1234" s="4" t="s">
        <v>33</v>
      </c>
      <c r="R1234" s="4" t="s">
        <v>33</v>
      </c>
      <c r="S1234" s="4" t="s">
        <v>41</v>
      </c>
      <c r="T1234" s="7">
        <v>4.9824999999999999</v>
      </c>
      <c r="U1234" s="8">
        <v>145</v>
      </c>
      <c r="V1234" s="8">
        <v>2024</v>
      </c>
      <c r="W1234" s="4" t="s">
        <v>52</v>
      </c>
    </row>
    <row r="1235" spans="1:23" s="9" customFormat="1" ht="15.75" hidden="1" customHeight="1" x14ac:dyDescent="0.25">
      <c r="A1235" s="10" t="s">
        <v>3763</v>
      </c>
      <c r="B1235" s="10" t="s">
        <v>3764</v>
      </c>
      <c r="C1235" s="10" t="s">
        <v>3765</v>
      </c>
      <c r="D1235" s="22" t="s">
        <v>6090</v>
      </c>
      <c r="E1235" s="10" t="s">
        <v>87</v>
      </c>
      <c r="F1235" s="10" t="s">
        <v>27</v>
      </c>
      <c r="G1235" s="10" t="s">
        <v>28</v>
      </c>
      <c r="H1235" s="10" t="s">
        <v>93</v>
      </c>
      <c r="I1235" s="11">
        <v>45509</v>
      </c>
      <c r="J1235" s="10" t="s">
        <v>30</v>
      </c>
      <c r="K1235" s="11">
        <v>45640</v>
      </c>
      <c r="L1235" s="10" t="s">
        <v>59</v>
      </c>
      <c r="M1235" s="12">
        <v>29918</v>
      </c>
      <c r="N1235" s="12">
        <v>8764</v>
      </c>
      <c r="O1235" s="10">
        <v>4</v>
      </c>
      <c r="P1235" s="11">
        <v>45644</v>
      </c>
      <c r="Q1235" s="10" t="s">
        <v>33</v>
      </c>
      <c r="R1235" s="10" t="s">
        <v>33</v>
      </c>
      <c r="S1235" s="10" t="s">
        <v>60</v>
      </c>
      <c r="T1235" s="13">
        <v>3.4137</v>
      </c>
      <c r="U1235" s="14">
        <v>131</v>
      </c>
      <c r="V1235" s="14">
        <v>2024</v>
      </c>
      <c r="W1235" s="10" t="s">
        <v>89</v>
      </c>
    </row>
    <row r="1236" spans="1:23" s="9" customFormat="1" ht="15.75" hidden="1" customHeight="1" x14ac:dyDescent="0.25">
      <c r="A1236" s="4" t="s">
        <v>3766</v>
      </c>
      <c r="B1236" s="4" t="s">
        <v>3767</v>
      </c>
      <c r="C1236" s="4" t="s">
        <v>3768</v>
      </c>
      <c r="D1236" s="22" t="s">
        <v>6090</v>
      </c>
      <c r="E1236" s="4" t="s">
        <v>87</v>
      </c>
      <c r="F1236" s="4" t="s">
        <v>27</v>
      </c>
      <c r="G1236" s="4" t="s">
        <v>57</v>
      </c>
      <c r="H1236" s="4" t="s">
        <v>88</v>
      </c>
      <c r="I1236" s="5">
        <v>45209</v>
      </c>
      <c r="J1236" s="4" t="s">
        <v>40</v>
      </c>
      <c r="K1236" s="5">
        <v>45368</v>
      </c>
      <c r="L1236" s="4" t="s">
        <v>59</v>
      </c>
      <c r="M1236" s="6">
        <v>37330</v>
      </c>
      <c r="N1236" s="6">
        <v>2092</v>
      </c>
      <c r="O1236" s="4">
        <v>17</v>
      </c>
      <c r="P1236" s="5">
        <v>45385</v>
      </c>
      <c r="Q1236" s="4" t="s">
        <v>94</v>
      </c>
      <c r="R1236" s="4" t="s">
        <v>33</v>
      </c>
      <c r="S1236" s="4" t="s">
        <v>41</v>
      </c>
      <c r="T1236" s="7">
        <v>17.844200000000001</v>
      </c>
      <c r="U1236" s="8">
        <v>159</v>
      </c>
      <c r="V1236" s="8">
        <v>2024</v>
      </c>
      <c r="W1236" s="4" t="s">
        <v>77</v>
      </c>
    </row>
    <row r="1237" spans="1:23" s="9" customFormat="1" ht="15.75" hidden="1" customHeight="1" x14ac:dyDescent="0.25">
      <c r="A1237" s="10" t="s">
        <v>3769</v>
      </c>
      <c r="B1237" s="10" t="s">
        <v>3770</v>
      </c>
      <c r="C1237" s="10" t="s">
        <v>3771</v>
      </c>
      <c r="D1237" s="21" t="s">
        <v>6088</v>
      </c>
      <c r="E1237" s="10" t="s">
        <v>51</v>
      </c>
      <c r="F1237" s="10" t="s">
        <v>56</v>
      </c>
      <c r="G1237" s="10" t="s">
        <v>5</v>
      </c>
      <c r="H1237" s="10" t="s">
        <v>118</v>
      </c>
      <c r="I1237" s="11">
        <v>45208</v>
      </c>
      <c r="J1237" s="10" t="s">
        <v>30</v>
      </c>
      <c r="K1237" s="11">
        <v>45293</v>
      </c>
      <c r="L1237" s="10" t="s">
        <v>31</v>
      </c>
      <c r="M1237" s="12">
        <v>15527</v>
      </c>
      <c r="N1237" s="12">
        <v>8701</v>
      </c>
      <c r="O1237" s="10" t="s">
        <v>32</v>
      </c>
      <c r="P1237" s="10" t="s">
        <v>32</v>
      </c>
      <c r="Q1237" s="10" t="s">
        <v>33</v>
      </c>
      <c r="R1237" s="10" t="s">
        <v>33</v>
      </c>
      <c r="S1237" s="10" t="s">
        <v>34</v>
      </c>
      <c r="T1237" s="13">
        <v>1.7845</v>
      </c>
      <c r="U1237" s="14">
        <v>85</v>
      </c>
      <c r="V1237" s="14">
        <v>2024</v>
      </c>
      <c r="W1237" s="10" t="s">
        <v>73</v>
      </c>
    </row>
    <row r="1238" spans="1:23" s="9" customFormat="1" ht="15.75" hidden="1" customHeight="1" x14ac:dyDescent="0.25">
      <c r="A1238" s="4" t="s">
        <v>3772</v>
      </c>
      <c r="B1238" s="4" t="s">
        <v>3773</v>
      </c>
      <c r="C1238" s="4" t="s">
        <v>3774</v>
      </c>
      <c r="D1238" s="21" t="s">
        <v>6086</v>
      </c>
      <c r="E1238" s="4" t="s">
        <v>51</v>
      </c>
      <c r="F1238" s="4" t="s">
        <v>56</v>
      </c>
      <c r="G1238" s="4" t="s">
        <v>5</v>
      </c>
      <c r="H1238" s="4" t="s">
        <v>58</v>
      </c>
      <c r="I1238" s="5">
        <v>45508</v>
      </c>
      <c r="J1238" s="4" t="s">
        <v>40</v>
      </c>
      <c r="K1238" s="5">
        <v>45651</v>
      </c>
      <c r="L1238" s="4" t="s">
        <v>59</v>
      </c>
      <c r="M1238" s="6">
        <v>77045</v>
      </c>
      <c r="N1238" s="6">
        <v>5115</v>
      </c>
      <c r="O1238" s="4">
        <v>45</v>
      </c>
      <c r="P1238" s="5">
        <v>45696</v>
      </c>
      <c r="Q1238" s="4" t="s">
        <v>33</v>
      </c>
      <c r="R1238" s="4" t="s">
        <v>33</v>
      </c>
      <c r="S1238" s="4" t="s">
        <v>60</v>
      </c>
      <c r="T1238" s="7">
        <v>15.0626</v>
      </c>
      <c r="U1238" s="8">
        <v>143</v>
      </c>
      <c r="V1238" s="8">
        <v>2024</v>
      </c>
      <c r="W1238" s="4" t="s">
        <v>89</v>
      </c>
    </row>
    <row r="1239" spans="1:23" s="9" customFormat="1" ht="15.75" hidden="1" customHeight="1" x14ac:dyDescent="0.25">
      <c r="A1239" s="10" t="s">
        <v>3775</v>
      </c>
      <c r="B1239" s="10" t="s">
        <v>3776</v>
      </c>
      <c r="C1239" s="10" t="s">
        <v>3777</v>
      </c>
      <c r="D1239" s="22" t="s">
        <v>6090</v>
      </c>
      <c r="E1239" s="10" t="s">
        <v>26</v>
      </c>
      <c r="F1239" s="10" t="s">
        <v>71</v>
      </c>
      <c r="G1239" s="10" t="s">
        <v>5</v>
      </c>
      <c r="H1239" s="10" t="s">
        <v>72</v>
      </c>
      <c r="I1239" s="11">
        <v>45295</v>
      </c>
      <c r="J1239" s="10" t="s">
        <v>30</v>
      </c>
      <c r="K1239" s="11">
        <v>45578</v>
      </c>
      <c r="L1239" s="10" t="s">
        <v>59</v>
      </c>
      <c r="M1239" s="12">
        <v>22827</v>
      </c>
      <c r="N1239" s="12">
        <v>8284</v>
      </c>
      <c r="O1239" s="10">
        <v>33</v>
      </c>
      <c r="P1239" s="11">
        <v>45611</v>
      </c>
      <c r="Q1239" s="10" t="s">
        <v>33</v>
      </c>
      <c r="R1239" s="10" t="s">
        <v>33</v>
      </c>
      <c r="S1239" s="10" t="s">
        <v>34</v>
      </c>
      <c r="T1239" s="13">
        <v>2.7555999999999998</v>
      </c>
      <c r="U1239" s="14">
        <v>283</v>
      </c>
      <c r="V1239" s="14">
        <v>2024</v>
      </c>
      <c r="W1239" s="10" t="s">
        <v>95</v>
      </c>
    </row>
    <row r="1240" spans="1:23" s="9" customFormat="1" ht="15.75" hidden="1" customHeight="1" x14ac:dyDescent="0.25">
      <c r="A1240" s="4" t="s">
        <v>3778</v>
      </c>
      <c r="B1240" s="4" t="s">
        <v>3779</v>
      </c>
      <c r="C1240" s="4" t="s">
        <v>3780</v>
      </c>
      <c r="D1240" s="22" t="s">
        <v>6090</v>
      </c>
      <c r="E1240" s="4" t="s">
        <v>87</v>
      </c>
      <c r="F1240" s="4" t="s">
        <v>27</v>
      </c>
      <c r="G1240" s="4" t="s">
        <v>28</v>
      </c>
      <c r="H1240" s="4" t="s">
        <v>88</v>
      </c>
      <c r="I1240" s="5">
        <v>45237</v>
      </c>
      <c r="J1240" s="4" t="s">
        <v>40</v>
      </c>
      <c r="K1240" s="5">
        <v>45342</v>
      </c>
      <c r="L1240" s="4" t="s">
        <v>59</v>
      </c>
      <c r="M1240" s="6">
        <v>34830</v>
      </c>
      <c r="N1240" s="6">
        <v>3878</v>
      </c>
      <c r="O1240" s="4">
        <v>25</v>
      </c>
      <c r="P1240" s="5">
        <v>45367</v>
      </c>
      <c r="Q1240" s="4" t="s">
        <v>94</v>
      </c>
      <c r="R1240" s="4" t="s">
        <v>94</v>
      </c>
      <c r="S1240" s="4" t="s">
        <v>60</v>
      </c>
      <c r="T1240" s="7">
        <v>8.9814000000000007</v>
      </c>
      <c r="U1240" s="8">
        <v>105</v>
      </c>
      <c r="V1240" s="8">
        <v>2024</v>
      </c>
      <c r="W1240" s="4" t="s">
        <v>35</v>
      </c>
    </row>
    <row r="1241" spans="1:23" s="9" customFormat="1" ht="15.75" hidden="1" customHeight="1" x14ac:dyDescent="0.25">
      <c r="A1241" s="10" t="s">
        <v>3781</v>
      </c>
      <c r="B1241" s="10" t="s">
        <v>3782</v>
      </c>
      <c r="C1241" s="10" t="s">
        <v>3783</v>
      </c>
      <c r="D1241" s="22" t="s">
        <v>6087</v>
      </c>
      <c r="E1241" s="10" t="s">
        <v>51</v>
      </c>
      <c r="F1241" s="10" t="s">
        <v>27</v>
      </c>
      <c r="G1241" s="10" t="s">
        <v>28</v>
      </c>
      <c r="H1241" s="10" t="s">
        <v>39</v>
      </c>
      <c r="I1241" s="11">
        <v>45372</v>
      </c>
      <c r="J1241" s="10" t="s">
        <v>40</v>
      </c>
      <c r="K1241" s="11">
        <v>45602</v>
      </c>
      <c r="L1241" s="10" t="s">
        <v>59</v>
      </c>
      <c r="M1241" s="12">
        <v>16727</v>
      </c>
      <c r="N1241" s="12">
        <v>3381</v>
      </c>
      <c r="O1241" s="10">
        <v>19</v>
      </c>
      <c r="P1241" s="11">
        <v>45621</v>
      </c>
      <c r="Q1241" s="10" t="s">
        <v>33</v>
      </c>
      <c r="R1241" s="10" t="s">
        <v>33</v>
      </c>
      <c r="S1241" s="10" t="s">
        <v>34</v>
      </c>
      <c r="T1241" s="13">
        <v>4.9474</v>
      </c>
      <c r="U1241" s="14">
        <v>230</v>
      </c>
      <c r="V1241" s="14">
        <v>2024</v>
      </c>
      <c r="W1241" s="10" t="s">
        <v>61</v>
      </c>
    </row>
    <row r="1242" spans="1:23" s="9" customFormat="1" ht="15.75" hidden="1" customHeight="1" x14ac:dyDescent="0.25">
      <c r="A1242" s="4" t="s">
        <v>3784</v>
      </c>
      <c r="B1242" s="4" t="s">
        <v>3785</v>
      </c>
      <c r="C1242" s="4" t="s">
        <v>3786</v>
      </c>
      <c r="D1242" s="21" t="s">
        <v>6086</v>
      </c>
      <c r="E1242" s="4" t="s">
        <v>51</v>
      </c>
      <c r="F1242" s="4" t="s">
        <v>56</v>
      </c>
      <c r="G1242" s="4" t="s">
        <v>5</v>
      </c>
      <c r="H1242" s="4" t="s">
        <v>39</v>
      </c>
      <c r="I1242" s="5">
        <v>45272</v>
      </c>
      <c r="J1242" s="4" t="s">
        <v>40</v>
      </c>
      <c r="K1242" s="5">
        <v>45551</v>
      </c>
      <c r="L1242" s="4" t="s">
        <v>66</v>
      </c>
      <c r="M1242" s="6">
        <v>20735</v>
      </c>
      <c r="N1242" s="6">
        <v>2315</v>
      </c>
      <c r="O1242" s="4" t="s">
        <v>32</v>
      </c>
      <c r="P1242" s="4" t="s">
        <v>32</v>
      </c>
      <c r="Q1242" s="4" t="s">
        <v>33</v>
      </c>
      <c r="R1242" s="4" t="s">
        <v>33</v>
      </c>
      <c r="S1242" s="4" t="s">
        <v>34</v>
      </c>
      <c r="T1242" s="7">
        <v>8.9567999999999994</v>
      </c>
      <c r="U1242" s="8">
        <v>279</v>
      </c>
      <c r="V1242" s="8">
        <v>2024</v>
      </c>
      <c r="W1242" s="4" t="s">
        <v>168</v>
      </c>
    </row>
    <row r="1243" spans="1:23" s="9" customFormat="1" ht="15.75" hidden="1" customHeight="1" x14ac:dyDescent="0.25">
      <c r="A1243" s="10" t="s">
        <v>3787</v>
      </c>
      <c r="B1243" s="10" t="s">
        <v>3788</v>
      </c>
      <c r="C1243" s="10" t="s">
        <v>3789</v>
      </c>
      <c r="D1243" s="22" t="s">
        <v>6090</v>
      </c>
      <c r="E1243" s="10" t="s">
        <v>51</v>
      </c>
      <c r="F1243" s="21" t="s">
        <v>6092</v>
      </c>
      <c r="G1243" s="10" t="s">
        <v>57</v>
      </c>
      <c r="H1243" s="10" t="s">
        <v>88</v>
      </c>
      <c r="I1243" s="11">
        <v>45362</v>
      </c>
      <c r="J1243" s="10" t="s">
        <v>40</v>
      </c>
      <c r="K1243" s="11">
        <v>45613</v>
      </c>
      <c r="L1243" s="10" t="s">
        <v>59</v>
      </c>
      <c r="M1243" s="12">
        <v>46206</v>
      </c>
      <c r="N1243" s="12">
        <v>5759</v>
      </c>
      <c r="O1243" s="10">
        <v>31</v>
      </c>
      <c r="P1243" s="11">
        <v>45644</v>
      </c>
      <c r="Q1243" s="10" t="s">
        <v>33</v>
      </c>
      <c r="R1243" s="10" t="s">
        <v>33</v>
      </c>
      <c r="S1243" s="10" t="s">
        <v>60</v>
      </c>
      <c r="T1243" s="13">
        <v>8.0233000000000008</v>
      </c>
      <c r="U1243" s="14">
        <v>251</v>
      </c>
      <c r="V1243" s="14">
        <v>2024</v>
      </c>
      <c r="W1243" s="10" t="s">
        <v>61</v>
      </c>
    </row>
    <row r="1244" spans="1:23" s="9" customFormat="1" ht="15.75" hidden="1" customHeight="1" x14ac:dyDescent="0.25">
      <c r="A1244" s="4" t="s">
        <v>3790</v>
      </c>
      <c r="B1244" s="4" t="s">
        <v>3791</v>
      </c>
      <c r="C1244" s="4" t="s">
        <v>3792</v>
      </c>
      <c r="D1244" s="22" t="s">
        <v>6090</v>
      </c>
      <c r="E1244" s="4" t="s">
        <v>26</v>
      </c>
      <c r="F1244" s="4" t="s">
        <v>56</v>
      </c>
      <c r="G1244" s="4" t="s">
        <v>5</v>
      </c>
      <c r="H1244" s="4" t="s">
        <v>58</v>
      </c>
      <c r="I1244" s="5">
        <v>45354</v>
      </c>
      <c r="J1244" s="4" t="s">
        <v>40</v>
      </c>
      <c r="K1244" s="5">
        <v>45558</v>
      </c>
      <c r="L1244" s="4" t="s">
        <v>59</v>
      </c>
      <c r="M1244" s="6">
        <v>13181</v>
      </c>
      <c r="N1244" s="6">
        <v>3599</v>
      </c>
      <c r="O1244" s="4">
        <v>22</v>
      </c>
      <c r="P1244" s="5">
        <v>45580</v>
      </c>
      <c r="Q1244" s="4" t="s">
        <v>94</v>
      </c>
      <c r="R1244" s="4" t="s">
        <v>33</v>
      </c>
      <c r="S1244" s="4" t="s">
        <v>41</v>
      </c>
      <c r="T1244" s="7">
        <v>3.6623999999999999</v>
      </c>
      <c r="U1244" s="8">
        <v>204</v>
      </c>
      <c r="V1244" s="8">
        <v>2024</v>
      </c>
      <c r="W1244" s="4" t="s">
        <v>168</v>
      </c>
    </row>
    <row r="1245" spans="1:23" s="9" customFormat="1" ht="15.75" hidden="1" customHeight="1" x14ac:dyDescent="0.25">
      <c r="A1245" s="10" t="s">
        <v>3793</v>
      </c>
      <c r="B1245" s="10" t="s">
        <v>3794</v>
      </c>
      <c r="C1245" s="10" t="s">
        <v>3795</v>
      </c>
      <c r="D1245" s="22" t="s">
        <v>6090</v>
      </c>
      <c r="E1245" s="10" t="s">
        <v>87</v>
      </c>
      <c r="F1245" s="10" t="s">
        <v>46</v>
      </c>
      <c r="G1245" s="10" t="s">
        <v>28</v>
      </c>
      <c r="H1245" s="10" t="s">
        <v>118</v>
      </c>
      <c r="I1245" s="11">
        <v>45372</v>
      </c>
      <c r="J1245" s="10" t="s">
        <v>40</v>
      </c>
      <c r="K1245" s="11">
        <v>45632</v>
      </c>
      <c r="L1245" s="10" t="s">
        <v>59</v>
      </c>
      <c r="M1245" s="12">
        <v>54665</v>
      </c>
      <c r="N1245" s="12">
        <v>5107</v>
      </c>
      <c r="O1245" s="10">
        <v>2</v>
      </c>
      <c r="P1245" s="11">
        <v>45634</v>
      </c>
      <c r="Q1245" s="10" t="s">
        <v>33</v>
      </c>
      <c r="R1245" s="10" t="s">
        <v>33</v>
      </c>
      <c r="S1245" s="10" t="s">
        <v>41</v>
      </c>
      <c r="T1245" s="13">
        <v>10.703900000000001</v>
      </c>
      <c r="U1245" s="14">
        <v>260</v>
      </c>
      <c r="V1245" s="14">
        <v>2024</v>
      </c>
      <c r="W1245" s="10" t="s">
        <v>89</v>
      </c>
    </row>
    <row r="1246" spans="1:23" s="9" customFormat="1" ht="15.75" hidden="1" customHeight="1" x14ac:dyDescent="0.25">
      <c r="A1246" s="4" t="s">
        <v>3796</v>
      </c>
      <c r="B1246" s="4" t="s">
        <v>3797</v>
      </c>
      <c r="C1246" s="4" t="s">
        <v>3798</v>
      </c>
      <c r="D1246" s="22" t="s">
        <v>6087</v>
      </c>
      <c r="E1246" s="4" t="s">
        <v>26</v>
      </c>
      <c r="F1246" s="4" t="s">
        <v>65</v>
      </c>
      <c r="G1246" s="4" t="s">
        <v>5</v>
      </c>
      <c r="H1246" s="4" t="s">
        <v>29</v>
      </c>
      <c r="I1246" s="5">
        <v>45190</v>
      </c>
      <c r="J1246" s="4" t="s">
        <v>30</v>
      </c>
      <c r="K1246" s="5">
        <v>45420</v>
      </c>
      <c r="L1246" s="4" t="s">
        <v>59</v>
      </c>
      <c r="M1246" s="6">
        <v>32274</v>
      </c>
      <c r="N1246" s="6">
        <v>8162</v>
      </c>
      <c r="O1246" s="4">
        <v>9</v>
      </c>
      <c r="P1246" s="5">
        <v>45429</v>
      </c>
      <c r="Q1246" s="4" t="s">
        <v>33</v>
      </c>
      <c r="R1246" s="4" t="s">
        <v>33</v>
      </c>
      <c r="S1246" s="4" t="s">
        <v>60</v>
      </c>
      <c r="T1246" s="7">
        <v>3.9542000000000002</v>
      </c>
      <c r="U1246" s="8">
        <v>230</v>
      </c>
      <c r="V1246" s="8">
        <v>2024</v>
      </c>
      <c r="W1246" s="4" t="s">
        <v>52</v>
      </c>
    </row>
    <row r="1247" spans="1:23" s="9" customFormat="1" ht="15.75" hidden="1" customHeight="1" x14ac:dyDescent="0.25">
      <c r="A1247" s="10" t="s">
        <v>3799</v>
      </c>
      <c r="B1247" s="10" t="s">
        <v>3800</v>
      </c>
      <c r="C1247" s="10" t="s">
        <v>3801</v>
      </c>
      <c r="D1247" s="21" t="s">
        <v>6089</v>
      </c>
      <c r="E1247" s="10" t="s">
        <v>51</v>
      </c>
      <c r="F1247" s="21" t="s">
        <v>6092</v>
      </c>
      <c r="G1247" s="10" t="s">
        <v>5</v>
      </c>
      <c r="H1247" s="10" t="s">
        <v>93</v>
      </c>
      <c r="I1247" s="11">
        <v>45330</v>
      </c>
      <c r="J1247" s="10" t="s">
        <v>40</v>
      </c>
      <c r="K1247" s="11">
        <v>45502</v>
      </c>
      <c r="L1247" s="10" t="s">
        <v>59</v>
      </c>
      <c r="M1247" s="12">
        <v>63024</v>
      </c>
      <c r="N1247" s="12">
        <v>5564</v>
      </c>
      <c r="O1247" s="10">
        <v>43</v>
      </c>
      <c r="P1247" s="11">
        <v>45545</v>
      </c>
      <c r="Q1247" s="10" t="s">
        <v>33</v>
      </c>
      <c r="R1247" s="10" t="s">
        <v>33</v>
      </c>
      <c r="S1247" s="10" t="s">
        <v>60</v>
      </c>
      <c r="T1247" s="13">
        <v>11.3271</v>
      </c>
      <c r="U1247" s="14">
        <v>172</v>
      </c>
      <c r="V1247" s="14">
        <v>2024</v>
      </c>
      <c r="W1247" s="10" t="s">
        <v>42</v>
      </c>
    </row>
    <row r="1248" spans="1:23" s="9" customFormat="1" ht="15.75" hidden="1" customHeight="1" x14ac:dyDescent="0.25">
      <c r="A1248" s="4" t="s">
        <v>3802</v>
      </c>
      <c r="B1248" s="4" t="s">
        <v>3803</v>
      </c>
      <c r="C1248" s="4" t="s">
        <v>3804</v>
      </c>
      <c r="D1248" s="22" t="s">
        <v>6087</v>
      </c>
      <c r="E1248" s="4" t="s">
        <v>51</v>
      </c>
      <c r="F1248" s="4" t="s">
        <v>27</v>
      </c>
      <c r="G1248" s="4" t="s">
        <v>5</v>
      </c>
      <c r="H1248" s="4" t="s">
        <v>118</v>
      </c>
      <c r="I1248" s="5">
        <v>45073</v>
      </c>
      <c r="J1248" s="4" t="s">
        <v>40</v>
      </c>
      <c r="K1248" s="5">
        <v>45401</v>
      </c>
      <c r="L1248" s="4" t="s">
        <v>59</v>
      </c>
      <c r="M1248" s="6">
        <v>34517</v>
      </c>
      <c r="N1248" s="6">
        <v>8982</v>
      </c>
      <c r="O1248" s="4">
        <v>27</v>
      </c>
      <c r="P1248" s="5">
        <v>45428</v>
      </c>
      <c r="Q1248" s="4" t="s">
        <v>33</v>
      </c>
      <c r="R1248" s="4" t="s">
        <v>33</v>
      </c>
      <c r="S1248" s="4" t="s">
        <v>60</v>
      </c>
      <c r="T1248" s="7">
        <v>3.8429000000000002</v>
      </c>
      <c r="U1248" s="8">
        <v>328</v>
      </c>
      <c r="V1248" s="8">
        <v>2024</v>
      </c>
      <c r="W1248" s="4" t="s">
        <v>47</v>
      </c>
    </row>
    <row r="1249" spans="1:23" s="9" customFormat="1" ht="15.75" hidden="1" customHeight="1" x14ac:dyDescent="0.25">
      <c r="A1249" s="10" t="s">
        <v>3805</v>
      </c>
      <c r="B1249" s="10" t="s">
        <v>3806</v>
      </c>
      <c r="C1249" s="10" t="s">
        <v>3807</v>
      </c>
      <c r="D1249" s="22" t="s">
        <v>6087</v>
      </c>
      <c r="E1249" s="10" t="s">
        <v>87</v>
      </c>
      <c r="F1249" s="21" t="s">
        <v>6092</v>
      </c>
      <c r="G1249" s="10" t="s">
        <v>5</v>
      </c>
      <c r="H1249" s="10" t="s">
        <v>161</v>
      </c>
      <c r="I1249" s="11">
        <v>45064</v>
      </c>
      <c r="J1249" s="10" t="s">
        <v>30</v>
      </c>
      <c r="K1249" s="11">
        <v>45361</v>
      </c>
      <c r="L1249" s="10" t="s">
        <v>31</v>
      </c>
      <c r="M1249" s="12">
        <v>5858</v>
      </c>
      <c r="N1249" s="12">
        <v>6937</v>
      </c>
      <c r="O1249" s="10" t="s">
        <v>32</v>
      </c>
      <c r="P1249" s="10" t="s">
        <v>32</v>
      </c>
      <c r="Q1249" s="10" t="s">
        <v>33</v>
      </c>
      <c r="R1249" s="10" t="s">
        <v>33</v>
      </c>
      <c r="S1249" s="10" t="s">
        <v>41</v>
      </c>
      <c r="T1249" s="13">
        <v>0.84450000000000003</v>
      </c>
      <c r="U1249" s="14">
        <v>297</v>
      </c>
      <c r="V1249" s="14">
        <v>2024</v>
      </c>
      <c r="W1249" s="10" t="s">
        <v>77</v>
      </c>
    </row>
    <row r="1250" spans="1:23" s="9" customFormat="1" ht="15.75" hidden="1" customHeight="1" x14ac:dyDescent="0.25">
      <c r="A1250" s="4" t="s">
        <v>3808</v>
      </c>
      <c r="B1250" s="4" t="s">
        <v>3809</v>
      </c>
      <c r="C1250" s="4" t="s">
        <v>3810</v>
      </c>
      <c r="D1250" s="21" t="s">
        <v>6088</v>
      </c>
      <c r="E1250" s="4" t="s">
        <v>51</v>
      </c>
      <c r="F1250" s="4" t="s">
        <v>65</v>
      </c>
      <c r="G1250" s="4" t="s">
        <v>57</v>
      </c>
      <c r="H1250" s="4" t="s">
        <v>93</v>
      </c>
      <c r="I1250" s="5">
        <v>45342</v>
      </c>
      <c r="J1250" s="4" t="s">
        <v>30</v>
      </c>
      <c r="K1250" s="5">
        <v>45488</v>
      </c>
      <c r="L1250" s="4" t="s">
        <v>31</v>
      </c>
      <c r="M1250" s="6">
        <v>68089</v>
      </c>
      <c r="N1250" s="6">
        <v>3319</v>
      </c>
      <c r="O1250" s="4" t="s">
        <v>32</v>
      </c>
      <c r="P1250" s="4" t="s">
        <v>32</v>
      </c>
      <c r="Q1250" s="4" t="s">
        <v>94</v>
      </c>
      <c r="R1250" s="4" t="s">
        <v>33</v>
      </c>
      <c r="S1250" s="4" t="s">
        <v>60</v>
      </c>
      <c r="T1250" s="7">
        <v>20.514900000000001</v>
      </c>
      <c r="U1250" s="8">
        <v>146</v>
      </c>
      <c r="V1250" s="8">
        <v>2024</v>
      </c>
      <c r="W1250" s="4" t="s">
        <v>42</v>
      </c>
    </row>
    <row r="1251" spans="1:23" s="9" customFormat="1" ht="15.75" hidden="1" customHeight="1" x14ac:dyDescent="0.25">
      <c r="A1251" s="10" t="s">
        <v>3811</v>
      </c>
      <c r="B1251" s="10" t="s">
        <v>3812</v>
      </c>
      <c r="C1251" s="10" t="s">
        <v>3813</v>
      </c>
      <c r="D1251" s="22" t="s">
        <v>6087</v>
      </c>
      <c r="E1251" s="10" t="s">
        <v>26</v>
      </c>
      <c r="F1251" s="10" t="s">
        <v>71</v>
      </c>
      <c r="G1251" s="10" t="s">
        <v>57</v>
      </c>
      <c r="H1251" s="10" t="s">
        <v>29</v>
      </c>
      <c r="I1251" s="11">
        <v>45136</v>
      </c>
      <c r="J1251" s="10" t="s">
        <v>40</v>
      </c>
      <c r="K1251" s="11">
        <v>45365</v>
      </c>
      <c r="L1251" s="10" t="s">
        <v>59</v>
      </c>
      <c r="M1251" s="12">
        <v>22493</v>
      </c>
      <c r="N1251" s="12">
        <v>4669</v>
      </c>
      <c r="O1251" s="10">
        <v>32</v>
      </c>
      <c r="P1251" s="11">
        <v>45397</v>
      </c>
      <c r="Q1251" s="10" t="s">
        <v>33</v>
      </c>
      <c r="R1251" s="10" t="s">
        <v>33</v>
      </c>
      <c r="S1251" s="10" t="s">
        <v>60</v>
      </c>
      <c r="T1251" s="13">
        <v>4.8174999999999999</v>
      </c>
      <c r="U1251" s="14">
        <v>229</v>
      </c>
      <c r="V1251" s="14">
        <v>2024</v>
      </c>
      <c r="W1251" s="10" t="s">
        <v>77</v>
      </c>
    </row>
    <row r="1252" spans="1:23" s="9" customFormat="1" ht="15.75" hidden="1" customHeight="1" x14ac:dyDescent="0.25">
      <c r="A1252" s="4" t="s">
        <v>3814</v>
      </c>
      <c r="B1252" s="4" t="s">
        <v>3815</v>
      </c>
      <c r="C1252" s="4" t="s">
        <v>3816</v>
      </c>
      <c r="D1252" s="22" t="s">
        <v>6090</v>
      </c>
      <c r="E1252" s="4" t="s">
        <v>51</v>
      </c>
      <c r="F1252" s="4" t="s">
        <v>56</v>
      </c>
      <c r="G1252" s="4" t="s">
        <v>5</v>
      </c>
      <c r="H1252" s="4" t="s">
        <v>39</v>
      </c>
      <c r="I1252" s="5">
        <v>45181</v>
      </c>
      <c r="J1252" s="4" t="s">
        <v>30</v>
      </c>
      <c r="K1252" s="5">
        <v>45357</v>
      </c>
      <c r="L1252" s="4" t="s">
        <v>59</v>
      </c>
      <c r="M1252" s="6">
        <v>3798</v>
      </c>
      <c r="N1252" s="6">
        <v>5151</v>
      </c>
      <c r="O1252" s="4">
        <v>32</v>
      </c>
      <c r="P1252" s="5">
        <v>45389</v>
      </c>
      <c r="Q1252" s="4" t="s">
        <v>94</v>
      </c>
      <c r="R1252" s="4" t="s">
        <v>33</v>
      </c>
      <c r="S1252" s="4" t="s">
        <v>60</v>
      </c>
      <c r="T1252" s="7">
        <v>0.73729999999999996</v>
      </c>
      <c r="U1252" s="8">
        <v>176</v>
      </c>
      <c r="V1252" s="8">
        <v>2024</v>
      </c>
      <c r="W1252" s="4" t="s">
        <v>77</v>
      </c>
    </row>
    <row r="1253" spans="1:23" s="9" customFormat="1" ht="15.75" hidden="1" customHeight="1" x14ac:dyDescent="0.25">
      <c r="A1253" s="10" t="s">
        <v>3817</v>
      </c>
      <c r="B1253" s="10" t="s">
        <v>3818</v>
      </c>
      <c r="C1253" s="10" t="s">
        <v>3819</v>
      </c>
      <c r="D1253" s="22" t="s">
        <v>6087</v>
      </c>
      <c r="E1253" s="10" t="s">
        <v>26</v>
      </c>
      <c r="F1253" s="10" t="s">
        <v>56</v>
      </c>
      <c r="G1253" s="10" t="s">
        <v>5</v>
      </c>
      <c r="H1253" s="10" t="s">
        <v>29</v>
      </c>
      <c r="I1253" s="11">
        <v>45419</v>
      </c>
      <c r="J1253" s="10" t="s">
        <v>30</v>
      </c>
      <c r="K1253" s="11">
        <v>45613</v>
      </c>
      <c r="L1253" s="10" t="s">
        <v>31</v>
      </c>
      <c r="M1253" s="12">
        <v>34355</v>
      </c>
      <c r="N1253" s="12">
        <v>3040</v>
      </c>
      <c r="O1253" s="10" t="s">
        <v>32</v>
      </c>
      <c r="P1253" s="10" t="s">
        <v>32</v>
      </c>
      <c r="Q1253" s="10" t="s">
        <v>33</v>
      </c>
      <c r="R1253" s="10" t="s">
        <v>33</v>
      </c>
      <c r="S1253" s="10" t="s">
        <v>34</v>
      </c>
      <c r="T1253" s="13">
        <v>11.301</v>
      </c>
      <c r="U1253" s="14">
        <v>194</v>
      </c>
      <c r="V1253" s="14">
        <v>2024</v>
      </c>
      <c r="W1253" s="10" t="s">
        <v>61</v>
      </c>
    </row>
    <row r="1254" spans="1:23" s="9" customFormat="1" ht="15.75" hidden="1" customHeight="1" x14ac:dyDescent="0.25">
      <c r="A1254" s="4" t="s">
        <v>3820</v>
      </c>
      <c r="B1254" s="4" t="s">
        <v>3821</v>
      </c>
      <c r="C1254" s="4" t="s">
        <v>3822</v>
      </c>
      <c r="D1254" s="22" t="s">
        <v>6090</v>
      </c>
      <c r="E1254" s="4" t="s">
        <v>87</v>
      </c>
      <c r="F1254" s="4" t="s">
        <v>46</v>
      </c>
      <c r="G1254" s="4" t="s">
        <v>28</v>
      </c>
      <c r="H1254" s="4" t="s">
        <v>161</v>
      </c>
      <c r="I1254" s="5">
        <v>45258</v>
      </c>
      <c r="J1254" s="4" t="s">
        <v>30</v>
      </c>
      <c r="K1254" s="5">
        <v>45618</v>
      </c>
      <c r="L1254" s="4" t="s">
        <v>59</v>
      </c>
      <c r="M1254" s="6">
        <v>48667</v>
      </c>
      <c r="N1254" s="6">
        <v>4135</v>
      </c>
      <c r="O1254" s="4">
        <v>9</v>
      </c>
      <c r="P1254" s="5">
        <v>45627</v>
      </c>
      <c r="Q1254" s="4" t="s">
        <v>33</v>
      </c>
      <c r="R1254" s="4" t="s">
        <v>33</v>
      </c>
      <c r="S1254" s="4" t="s">
        <v>41</v>
      </c>
      <c r="T1254" s="7">
        <v>11.769500000000001</v>
      </c>
      <c r="U1254" s="8">
        <v>360</v>
      </c>
      <c r="V1254" s="8">
        <v>2024</v>
      </c>
      <c r="W1254" s="4" t="s">
        <v>61</v>
      </c>
    </row>
    <row r="1255" spans="1:23" s="9" customFormat="1" ht="15.75" hidden="1" customHeight="1" x14ac:dyDescent="0.25">
      <c r="A1255" s="10" t="s">
        <v>3823</v>
      </c>
      <c r="B1255" s="10" t="s">
        <v>3824</v>
      </c>
      <c r="C1255" s="10" t="s">
        <v>3825</v>
      </c>
      <c r="D1255" s="22" t="s">
        <v>6090</v>
      </c>
      <c r="E1255" s="10" t="s">
        <v>26</v>
      </c>
      <c r="F1255" s="21" t="s">
        <v>6092</v>
      </c>
      <c r="G1255" s="10" t="s">
        <v>5</v>
      </c>
      <c r="H1255" s="10" t="s">
        <v>118</v>
      </c>
      <c r="I1255" s="11">
        <v>45285</v>
      </c>
      <c r="J1255" s="10" t="s">
        <v>40</v>
      </c>
      <c r="K1255" s="11">
        <v>45480</v>
      </c>
      <c r="L1255" s="10" t="s">
        <v>31</v>
      </c>
      <c r="M1255" s="12">
        <v>57274</v>
      </c>
      <c r="N1255" s="12">
        <v>6143</v>
      </c>
      <c r="O1255" s="10" t="s">
        <v>32</v>
      </c>
      <c r="P1255" s="10" t="s">
        <v>32</v>
      </c>
      <c r="Q1255" s="10" t="s">
        <v>33</v>
      </c>
      <c r="R1255" s="10" t="s">
        <v>33</v>
      </c>
      <c r="S1255" s="10" t="s">
        <v>34</v>
      </c>
      <c r="T1255" s="13">
        <v>9.3234999999999992</v>
      </c>
      <c r="U1255" s="14">
        <v>195</v>
      </c>
      <c r="V1255" s="14">
        <v>2024</v>
      </c>
      <c r="W1255" s="10" t="s">
        <v>42</v>
      </c>
    </row>
    <row r="1256" spans="1:23" s="9" customFormat="1" ht="15.75" hidden="1" customHeight="1" x14ac:dyDescent="0.25">
      <c r="A1256" s="4" t="s">
        <v>3826</v>
      </c>
      <c r="B1256" s="4" t="s">
        <v>3827</v>
      </c>
      <c r="C1256" s="4" t="s">
        <v>3828</v>
      </c>
      <c r="D1256" s="22" t="s">
        <v>6090</v>
      </c>
      <c r="E1256" s="4" t="s">
        <v>26</v>
      </c>
      <c r="F1256" s="4" t="s">
        <v>71</v>
      </c>
      <c r="G1256" s="4" t="s">
        <v>28</v>
      </c>
      <c r="H1256" s="4" t="s">
        <v>93</v>
      </c>
      <c r="I1256" s="5">
        <v>45481</v>
      </c>
      <c r="J1256" s="4" t="s">
        <v>40</v>
      </c>
      <c r="K1256" s="5">
        <v>45629</v>
      </c>
      <c r="L1256" s="4" t="s">
        <v>59</v>
      </c>
      <c r="M1256" s="6">
        <v>22858</v>
      </c>
      <c r="N1256" s="6">
        <v>3011</v>
      </c>
      <c r="O1256" s="4">
        <v>24</v>
      </c>
      <c r="P1256" s="5">
        <v>45653</v>
      </c>
      <c r="Q1256" s="4" t="s">
        <v>33</v>
      </c>
      <c r="R1256" s="4" t="s">
        <v>33</v>
      </c>
      <c r="S1256" s="4" t="s">
        <v>41</v>
      </c>
      <c r="T1256" s="7">
        <v>7.5914999999999999</v>
      </c>
      <c r="U1256" s="8">
        <v>148</v>
      </c>
      <c r="V1256" s="8">
        <v>2024</v>
      </c>
      <c r="W1256" s="4" t="s">
        <v>89</v>
      </c>
    </row>
    <row r="1257" spans="1:23" s="9" customFormat="1" ht="15.75" hidden="1" customHeight="1" x14ac:dyDescent="0.25">
      <c r="A1257" s="10" t="s">
        <v>3829</v>
      </c>
      <c r="B1257" s="10" t="s">
        <v>3830</v>
      </c>
      <c r="C1257" s="10" t="s">
        <v>3831</v>
      </c>
      <c r="D1257" s="21" t="s">
        <v>6086</v>
      </c>
      <c r="E1257" s="10" t="s">
        <v>87</v>
      </c>
      <c r="F1257" s="10" t="s">
        <v>46</v>
      </c>
      <c r="G1257" s="10" t="s">
        <v>57</v>
      </c>
      <c r="H1257" s="10" t="s">
        <v>29</v>
      </c>
      <c r="I1257" s="11">
        <v>45420</v>
      </c>
      <c r="J1257" s="10" t="s">
        <v>30</v>
      </c>
      <c r="K1257" s="11">
        <v>45560</v>
      </c>
      <c r="L1257" s="10" t="s">
        <v>59</v>
      </c>
      <c r="M1257" s="12">
        <v>37371</v>
      </c>
      <c r="N1257" s="12">
        <v>1955</v>
      </c>
      <c r="O1257" s="10">
        <v>36</v>
      </c>
      <c r="P1257" s="11">
        <v>45596</v>
      </c>
      <c r="Q1257" s="10" t="s">
        <v>33</v>
      </c>
      <c r="R1257" s="10" t="s">
        <v>33</v>
      </c>
      <c r="S1257" s="10" t="s">
        <v>41</v>
      </c>
      <c r="T1257" s="13">
        <v>19.115600000000001</v>
      </c>
      <c r="U1257" s="14">
        <v>140</v>
      </c>
      <c r="V1257" s="14">
        <v>2024</v>
      </c>
      <c r="W1257" s="10" t="s">
        <v>168</v>
      </c>
    </row>
    <row r="1258" spans="1:23" s="9" customFormat="1" ht="15.75" hidden="1" customHeight="1" x14ac:dyDescent="0.25">
      <c r="A1258" s="4" t="s">
        <v>3832</v>
      </c>
      <c r="B1258" s="4" t="s">
        <v>3833</v>
      </c>
      <c r="C1258" s="4" t="s">
        <v>3834</v>
      </c>
      <c r="D1258" s="22" t="s">
        <v>6087</v>
      </c>
      <c r="E1258" s="4" t="s">
        <v>87</v>
      </c>
      <c r="F1258" s="4" t="s">
        <v>56</v>
      </c>
      <c r="G1258" s="4" t="s">
        <v>57</v>
      </c>
      <c r="H1258" s="4" t="s">
        <v>39</v>
      </c>
      <c r="I1258" s="5">
        <v>45479</v>
      </c>
      <c r="J1258" s="4" t="s">
        <v>40</v>
      </c>
      <c r="K1258" s="5">
        <v>45606</v>
      </c>
      <c r="L1258" s="4" t="s">
        <v>66</v>
      </c>
      <c r="M1258" s="6">
        <v>39890</v>
      </c>
      <c r="N1258" s="6">
        <v>5208</v>
      </c>
      <c r="O1258" s="4" t="s">
        <v>32</v>
      </c>
      <c r="P1258" s="4" t="s">
        <v>32</v>
      </c>
      <c r="Q1258" s="4" t="s">
        <v>33</v>
      </c>
      <c r="R1258" s="4" t="s">
        <v>33</v>
      </c>
      <c r="S1258" s="4" t="s">
        <v>60</v>
      </c>
      <c r="T1258" s="7">
        <v>7.6593999999999998</v>
      </c>
      <c r="U1258" s="8">
        <v>127</v>
      </c>
      <c r="V1258" s="8">
        <v>2024</v>
      </c>
      <c r="W1258" s="4" t="s">
        <v>61</v>
      </c>
    </row>
    <row r="1259" spans="1:23" s="9" customFormat="1" ht="15.75" hidden="1" customHeight="1" x14ac:dyDescent="0.25">
      <c r="A1259" s="10" t="s">
        <v>3835</v>
      </c>
      <c r="B1259" s="10" t="s">
        <v>3836</v>
      </c>
      <c r="C1259" s="10" t="s">
        <v>3837</v>
      </c>
      <c r="D1259" s="22" t="s">
        <v>6090</v>
      </c>
      <c r="E1259" s="10" t="s">
        <v>51</v>
      </c>
      <c r="F1259" s="10" t="s">
        <v>65</v>
      </c>
      <c r="G1259" s="10" t="s">
        <v>5</v>
      </c>
      <c r="H1259" s="10" t="s">
        <v>118</v>
      </c>
      <c r="I1259" s="11">
        <v>45452</v>
      </c>
      <c r="J1259" s="10" t="s">
        <v>30</v>
      </c>
      <c r="K1259" s="11">
        <v>45560</v>
      </c>
      <c r="L1259" s="10" t="s">
        <v>59</v>
      </c>
      <c r="M1259" s="12">
        <v>39605</v>
      </c>
      <c r="N1259" s="12">
        <v>3909</v>
      </c>
      <c r="O1259" s="10">
        <v>42</v>
      </c>
      <c r="P1259" s="11">
        <v>45602</v>
      </c>
      <c r="Q1259" s="10" t="s">
        <v>33</v>
      </c>
      <c r="R1259" s="10" t="s">
        <v>33</v>
      </c>
      <c r="S1259" s="10" t="s">
        <v>41</v>
      </c>
      <c r="T1259" s="13">
        <v>10.1317</v>
      </c>
      <c r="U1259" s="14">
        <v>108</v>
      </c>
      <c r="V1259" s="14">
        <v>2024</v>
      </c>
      <c r="W1259" s="10" t="s">
        <v>168</v>
      </c>
    </row>
    <row r="1260" spans="1:23" s="9" customFormat="1" ht="15.75" hidden="1" customHeight="1" x14ac:dyDescent="0.25">
      <c r="A1260" s="4" t="s">
        <v>3838</v>
      </c>
      <c r="B1260" s="4" t="s">
        <v>3839</v>
      </c>
      <c r="C1260" s="4" t="s">
        <v>3840</v>
      </c>
      <c r="D1260" s="22" t="s">
        <v>6087</v>
      </c>
      <c r="E1260" s="4" t="s">
        <v>51</v>
      </c>
      <c r="F1260" s="4" t="s">
        <v>65</v>
      </c>
      <c r="G1260" s="4" t="s">
        <v>57</v>
      </c>
      <c r="H1260" s="4" t="s">
        <v>93</v>
      </c>
      <c r="I1260" s="5">
        <v>45487</v>
      </c>
      <c r="J1260" s="4" t="s">
        <v>40</v>
      </c>
      <c r="K1260" s="5">
        <v>45551</v>
      </c>
      <c r="L1260" s="4" t="s">
        <v>31</v>
      </c>
      <c r="M1260" s="6">
        <v>8684</v>
      </c>
      <c r="N1260" s="6">
        <v>8509</v>
      </c>
      <c r="O1260" s="4" t="s">
        <v>32</v>
      </c>
      <c r="P1260" s="4" t="s">
        <v>32</v>
      </c>
      <c r="Q1260" s="4" t="s">
        <v>33</v>
      </c>
      <c r="R1260" s="4" t="s">
        <v>33</v>
      </c>
      <c r="S1260" s="4" t="s">
        <v>34</v>
      </c>
      <c r="T1260" s="7">
        <v>1.0206</v>
      </c>
      <c r="U1260" s="8">
        <v>64</v>
      </c>
      <c r="V1260" s="8">
        <v>2024</v>
      </c>
      <c r="W1260" s="4" t="s">
        <v>168</v>
      </c>
    </row>
    <row r="1261" spans="1:23" s="9" customFormat="1" ht="15.75" hidden="1" customHeight="1" x14ac:dyDescent="0.25">
      <c r="A1261" s="10" t="s">
        <v>3841</v>
      </c>
      <c r="B1261" s="10" t="s">
        <v>3842</v>
      </c>
      <c r="C1261" s="10" t="s">
        <v>3843</v>
      </c>
      <c r="D1261" s="21" t="s">
        <v>6088</v>
      </c>
      <c r="E1261" s="10" t="s">
        <v>51</v>
      </c>
      <c r="F1261" s="10" t="s">
        <v>56</v>
      </c>
      <c r="G1261" s="10" t="s">
        <v>5</v>
      </c>
      <c r="H1261" s="10" t="s">
        <v>29</v>
      </c>
      <c r="I1261" s="11">
        <v>45347</v>
      </c>
      <c r="J1261" s="10" t="s">
        <v>30</v>
      </c>
      <c r="K1261" s="11">
        <v>45482</v>
      </c>
      <c r="L1261" s="10" t="s">
        <v>66</v>
      </c>
      <c r="M1261" s="12">
        <v>59310</v>
      </c>
      <c r="N1261" s="12">
        <v>2537</v>
      </c>
      <c r="O1261" s="10" t="s">
        <v>32</v>
      </c>
      <c r="P1261" s="10" t="s">
        <v>32</v>
      </c>
      <c r="Q1261" s="10" t="s">
        <v>33</v>
      </c>
      <c r="R1261" s="10" t="s">
        <v>33</v>
      </c>
      <c r="S1261" s="10" t="s">
        <v>41</v>
      </c>
      <c r="T1261" s="13">
        <v>23.378</v>
      </c>
      <c r="U1261" s="14">
        <v>135</v>
      </c>
      <c r="V1261" s="14">
        <v>2024</v>
      </c>
      <c r="W1261" s="10" t="s">
        <v>42</v>
      </c>
    </row>
    <row r="1262" spans="1:23" s="9" customFormat="1" ht="15.75" hidden="1" customHeight="1" x14ac:dyDescent="0.25">
      <c r="A1262" s="4" t="s">
        <v>3844</v>
      </c>
      <c r="B1262" s="4" t="s">
        <v>3845</v>
      </c>
      <c r="C1262" s="4" t="s">
        <v>3846</v>
      </c>
      <c r="D1262" s="22" t="s">
        <v>6090</v>
      </c>
      <c r="E1262" s="4" t="s">
        <v>51</v>
      </c>
      <c r="F1262" s="4" t="s">
        <v>71</v>
      </c>
      <c r="G1262" s="4" t="s">
        <v>28</v>
      </c>
      <c r="H1262" s="4" t="s">
        <v>72</v>
      </c>
      <c r="I1262" s="5">
        <v>45362</v>
      </c>
      <c r="J1262" s="4" t="s">
        <v>30</v>
      </c>
      <c r="K1262" s="5">
        <v>45630</v>
      </c>
      <c r="L1262" s="4" t="s">
        <v>31</v>
      </c>
      <c r="M1262" s="6">
        <v>18496</v>
      </c>
      <c r="N1262" s="6">
        <v>4892</v>
      </c>
      <c r="O1262" s="4" t="s">
        <v>32</v>
      </c>
      <c r="P1262" s="4" t="s">
        <v>32</v>
      </c>
      <c r="Q1262" s="4" t="s">
        <v>33</v>
      </c>
      <c r="R1262" s="4" t="s">
        <v>33</v>
      </c>
      <c r="S1262" s="4" t="s">
        <v>34</v>
      </c>
      <c r="T1262" s="7">
        <v>3.7808999999999999</v>
      </c>
      <c r="U1262" s="8">
        <v>268</v>
      </c>
      <c r="V1262" s="8">
        <v>2024</v>
      </c>
      <c r="W1262" s="4" t="s">
        <v>89</v>
      </c>
    </row>
    <row r="1263" spans="1:23" s="9" customFormat="1" ht="15.75" hidden="1" customHeight="1" x14ac:dyDescent="0.25">
      <c r="A1263" s="10" t="s">
        <v>3847</v>
      </c>
      <c r="B1263" s="10" t="s">
        <v>3848</v>
      </c>
      <c r="C1263" s="10" t="s">
        <v>3849</v>
      </c>
      <c r="D1263" s="22" t="s">
        <v>6090</v>
      </c>
      <c r="E1263" s="10" t="s">
        <v>26</v>
      </c>
      <c r="F1263" s="10" t="s">
        <v>65</v>
      </c>
      <c r="G1263" s="10" t="s">
        <v>5</v>
      </c>
      <c r="H1263" s="10" t="s">
        <v>39</v>
      </c>
      <c r="I1263" s="11">
        <v>45085</v>
      </c>
      <c r="J1263" s="10" t="s">
        <v>40</v>
      </c>
      <c r="K1263" s="11">
        <v>45409</v>
      </c>
      <c r="L1263" s="10" t="s">
        <v>66</v>
      </c>
      <c r="M1263" s="12">
        <v>21235</v>
      </c>
      <c r="N1263" s="12">
        <v>3154</v>
      </c>
      <c r="O1263" s="10" t="s">
        <v>32</v>
      </c>
      <c r="P1263" s="10" t="s">
        <v>32</v>
      </c>
      <c r="Q1263" s="10" t="s">
        <v>94</v>
      </c>
      <c r="R1263" s="10" t="s">
        <v>33</v>
      </c>
      <c r="S1263" s="10" t="s">
        <v>41</v>
      </c>
      <c r="T1263" s="13">
        <v>6.7327000000000004</v>
      </c>
      <c r="U1263" s="14">
        <v>324</v>
      </c>
      <c r="V1263" s="14">
        <v>2024</v>
      </c>
      <c r="W1263" s="10" t="s">
        <v>47</v>
      </c>
    </row>
    <row r="1264" spans="1:23" s="9" customFormat="1" ht="15.75" hidden="1" customHeight="1" x14ac:dyDescent="0.25">
      <c r="A1264" s="4" t="s">
        <v>3850</v>
      </c>
      <c r="B1264" s="4" t="s">
        <v>3851</v>
      </c>
      <c r="C1264" s="4" t="s">
        <v>3852</v>
      </c>
      <c r="D1264" s="21" t="s">
        <v>6091</v>
      </c>
      <c r="E1264" s="4" t="s">
        <v>26</v>
      </c>
      <c r="F1264" s="4" t="s">
        <v>65</v>
      </c>
      <c r="G1264" s="4" t="s">
        <v>5</v>
      </c>
      <c r="H1264" s="4" t="s">
        <v>72</v>
      </c>
      <c r="I1264" s="5">
        <v>45195</v>
      </c>
      <c r="J1264" s="4" t="s">
        <v>40</v>
      </c>
      <c r="K1264" s="5">
        <v>45524</v>
      </c>
      <c r="L1264" s="4" t="s">
        <v>66</v>
      </c>
      <c r="M1264" s="6">
        <v>4534</v>
      </c>
      <c r="N1264" s="6">
        <v>1160</v>
      </c>
      <c r="O1264" s="4" t="s">
        <v>32</v>
      </c>
      <c r="P1264" s="4" t="s">
        <v>32</v>
      </c>
      <c r="Q1264" s="4" t="s">
        <v>33</v>
      </c>
      <c r="R1264" s="4" t="s">
        <v>33</v>
      </c>
      <c r="S1264" s="4" t="s">
        <v>34</v>
      </c>
      <c r="T1264" s="7">
        <v>3.9085999999999999</v>
      </c>
      <c r="U1264" s="8">
        <v>329</v>
      </c>
      <c r="V1264" s="8">
        <v>2024</v>
      </c>
      <c r="W1264" s="4" t="s">
        <v>114</v>
      </c>
    </row>
    <row r="1265" spans="1:23" s="9" customFormat="1" ht="15.75" hidden="1" customHeight="1" x14ac:dyDescent="0.25">
      <c r="A1265" s="10" t="s">
        <v>3853</v>
      </c>
      <c r="B1265" s="10" t="s">
        <v>3854</v>
      </c>
      <c r="C1265" s="10" t="s">
        <v>3855</v>
      </c>
      <c r="D1265" s="21" t="s">
        <v>6089</v>
      </c>
      <c r="E1265" s="10" t="s">
        <v>51</v>
      </c>
      <c r="F1265" s="10" t="s">
        <v>56</v>
      </c>
      <c r="G1265" s="10" t="s">
        <v>57</v>
      </c>
      <c r="H1265" s="10" t="s">
        <v>39</v>
      </c>
      <c r="I1265" s="11">
        <v>45189</v>
      </c>
      <c r="J1265" s="10" t="s">
        <v>40</v>
      </c>
      <c r="K1265" s="11">
        <v>45451</v>
      </c>
      <c r="L1265" s="10" t="s">
        <v>31</v>
      </c>
      <c r="M1265" s="12">
        <v>60262</v>
      </c>
      <c r="N1265" s="12">
        <v>4226</v>
      </c>
      <c r="O1265" s="10" t="s">
        <v>32</v>
      </c>
      <c r="P1265" s="10" t="s">
        <v>32</v>
      </c>
      <c r="Q1265" s="10" t="s">
        <v>33</v>
      </c>
      <c r="R1265" s="10" t="s">
        <v>33</v>
      </c>
      <c r="S1265" s="10" t="s">
        <v>60</v>
      </c>
      <c r="T1265" s="13">
        <v>14.2598</v>
      </c>
      <c r="U1265" s="14">
        <v>262</v>
      </c>
      <c r="V1265" s="14">
        <v>2024</v>
      </c>
      <c r="W1265" s="10" t="s">
        <v>67</v>
      </c>
    </row>
    <row r="1266" spans="1:23" s="9" customFormat="1" ht="15.75" hidden="1" customHeight="1" x14ac:dyDescent="0.25">
      <c r="A1266" s="4" t="s">
        <v>3856</v>
      </c>
      <c r="B1266" s="4" t="s">
        <v>3857</v>
      </c>
      <c r="C1266" s="4" t="s">
        <v>3858</v>
      </c>
      <c r="D1266" s="22" t="s">
        <v>6087</v>
      </c>
      <c r="E1266" s="4" t="s">
        <v>87</v>
      </c>
      <c r="F1266" s="4" t="s">
        <v>46</v>
      </c>
      <c r="G1266" s="4" t="s">
        <v>5</v>
      </c>
      <c r="H1266" s="4" t="s">
        <v>29</v>
      </c>
      <c r="I1266" s="5">
        <v>45282</v>
      </c>
      <c r="J1266" s="4" t="s">
        <v>30</v>
      </c>
      <c r="K1266" s="5">
        <v>45359</v>
      </c>
      <c r="L1266" s="4" t="s">
        <v>59</v>
      </c>
      <c r="M1266" s="6">
        <v>25662</v>
      </c>
      <c r="N1266" s="6">
        <v>6597</v>
      </c>
      <c r="O1266" s="4">
        <v>28</v>
      </c>
      <c r="P1266" s="5">
        <v>45387</v>
      </c>
      <c r="Q1266" s="4" t="s">
        <v>33</v>
      </c>
      <c r="R1266" s="4" t="s">
        <v>33</v>
      </c>
      <c r="S1266" s="4" t="s">
        <v>41</v>
      </c>
      <c r="T1266" s="7">
        <v>3.8898999999999999</v>
      </c>
      <c r="U1266" s="8">
        <v>77</v>
      </c>
      <c r="V1266" s="8">
        <v>2024</v>
      </c>
      <c r="W1266" s="4" t="s">
        <v>77</v>
      </c>
    </row>
    <row r="1267" spans="1:23" s="9" customFormat="1" ht="27.75" customHeight="1" x14ac:dyDescent="0.25">
      <c r="A1267" s="10" t="s">
        <v>3859</v>
      </c>
      <c r="B1267" s="10" t="s">
        <v>3860</v>
      </c>
      <c r="C1267" s="10" t="s">
        <v>3861</v>
      </c>
      <c r="D1267" s="22" t="s">
        <v>6090</v>
      </c>
      <c r="E1267" s="10" t="s">
        <v>26</v>
      </c>
      <c r="F1267" s="10" t="s">
        <v>6092</v>
      </c>
      <c r="G1267" s="10" t="s">
        <v>28</v>
      </c>
      <c r="H1267" s="10" t="s">
        <v>72</v>
      </c>
      <c r="I1267" s="11">
        <v>45202</v>
      </c>
      <c r="J1267" s="10" t="s">
        <v>30</v>
      </c>
      <c r="K1267" s="11">
        <v>45494</v>
      </c>
      <c r="L1267" s="10" t="s">
        <v>66</v>
      </c>
      <c r="M1267" s="12">
        <v>15462</v>
      </c>
      <c r="N1267" s="12">
        <v>6012</v>
      </c>
      <c r="O1267" s="10" t="s">
        <v>32</v>
      </c>
      <c r="P1267" s="10" t="s">
        <v>32</v>
      </c>
      <c r="Q1267" s="10" t="s">
        <v>94</v>
      </c>
      <c r="R1267" s="10" t="s">
        <v>94</v>
      </c>
      <c r="S1267" s="10" t="s">
        <v>41</v>
      </c>
      <c r="T1267" s="13">
        <v>2.5718999999999999</v>
      </c>
      <c r="U1267" s="14">
        <v>292</v>
      </c>
      <c r="V1267" s="14">
        <v>2024</v>
      </c>
      <c r="W1267" s="10" t="s">
        <v>42</v>
      </c>
    </row>
    <row r="1268" spans="1:23" s="9" customFormat="1" ht="15.75" hidden="1" customHeight="1" x14ac:dyDescent="0.25">
      <c r="A1268" s="4" t="s">
        <v>3862</v>
      </c>
      <c r="B1268" s="4" t="s">
        <v>3863</v>
      </c>
      <c r="C1268" s="4" t="s">
        <v>3864</v>
      </c>
      <c r="D1268" s="21" t="s">
        <v>6086</v>
      </c>
      <c r="E1268" s="4" t="s">
        <v>87</v>
      </c>
      <c r="F1268" s="21" t="s">
        <v>6092</v>
      </c>
      <c r="G1268" s="4" t="s">
        <v>28</v>
      </c>
      <c r="H1268" s="4" t="s">
        <v>88</v>
      </c>
      <c r="I1268" s="5">
        <v>45043</v>
      </c>
      <c r="J1268" s="4" t="s">
        <v>40</v>
      </c>
      <c r="K1268" s="5">
        <v>45297</v>
      </c>
      <c r="L1268" s="4" t="s">
        <v>59</v>
      </c>
      <c r="M1268" s="6">
        <v>94796</v>
      </c>
      <c r="N1268" s="6">
        <v>6978</v>
      </c>
      <c r="O1268" s="4">
        <v>33</v>
      </c>
      <c r="P1268" s="5">
        <v>45330</v>
      </c>
      <c r="Q1268" s="4" t="s">
        <v>33</v>
      </c>
      <c r="R1268" s="4" t="s">
        <v>33</v>
      </c>
      <c r="S1268" s="4" t="s">
        <v>60</v>
      </c>
      <c r="T1268" s="7">
        <v>13.585000000000001</v>
      </c>
      <c r="U1268" s="8">
        <v>254</v>
      </c>
      <c r="V1268" s="8">
        <v>2024</v>
      </c>
      <c r="W1268" s="4" t="s">
        <v>73</v>
      </c>
    </row>
    <row r="1269" spans="1:23" s="9" customFormat="1" ht="15.75" hidden="1" customHeight="1" x14ac:dyDescent="0.25">
      <c r="A1269" s="10" t="s">
        <v>3865</v>
      </c>
      <c r="B1269" s="10" t="s">
        <v>3866</v>
      </c>
      <c r="C1269" s="10" t="s">
        <v>3867</v>
      </c>
      <c r="D1269" s="21" t="s">
        <v>6089</v>
      </c>
      <c r="E1269" s="10" t="s">
        <v>87</v>
      </c>
      <c r="F1269" s="10" t="s">
        <v>65</v>
      </c>
      <c r="G1269" s="10" t="s">
        <v>5</v>
      </c>
      <c r="H1269" s="10" t="s">
        <v>39</v>
      </c>
      <c r="I1269" s="11">
        <v>45251</v>
      </c>
      <c r="J1269" s="10" t="s">
        <v>30</v>
      </c>
      <c r="K1269" s="11">
        <v>45565</v>
      </c>
      <c r="L1269" s="10" t="s">
        <v>66</v>
      </c>
      <c r="M1269" s="12">
        <v>34699</v>
      </c>
      <c r="N1269" s="12">
        <v>3110</v>
      </c>
      <c r="O1269" s="10" t="s">
        <v>32</v>
      </c>
      <c r="P1269" s="10" t="s">
        <v>32</v>
      </c>
      <c r="Q1269" s="10" t="s">
        <v>33</v>
      </c>
      <c r="R1269" s="10" t="s">
        <v>33</v>
      </c>
      <c r="S1269" s="10" t="s">
        <v>34</v>
      </c>
      <c r="T1269" s="13">
        <v>11.1572</v>
      </c>
      <c r="U1269" s="14">
        <v>314</v>
      </c>
      <c r="V1269" s="14">
        <v>2024</v>
      </c>
      <c r="W1269" s="10" t="s">
        <v>168</v>
      </c>
    </row>
    <row r="1270" spans="1:23" s="9" customFormat="1" ht="15.75" hidden="1" customHeight="1" x14ac:dyDescent="0.25">
      <c r="A1270" s="4" t="s">
        <v>3868</v>
      </c>
      <c r="B1270" s="4" t="s">
        <v>3869</v>
      </c>
      <c r="C1270" s="4" t="s">
        <v>3870</v>
      </c>
      <c r="D1270" s="22" t="s">
        <v>6087</v>
      </c>
      <c r="E1270" s="4" t="s">
        <v>26</v>
      </c>
      <c r="F1270" s="21" t="s">
        <v>6092</v>
      </c>
      <c r="G1270" s="4" t="s">
        <v>28</v>
      </c>
      <c r="H1270" s="4" t="s">
        <v>118</v>
      </c>
      <c r="I1270" s="5">
        <v>45233</v>
      </c>
      <c r="J1270" s="4" t="s">
        <v>30</v>
      </c>
      <c r="K1270" s="5">
        <v>45587</v>
      </c>
      <c r="L1270" s="4" t="s">
        <v>59</v>
      </c>
      <c r="M1270" s="6">
        <v>3975</v>
      </c>
      <c r="N1270" s="6">
        <v>8314</v>
      </c>
      <c r="O1270" s="4">
        <v>22</v>
      </c>
      <c r="P1270" s="5">
        <v>45609</v>
      </c>
      <c r="Q1270" s="4" t="s">
        <v>33</v>
      </c>
      <c r="R1270" s="4" t="s">
        <v>33</v>
      </c>
      <c r="S1270" s="4" t="s">
        <v>60</v>
      </c>
      <c r="T1270" s="7">
        <v>0.47810000000000002</v>
      </c>
      <c r="U1270" s="8">
        <v>354</v>
      </c>
      <c r="V1270" s="8">
        <v>2024</v>
      </c>
      <c r="W1270" s="4" t="s">
        <v>95</v>
      </c>
    </row>
    <row r="1271" spans="1:23" s="9" customFormat="1" ht="15.75" hidden="1" customHeight="1" x14ac:dyDescent="0.25">
      <c r="A1271" s="10" t="s">
        <v>3871</v>
      </c>
      <c r="B1271" s="10" t="s">
        <v>3872</v>
      </c>
      <c r="C1271" s="10" t="s">
        <v>3873</v>
      </c>
      <c r="D1271" s="21" t="s">
        <v>6091</v>
      </c>
      <c r="E1271" s="10" t="s">
        <v>26</v>
      </c>
      <c r="F1271" s="10" t="s">
        <v>65</v>
      </c>
      <c r="G1271" s="10" t="s">
        <v>28</v>
      </c>
      <c r="H1271" s="10" t="s">
        <v>29</v>
      </c>
      <c r="I1271" s="11">
        <v>45153</v>
      </c>
      <c r="J1271" s="10" t="s">
        <v>30</v>
      </c>
      <c r="K1271" s="11">
        <v>45422</v>
      </c>
      <c r="L1271" s="10" t="s">
        <v>59</v>
      </c>
      <c r="M1271" s="12">
        <v>4249</v>
      </c>
      <c r="N1271" s="12">
        <v>1941</v>
      </c>
      <c r="O1271" s="10">
        <v>34</v>
      </c>
      <c r="P1271" s="11">
        <v>45456</v>
      </c>
      <c r="Q1271" s="10" t="s">
        <v>94</v>
      </c>
      <c r="R1271" s="10" t="s">
        <v>33</v>
      </c>
      <c r="S1271" s="10" t="s">
        <v>60</v>
      </c>
      <c r="T1271" s="13">
        <v>2.1890999999999998</v>
      </c>
      <c r="U1271" s="14">
        <v>269</v>
      </c>
      <c r="V1271" s="14">
        <v>2024</v>
      </c>
      <c r="W1271" s="10" t="s">
        <v>52</v>
      </c>
    </row>
    <row r="1272" spans="1:23" s="9" customFormat="1" ht="15.75" hidden="1" customHeight="1" x14ac:dyDescent="0.25">
      <c r="A1272" s="4" t="s">
        <v>3874</v>
      </c>
      <c r="B1272" s="4" t="s">
        <v>3875</v>
      </c>
      <c r="C1272" s="4" t="s">
        <v>3876</v>
      </c>
      <c r="D1272" s="21" t="s">
        <v>6088</v>
      </c>
      <c r="E1272" s="4" t="s">
        <v>87</v>
      </c>
      <c r="F1272" s="4" t="s">
        <v>65</v>
      </c>
      <c r="G1272" s="4" t="s">
        <v>28</v>
      </c>
      <c r="H1272" s="4" t="s">
        <v>161</v>
      </c>
      <c r="I1272" s="5">
        <v>45294</v>
      </c>
      <c r="J1272" s="4" t="s">
        <v>30</v>
      </c>
      <c r="K1272" s="5">
        <v>45473</v>
      </c>
      <c r="L1272" s="4" t="s">
        <v>59</v>
      </c>
      <c r="M1272" s="6">
        <v>30224</v>
      </c>
      <c r="N1272" s="6">
        <v>791</v>
      </c>
      <c r="O1272" s="4">
        <v>36</v>
      </c>
      <c r="P1272" s="5">
        <v>45509</v>
      </c>
      <c r="Q1272" s="4" t="s">
        <v>33</v>
      </c>
      <c r="R1272" s="4" t="s">
        <v>33</v>
      </c>
      <c r="S1272" s="4" t="s">
        <v>60</v>
      </c>
      <c r="T1272" s="7">
        <v>38.209899999999998</v>
      </c>
      <c r="U1272" s="8">
        <v>179</v>
      </c>
      <c r="V1272" s="8">
        <v>2024</v>
      </c>
      <c r="W1272" s="4" t="s">
        <v>67</v>
      </c>
    </row>
    <row r="1273" spans="1:23" s="9" customFormat="1" ht="15.75" hidden="1" customHeight="1" x14ac:dyDescent="0.25">
      <c r="A1273" s="10" t="s">
        <v>3877</v>
      </c>
      <c r="B1273" s="10" t="s">
        <v>3878</v>
      </c>
      <c r="C1273" s="10" t="s">
        <v>3879</v>
      </c>
      <c r="D1273" s="22" t="s">
        <v>6087</v>
      </c>
      <c r="E1273" s="10" t="s">
        <v>26</v>
      </c>
      <c r="F1273" s="21" t="s">
        <v>6092</v>
      </c>
      <c r="G1273" s="10" t="s">
        <v>57</v>
      </c>
      <c r="H1273" s="10" t="s">
        <v>58</v>
      </c>
      <c r="I1273" s="11">
        <v>45188</v>
      </c>
      <c r="J1273" s="10" t="s">
        <v>30</v>
      </c>
      <c r="K1273" s="11">
        <v>45416</v>
      </c>
      <c r="L1273" s="10" t="s">
        <v>59</v>
      </c>
      <c r="M1273" s="12">
        <v>15795</v>
      </c>
      <c r="N1273" s="12">
        <v>1410</v>
      </c>
      <c r="O1273" s="10">
        <v>31</v>
      </c>
      <c r="P1273" s="11">
        <v>45447</v>
      </c>
      <c r="Q1273" s="10" t="s">
        <v>94</v>
      </c>
      <c r="R1273" s="10" t="s">
        <v>33</v>
      </c>
      <c r="S1273" s="10" t="s">
        <v>60</v>
      </c>
      <c r="T1273" s="13">
        <v>11.2021</v>
      </c>
      <c r="U1273" s="14">
        <v>228</v>
      </c>
      <c r="V1273" s="14">
        <v>2024</v>
      </c>
      <c r="W1273" s="10" t="s">
        <v>52</v>
      </c>
    </row>
    <row r="1274" spans="1:23" s="9" customFormat="1" ht="15.75" hidden="1" customHeight="1" x14ac:dyDescent="0.25">
      <c r="A1274" s="4" t="s">
        <v>3880</v>
      </c>
      <c r="B1274" s="4" t="s">
        <v>3881</v>
      </c>
      <c r="C1274" s="4" t="s">
        <v>3882</v>
      </c>
      <c r="D1274" s="22" t="s">
        <v>6090</v>
      </c>
      <c r="E1274" s="4" t="s">
        <v>26</v>
      </c>
      <c r="F1274" s="4" t="s">
        <v>65</v>
      </c>
      <c r="G1274" s="4" t="s">
        <v>57</v>
      </c>
      <c r="H1274" s="4" t="s">
        <v>161</v>
      </c>
      <c r="I1274" s="5">
        <v>45193</v>
      </c>
      <c r="J1274" s="4" t="s">
        <v>30</v>
      </c>
      <c r="K1274" s="5">
        <v>45448</v>
      </c>
      <c r="L1274" s="4" t="s">
        <v>31</v>
      </c>
      <c r="M1274" s="6">
        <v>31695</v>
      </c>
      <c r="N1274" s="6">
        <v>3171</v>
      </c>
      <c r="O1274" s="4" t="s">
        <v>32</v>
      </c>
      <c r="P1274" s="4" t="s">
        <v>32</v>
      </c>
      <c r="Q1274" s="4" t="s">
        <v>94</v>
      </c>
      <c r="R1274" s="4" t="s">
        <v>94</v>
      </c>
      <c r="S1274" s="4" t="s">
        <v>34</v>
      </c>
      <c r="T1274" s="7">
        <v>9.9953000000000003</v>
      </c>
      <c r="U1274" s="8">
        <v>255</v>
      </c>
      <c r="V1274" s="8">
        <v>2024</v>
      </c>
      <c r="W1274" s="4" t="s">
        <v>67</v>
      </c>
    </row>
    <row r="1275" spans="1:23" s="9" customFormat="1" ht="15.75" hidden="1" customHeight="1" x14ac:dyDescent="0.25">
      <c r="A1275" s="10" t="s">
        <v>3883</v>
      </c>
      <c r="B1275" s="10" t="s">
        <v>3884</v>
      </c>
      <c r="C1275" s="10" t="s">
        <v>3885</v>
      </c>
      <c r="D1275" s="22" t="s">
        <v>6087</v>
      </c>
      <c r="E1275" s="10" t="s">
        <v>87</v>
      </c>
      <c r="F1275" s="10" t="s">
        <v>46</v>
      </c>
      <c r="G1275" s="10" t="s">
        <v>5</v>
      </c>
      <c r="H1275" s="10" t="s">
        <v>39</v>
      </c>
      <c r="I1275" s="11">
        <v>45081</v>
      </c>
      <c r="J1275" s="10" t="s">
        <v>40</v>
      </c>
      <c r="K1275" s="11">
        <v>45377</v>
      </c>
      <c r="L1275" s="10" t="s">
        <v>59</v>
      </c>
      <c r="M1275" s="12">
        <v>21326</v>
      </c>
      <c r="N1275" s="12">
        <v>4504</v>
      </c>
      <c r="O1275" s="10">
        <v>30</v>
      </c>
      <c r="P1275" s="11">
        <v>45407</v>
      </c>
      <c r="Q1275" s="10" t="s">
        <v>33</v>
      </c>
      <c r="R1275" s="10" t="s">
        <v>33</v>
      </c>
      <c r="S1275" s="10" t="s">
        <v>41</v>
      </c>
      <c r="T1275" s="13">
        <v>4.7348999999999997</v>
      </c>
      <c r="U1275" s="14">
        <v>296</v>
      </c>
      <c r="V1275" s="14">
        <v>2024</v>
      </c>
      <c r="W1275" s="10" t="s">
        <v>77</v>
      </c>
    </row>
    <row r="1276" spans="1:23" s="9" customFormat="1" ht="15.75" hidden="1" customHeight="1" x14ac:dyDescent="0.25">
      <c r="A1276" s="4" t="s">
        <v>3886</v>
      </c>
      <c r="B1276" s="4" t="s">
        <v>3887</v>
      </c>
      <c r="C1276" s="4" t="s">
        <v>3888</v>
      </c>
      <c r="D1276" s="22" t="s">
        <v>6090</v>
      </c>
      <c r="E1276" s="4" t="s">
        <v>87</v>
      </c>
      <c r="F1276" s="4" t="s">
        <v>56</v>
      </c>
      <c r="G1276" s="4" t="s">
        <v>57</v>
      </c>
      <c r="H1276" s="4" t="s">
        <v>29</v>
      </c>
      <c r="I1276" s="5">
        <v>45361</v>
      </c>
      <c r="J1276" s="4" t="s">
        <v>30</v>
      </c>
      <c r="K1276" s="5">
        <v>45562</v>
      </c>
      <c r="L1276" s="4" t="s">
        <v>59</v>
      </c>
      <c r="M1276" s="6">
        <v>41358</v>
      </c>
      <c r="N1276" s="6">
        <v>2731</v>
      </c>
      <c r="O1276" s="4">
        <v>3</v>
      </c>
      <c r="P1276" s="5">
        <v>45565</v>
      </c>
      <c r="Q1276" s="4" t="s">
        <v>33</v>
      </c>
      <c r="R1276" s="4" t="s">
        <v>33</v>
      </c>
      <c r="S1276" s="4" t="s">
        <v>60</v>
      </c>
      <c r="T1276" s="7">
        <v>15.1439</v>
      </c>
      <c r="U1276" s="8">
        <v>201</v>
      </c>
      <c r="V1276" s="8">
        <v>2024</v>
      </c>
      <c r="W1276" s="4" t="s">
        <v>168</v>
      </c>
    </row>
    <row r="1277" spans="1:23" s="9" customFormat="1" ht="15.75" hidden="1" customHeight="1" x14ac:dyDescent="0.25">
      <c r="A1277" s="10" t="s">
        <v>3889</v>
      </c>
      <c r="B1277" s="10" t="s">
        <v>3890</v>
      </c>
      <c r="C1277" s="10" t="s">
        <v>3891</v>
      </c>
      <c r="D1277" s="22" t="s">
        <v>6090</v>
      </c>
      <c r="E1277" s="10" t="s">
        <v>26</v>
      </c>
      <c r="F1277" s="10" t="s">
        <v>71</v>
      </c>
      <c r="G1277" s="10" t="s">
        <v>28</v>
      </c>
      <c r="H1277" s="10" t="s">
        <v>93</v>
      </c>
      <c r="I1277" s="11">
        <v>45568</v>
      </c>
      <c r="J1277" s="10" t="s">
        <v>30</v>
      </c>
      <c r="K1277" s="11">
        <v>45615</v>
      </c>
      <c r="L1277" s="10" t="s">
        <v>31</v>
      </c>
      <c r="M1277" s="12">
        <v>51540</v>
      </c>
      <c r="N1277" s="12">
        <v>6234</v>
      </c>
      <c r="O1277" s="10" t="s">
        <v>32</v>
      </c>
      <c r="P1277" s="10" t="s">
        <v>32</v>
      </c>
      <c r="Q1277" s="10" t="s">
        <v>33</v>
      </c>
      <c r="R1277" s="10" t="s">
        <v>33</v>
      </c>
      <c r="S1277" s="10" t="s">
        <v>60</v>
      </c>
      <c r="T1277" s="13">
        <v>8.2675999999999998</v>
      </c>
      <c r="U1277" s="14">
        <v>47</v>
      </c>
      <c r="V1277" s="14">
        <v>2024</v>
      </c>
      <c r="W1277" s="10" t="s">
        <v>61</v>
      </c>
    </row>
    <row r="1278" spans="1:23" s="9" customFormat="1" ht="15.75" hidden="1" customHeight="1" x14ac:dyDescent="0.25">
      <c r="A1278" s="4" t="s">
        <v>3892</v>
      </c>
      <c r="B1278" s="4" t="s">
        <v>3893</v>
      </c>
      <c r="C1278" s="4" t="s">
        <v>3894</v>
      </c>
      <c r="D1278" s="21" t="s">
        <v>6091</v>
      </c>
      <c r="E1278" s="4" t="s">
        <v>26</v>
      </c>
      <c r="F1278" s="4" t="s">
        <v>71</v>
      </c>
      <c r="G1278" s="4" t="s">
        <v>28</v>
      </c>
      <c r="H1278" s="4" t="s">
        <v>118</v>
      </c>
      <c r="I1278" s="5">
        <v>45512</v>
      </c>
      <c r="J1278" s="4" t="s">
        <v>30</v>
      </c>
      <c r="K1278" s="5">
        <v>45636</v>
      </c>
      <c r="L1278" s="4" t="s">
        <v>31</v>
      </c>
      <c r="M1278" s="6">
        <v>8374</v>
      </c>
      <c r="N1278" s="6">
        <v>6130</v>
      </c>
      <c r="O1278" s="4" t="s">
        <v>32</v>
      </c>
      <c r="P1278" s="4" t="s">
        <v>32</v>
      </c>
      <c r="Q1278" s="4" t="s">
        <v>33</v>
      </c>
      <c r="R1278" s="4" t="s">
        <v>33</v>
      </c>
      <c r="S1278" s="4" t="s">
        <v>41</v>
      </c>
      <c r="T1278" s="7">
        <v>1.3661000000000001</v>
      </c>
      <c r="U1278" s="8">
        <v>124</v>
      </c>
      <c r="V1278" s="8">
        <v>2024</v>
      </c>
      <c r="W1278" s="4" t="s">
        <v>89</v>
      </c>
    </row>
    <row r="1279" spans="1:23" s="9" customFormat="1" ht="15.75" hidden="1" customHeight="1" x14ac:dyDescent="0.25">
      <c r="A1279" s="10" t="s">
        <v>3895</v>
      </c>
      <c r="B1279" s="10" t="s">
        <v>3896</v>
      </c>
      <c r="C1279" s="10" t="s">
        <v>3897</v>
      </c>
      <c r="D1279" s="22" t="s">
        <v>6090</v>
      </c>
      <c r="E1279" s="10" t="s">
        <v>26</v>
      </c>
      <c r="F1279" s="10" t="s">
        <v>46</v>
      </c>
      <c r="G1279" s="10" t="s">
        <v>57</v>
      </c>
      <c r="H1279" s="10" t="s">
        <v>118</v>
      </c>
      <c r="I1279" s="11">
        <v>45453</v>
      </c>
      <c r="J1279" s="10" t="s">
        <v>30</v>
      </c>
      <c r="K1279" s="11">
        <v>45547</v>
      </c>
      <c r="L1279" s="10" t="s">
        <v>31</v>
      </c>
      <c r="M1279" s="12">
        <v>10855</v>
      </c>
      <c r="N1279" s="12">
        <v>3984</v>
      </c>
      <c r="O1279" s="10" t="s">
        <v>32</v>
      </c>
      <c r="P1279" s="10" t="s">
        <v>32</v>
      </c>
      <c r="Q1279" s="10" t="s">
        <v>33</v>
      </c>
      <c r="R1279" s="10" t="s">
        <v>33</v>
      </c>
      <c r="S1279" s="10" t="s">
        <v>60</v>
      </c>
      <c r="T1279" s="13">
        <v>2.7246000000000001</v>
      </c>
      <c r="U1279" s="14">
        <v>94</v>
      </c>
      <c r="V1279" s="14">
        <v>2024</v>
      </c>
      <c r="W1279" s="10" t="s">
        <v>168</v>
      </c>
    </row>
    <row r="1280" spans="1:23" s="9" customFormat="1" ht="15.75" hidden="1" customHeight="1" x14ac:dyDescent="0.25">
      <c r="A1280" s="4" t="s">
        <v>3898</v>
      </c>
      <c r="B1280" s="4" t="s">
        <v>3899</v>
      </c>
      <c r="C1280" s="4" t="s">
        <v>3900</v>
      </c>
      <c r="D1280" s="22" t="s">
        <v>6087</v>
      </c>
      <c r="E1280" s="4" t="s">
        <v>26</v>
      </c>
      <c r="F1280" s="4" t="s">
        <v>46</v>
      </c>
      <c r="G1280" s="4" t="s">
        <v>28</v>
      </c>
      <c r="H1280" s="4" t="s">
        <v>118</v>
      </c>
      <c r="I1280" s="5">
        <v>45308</v>
      </c>
      <c r="J1280" s="4" t="s">
        <v>40</v>
      </c>
      <c r="K1280" s="5">
        <v>45349</v>
      </c>
      <c r="L1280" s="4" t="s">
        <v>31</v>
      </c>
      <c r="M1280" s="6">
        <v>22494</v>
      </c>
      <c r="N1280" s="6">
        <v>7138</v>
      </c>
      <c r="O1280" s="4" t="s">
        <v>32</v>
      </c>
      <c r="P1280" s="4" t="s">
        <v>32</v>
      </c>
      <c r="Q1280" s="4" t="s">
        <v>33</v>
      </c>
      <c r="R1280" s="4" t="s">
        <v>33</v>
      </c>
      <c r="S1280" s="4" t="s">
        <v>41</v>
      </c>
      <c r="T1280" s="7">
        <v>3.1513</v>
      </c>
      <c r="U1280" s="8">
        <v>41</v>
      </c>
      <c r="V1280" s="8">
        <v>2024</v>
      </c>
      <c r="W1280" s="4" t="s">
        <v>35</v>
      </c>
    </row>
    <row r="1281" spans="1:23" s="9" customFormat="1" ht="15.75" hidden="1" customHeight="1" x14ac:dyDescent="0.25">
      <c r="A1281" s="10" t="s">
        <v>3901</v>
      </c>
      <c r="B1281" s="10" t="s">
        <v>3902</v>
      </c>
      <c r="C1281" s="10" t="s">
        <v>3903</v>
      </c>
      <c r="D1281" s="22" t="s">
        <v>6090</v>
      </c>
      <c r="E1281" s="10" t="s">
        <v>87</v>
      </c>
      <c r="F1281" s="10" t="s">
        <v>27</v>
      </c>
      <c r="G1281" s="10" t="s">
        <v>57</v>
      </c>
      <c r="H1281" s="10" t="s">
        <v>29</v>
      </c>
      <c r="I1281" s="11">
        <v>45195</v>
      </c>
      <c r="J1281" s="10" t="s">
        <v>30</v>
      </c>
      <c r="K1281" s="11">
        <v>45323</v>
      </c>
      <c r="L1281" s="10" t="s">
        <v>59</v>
      </c>
      <c r="M1281" s="12">
        <v>45726</v>
      </c>
      <c r="N1281" s="12">
        <v>8929</v>
      </c>
      <c r="O1281" s="10">
        <v>43</v>
      </c>
      <c r="P1281" s="11">
        <v>45366</v>
      </c>
      <c r="Q1281" s="10" t="s">
        <v>33</v>
      </c>
      <c r="R1281" s="10" t="s">
        <v>33</v>
      </c>
      <c r="S1281" s="10" t="s">
        <v>60</v>
      </c>
      <c r="T1281" s="13">
        <v>5.1211000000000002</v>
      </c>
      <c r="U1281" s="14">
        <v>128</v>
      </c>
      <c r="V1281" s="14">
        <v>2024</v>
      </c>
      <c r="W1281" s="10" t="s">
        <v>35</v>
      </c>
    </row>
    <row r="1282" spans="1:23" s="9" customFormat="1" ht="15.75" hidden="1" customHeight="1" x14ac:dyDescent="0.25">
      <c r="A1282" s="4" t="s">
        <v>3904</v>
      </c>
      <c r="B1282" s="4" t="s">
        <v>3905</v>
      </c>
      <c r="C1282" s="4" t="s">
        <v>3906</v>
      </c>
      <c r="D1282" s="21" t="s">
        <v>6086</v>
      </c>
      <c r="E1282" s="4" t="s">
        <v>26</v>
      </c>
      <c r="F1282" s="4" t="s">
        <v>65</v>
      </c>
      <c r="G1282" s="4" t="s">
        <v>28</v>
      </c>
      <c r="H1282" s="4" t="s">
        <v>72</v>
      </c>
      <c r="I1282" s="5">
        <v>45554</v>
      </c>
      <c r="J1282" s="4" t="s">
        <v>40</v>
      </c>
      <c r="K1282" s="5">
        <v>45606</v>
      </c>
      <c r="L1282" s="4" t="s">
        <v>59</v>
      </c>
      <c r="M1282" s="6">
        <v>21686</v>
      </c>
      <c r="N1282" s="6">
        <v>8393</v>
      </c>
      <c r="O1282" s="4">
        <v>42</v>
      </c>
      <c r="P1282" s="5">
        <v>45648</v>
      </c>
      <c r="Q1282" s="4" t="s">
        <v>33</v>
      </c>
      <c r="R1282" s="4" t="s">
        <v>33</v>
      </c>
      <c r="S1282" s="4" t="s">
        <v>34</v>
      </c>
      <c r="T1282" s="7">
        <v>2.5838000000000001</v>
      </c>
      <c r="U1282" s="8">
        <v>52</v>
      </c>
      <c r="V1282" s="8">
        <v>2024</v>
      </c>
      <c r="W1282" s="4" t="s">
        <v>61</v>
      </c>
    </row>
    <row r="1283" spans="1:23" s="9" customFormat="1" ht="15.75" hidden="1" customHeight="1" x14ac:dyDescent="0.25">
      <c r="A1283" s="10" t="s">
        <v>3907</v>
      </c>
      <c r="B1283" s="10" t="s">
        <v>3908</v>
      </c>
      <c r="C1283" s="10" t="s">
        <v>3909</v>
      </c>
      <c r="D1283" s="21" t="s">
        <v>6086</v>
      </c>
      <c r="E1283" s="10" t="s">
        <v>26</v>
      </c>
      <c r="F1283" s="21" t="s">
        <v>6092</v>
      </c>
      <c r="G1283" s="10" t="s">
        <v>5</v>
      </c>
      <c r="H1283" s="10" t="s">
        <v>58</v>
      </c>
      <c r="I1283" s="11">
        <v>45568</v>
      </c>
      <c r="J1283" s="10" t="s">
        <v>40</v>
      </c>
      <c r="K1283" s="11">
        <v>45643</v>
      </c>
      <c r="L1283" s="10" t="s">
        <v>31</v>
      </c>
      <c r="M1283" s="12">
        <v>55227</v>
      </c>
      <c r="N1283" s="12">
        <v>598</v>
      </c>
      <c r="O1283" s="10" t="s">
        <v>32</v>
      </c>
      <c r="P1283" s="10" t="s">
        <v>32</v>
      </c>
      <c r="Q1283" s="10" t="s">
        <v>33</v>
      </c>
      <c r="R1283" s="10" t="s">
        <v>33</v>
      </c>
      <c r="S1283" s="10" t="s">
        <v>60</v>
      </c>
      <c r="T1283" s="13">
        <v>92.352800000000002</v>
      </c>
      <c r="U1283" s="14">
        <v>75</v>
      </c>
      <c r="V1283" s="14">
        <v>2024</v>
      </c>
      <c r="W1283" s="10" t="s">
        <v>89</v>
      </c>
    </row>
    <row r="1284" spans="1:23" s="9" customFormat="1" ht="15.75" hidden="1" customHeight="1" x14ac:dyDescent="0.25">
      <c r="A1284" s="4" t="s">
        <v>3910</v>
      </c>
      <c r="B1284" s="4" t="s">
        <v>3911</v>
      </c>
      <c r="C1284" s="4" t="s">
        <v>3912</v>
      </c>
      <c r="D1284" s="21" t="s">
        <v>6089</v>
      </c>
      <c r="E1284" s="4" t="s">
        <v>51</v>
      </c>
      <c r="F1284" s="4" t="s">
        <v>56</v>
      </c>
      <c r="G1284" s="4" t="s">
        <v>5</v>
      </c>
      <c r="H1284" s="4" t="s">
        <v>93</v>
      </c>
      <c r="I1284" s="5">
        <v>45207</v>
      </c>
      <c r="J1284" s="4" t="s">
        <v>30</v>
      </c>
      <c r="K1284" s="5">
        <v>45470</v>
      </c>
      <c r="L1284" s="4" t="s">
        <v>59</v>
      </c>
      <c r="M1284" s="6">
        <v>30282</v>
      </c>
      <c r="N1284" s="6">
        <v>4965</v>
      </c>
      <c r="O1284" s="4">
        <v>42</v>
      </c>
      <c r="P1284" s="5">
        <v>45512</v>
      </c>
      <c r="Q1284" s="4" t="s">
        <v>33</v>
      </c>
      <c r="R1284" s="4" t="s">
        <v>33</v>
      </c>
      <c r="S1284" s="4" t="s">
        <v>60</v>
      </c>
      <c r="T1284" s="7">
        <v>6.0991</v>
      </c>
      <c r="U1284" s="8">
        <v>263</v>
      </c>
      <c r="V1284" s="8">
        <v>2024</v>
      </c>
      <c r="W1284" s="4" t="s">
        <v>67</v>
      </c>
    </row>
    <row r="1285" spans="1:23" s="9" customFormat="1" ht="15.75" hidden="1" customHeight="1" x14ac:dyDescent="0.25">
      <c r="A1285" s="10" t="s">
        <v>3913</v>
      </c>
      <c r="B1285" s="10" t="s">
        <v>3914</v>
      </c>
      <c r="C1285" s="10" t="s">
        <v>3915</v>
      </c>
      <c r="D1285" s="22" t="s">
        <v>6090</v>
      </c>
      <c r="E1285" s="10" t="s">
        <v>26</v>
      </c>
      <c r="F1285" s="10" t="s">
        <v>46</v>
      </c>
      <c r="G1285" s="10" t="s">
        <v>5</v>
      </c>
      <c r="H1285" s="10" t="s">
        <v>58</v>
      </c>
      <c r="I1285" s="11">
        <v>45337</v>
      </c>
      <c r="J1285" s="10" t="s">
        <v>30</v>
      </c>
      <c r="K1285" s="11">
        <v>45613</v>
      </c>
      <c r="L1285" s="10" t="s">
        <v>59</v>
      </c>
      <c r="M1285" s="12">
        <v>35544</v>
      </c>
      <c r="N1285" s="12">
        <v>6811</v>
      </c>
      <c r="O1285" s="10">
        <v>15</v>
      </c>
      <c r="P1285" s="11">
        <v>45628</v>
      </c>
      <c r="Q1285" s="10" t="s">
        <v>33</v>
      </c>
      <c r="R1285" s="10" t="s">
        <v>33</v>
      </c>
      <c r="S1285" s="10" t="s">
        <v>34</v>
      </c>
      <c r="T1285" s="13">
        <v>5.2186000000000003</v>
      </c>
      <c r="U1285" s="14">
        <v>276</v>
      </c>
      <c r="V1285" s="14">
        <v>2024</v>
      </c>
      <c r="W1285" s="10" t="s">
        <v>61</v>
      </c>
    </row>
    <row r="1286" spans="1:23" s="9" customFormat="1" ht="15.75" hidden="1" customHeight="1" x14ac:dyDescent="0.25">
      <c r="A1286" s="4" t="s">
        <v>3916</v>
      </c>
      <c r="B1286" s="4" t="s">
        <v>3917</v>
      </c>
      <c r="C1286" s="4" t="s">
        <v>3918</v>
      </c>
      <c r="D1286" s="21" t="s">
        <v>6088</v>
      </c>
      <c r="E1286" s="4" t="s">
        <v>51</v>
      </c>
      <c r="F1286" s="4" t="s">
        <v>65</v>
      </c>
      <c r="G1286" s="4" t="s">
        <v>57</v>
      </c>
      <c r="H1286" s="4" t="s">
        <v>118</v>
      </c>
      <c r="I1286" s="5">
        <v>45546</v>
      </c>
      <c r="J1286" s="4" t="s">
        <v>30</v>
      </c>
      <c r="K1286" s="5">
        <v>45623</v>
      </c>
      <c r="L1286" s="4" t="s">
        <v>59</v>
      </c>
      <c r="M1286" s="6">
        <v>67899</v>
      </c>
      <c r="N1286" s="6">
        <v>4613</v>
      </c>
      <c r="O1286" s="4">
        <v>39</v>
      </c>
      <c r="P1286" s="5">
        <v>45662</v>
      </c>
      <c r="Q1286" s="4" t="s">
        <v>33</v>
      </c>
      <c r="R1286" s="4" t="s">
        <v>33</v>
      </c>
      <c r="S1286" s="4" t="s">
        <v>60</v>
      </c>
      <c r="T1286" s="7">
        <v>14.719099999999999</v>
      </c>
      <c r="U1286" s="8">
        <v>77</v>
      </c>
      <c r="V1286" s="8">
        <v>2024</v>
      </c>
      <c r="W1286" s="4" t="s">
        <v>61</v>
      </c>
    </row>
    <row r="1287" spans="1:23" s="9" customFormat="1" ht="27.75" customHeight="1" x14ac:dyDescent="0.25">
      <c r="A1287" s="10" t="s">
        <v>3919</v>
      </c>
      <c r="B1287" s="10" t="s">
        <v>3920</v>
      </c>
      <c r="C1287" s="10" t="s">
        <v>3921</v>
      </c>
      <c r="D1287" s="22" t="s">
        <v>6087</v>
      </c>
      <c r="E1287" s="10" t="s">
        <v>87</v>
      </c>
      <c r="F1287" s="10" t="s">
        <v>6092</v>
      </c>
      <c r="G1287" s="10" t="s">
        <v>28</v>
      </c>
      <c r="H1287" s="10" t="s">
        <v>88</v>
      </c>
      <c r="I1287" s="11">
        <v>45287</v>
      </c>
      <c r="J1287" s="10" t="s">
        <v>40</v>
      </c>
      <c r="K1287" s="11">
        <v>45369</v>
      </c>
      <c r="L1287" s="10" t="s">
        <v>59</v>
      </c>
      <c r="M1287" s="12">
        <v>19412</v>
      </c>
      <c r="N1287" s="12">
        <v>4362</v>
      </c>
      <c r="O1287" s="10">
        <v>38</v>
      </c>
      <c r="P1287" s="11">
        <v>45407</v>
      </c>
      <c r="Q1287" s="10" t="s">
        <v>94</v>
      </c>
      <c r="R1287" s="10" t="s">
        <v>94</v>
      </c>
      <c r="S1287" s="10" t="s">
        <v>41</v>
      </c>
      <c r="T1287" s="13">
        <v>4.4503000000000004</v>
      </c>
      <c r="U1287" s="14">
        <v>82</v>
      </c>
      <c r="V1287" s="14">
        <v>2024</v>
      </c>
      <c r="W1287" s="10" t="s">
        <v>77</v>
      </c>
    </row>
    <row r="1288" spans="1:23" s="9" customFormat="1" ht="15.75" hidden="1" customHeight="1" x14ac:dyDescent="0.25">
      <c r="A1288" s="4" t="s">
        <v>3922</v>
      </c>
      <c r="B1288" s="4" t="s">
        <v>3923</v>
      </c>
      <c r="C1288" s="4" t="s">
        <v>3924</v>
      </c>
      <c r="D1288" s="21" t="s">
        <v>6089</v>
      </c>
      <c r="E1288" s="4" t="s">
        <v>51</v>
      </c>
      <c r="F1288" s="4" t="s">
        <v>56</v>
      </c>
      <c r="G1288" s="4" t="s">
        <v>5</v>
      </c>
      <c r="H1288" s="4" t="s">
        <v>39</v>
      </c>
      <c r="I1288" s="5">
        <v>45175</v>
      </c>
      <c r="J1288" s="4" t="s">
        <v>40</v>
      </c>
      <c r="K1288" s="5">
        <v>45495</v>
      </c>
      <c r="L1288" s="4" t="s">
        <v>31</v>
      </c>
      <c r="M1288" s="6">
        <v>49706</v>
      </c>
      <c r="N1288" s="6">
        <v>8884</v>
      </c>
      <c r="O1288" s="4" t="s">
        <v>32</v>
      </c>
      <c r="P1288" s="4" t="s">
        <v>32</v>
      </c>
      <c r="Q1288" s="4" t="s">
        <v>33</v>
      </c>
      <c r="R1288" s="4" t="s">
        <v>33</v>
      </c>
      <c r="S1288" s="4" t="s">
        <v>60</v>
      </c>
      <c r="T1288" s="7">
        <v>5.5949999999999998</v>
      </c>
      <c r="U1288" s="8">
        <v>320</v>
      </c>
      <c r="V1288" s="8">
        <v>2024</v>
      </c>
      <c r="W1288" s="4" t="s">
        <v>42</v>
      </c>
    </row>
    <row r="1289" spans="1:23" s="9" customFormat="1" ht="15.75" hidden="1" customHeight="1" x14ac:dyDescent="0.25">
      <c r="A1289" s="10" t="s">
        <v>3925</v>
      </c>
      <c r="B1289" s="10" t="s">
        <v>3926</v>
      </c>
      <c r="C1289" s="10" t="s">
        <v>3927</v>
      </c>
      <c r="D1289" s="22" t="s">
        <v>6087</v>
      </c>
      <c r="E1289" s="10" t="s">
        <v>51</v>
      </c>
      <c r="F1289" s="10" t="s">
        <v>46</v>
      </c>
      <c r="G1289" s="10" t="s">
        <v>28</v>
      </c>
      <c r="H1289" s="10" t="s">
        <v>93</v>
      </c>
      <c r="I1289" s="11">
        <v>45387</v>
      </c>
      <c r="J1289" s="10" t="s">
        <v>30</v>
      </c>
      <c r="K1289" s="11">
        <v>45642</v>
      </c>
      <c r="L1289" s="10" t="s">
        <v>66</v>
      </c>
      <c r="M1289" s="12">
        <v>18360</v>
      </c>
      <c r="N1289" s="12">
        <v>5607</v>
      </c>
      <c r="O1289" s="10" t="s">
        <v>32</v>
      </c>
      <c r="P1289" s="10" t="s">
        <v>32</v>
      </c>
      <c r="Q1289" s="10" t="s">
        <v>33</v>
      </c>
      <c r="R1289" s="10" t="s">
        <v>33</v>
      </c>
      <c r="S1289" s="10" t="s">
        <v>34</v>
      </c>
      <c r="T1289" s="13">
        <v>3.2745000000000002</v>
      </c>
      <c r="U1289" s="14">
        <v>255</v>
      </c>
      <c r="V1289" s="14">
        <v>2024</v>
      </c>
      <c r="W1289" s="10" t="s">
        <v>89</v>
      </c>
    </row>
    <row r="1290" spans="1:23" s="9" customFormat="1" ht="15.75" hidden="1" customHeight="1" x14ac:dyDescent="0.25">
      <c r="A1290" s="4" t="s">
        <v>3928</v>
      </c>
      <c r="B1290" s="4" t="s">
        <v>3929</v>
      </c>
      <c r="C1290" s="4" t="s">
        <v>3930</v>
      </c>
      <c r="D1290" s="22" t="s">
        <v>6087</v>
      </c>
      <c r="E1290" s="4" t="s">
        <v>26</v>
      </c>
      <c r="F1290" s="4" t="s">
        <v>65</v>
      </c>
      <c r="G1290" s="4" t="s">
        <v>57</v>
      </c>
      <c r="H1290" s="4" t="s">
        <v>88</v>
      </c>
      <c r="I1290" s="5">
        <v>45298</v>
      </c>
      <c r="J1290" s="4" t="s">
        <v>30</v>
      </c>
      <c r="K1290" s="5">
        <v>45657</v>
      </c>
      <c r="L1290" s="4" t="s">
        <v>59</v>
      </c>
      <c r="M1290" s="6">
        <v>13480</v>
      </c>
      <c r="N1290" s="6">
        <v>8442</v>
      </c>
      <c r="O1290" s="4">
        <v>6</v>
      </c>
      <c r="P1290" s="5">
        <v>45663</v>
      </c>
      <c r="Q1290" s="4" t="s">
        <v>33</v>
      </c>
      <c r="R1290" s="4" t="s">
        <v>33</v>
      </c>
      <c r="S1290" s="4" t="s">
        <v>60</v>
      </c>
      <c r="T1290" s="7">
        <v>1.5968</v>
      </c>
      <c r="U1290" s="8">
        <v>359</v>
      </c>
      <c r="V1290" s="8">
        <v>2024</v>
      </c>
      <c r="W1290" s="4" t="s">
        <v>89</v>
      </c>
    </row>
    <row r="1291" spans="1:23" s="9" customFormat="1" ht="15.75" hidden="1" customHeight="1" x14ac:dyDescent="0.25">
      <c r="A1291" s="10" t="s">
        <v>3931</v>
      </c>
      <c r="B1291" s="10" t="s">
        <v>3932</v>
      </c>
      <c r="C1291" s="10" t="s">
        <v>3933</v>
      </c>
      <c r="D1291" s="21" t="s">
        <v>6089</v>
      </c>
      <c r="E1291" s="10" t="s">
        <v>26</v>
      </c>
      <c r="F1291" s="10" t="s">
        <v>71</v>
      </c>
      <c r="G1291" s="10" t="s">
        <v>28</v>
      </c>
      <c r="H1291" s="10" t="s">
        <v>39</v>
      </c>
      <c r="I1291" s="11">
        <v>45299</v>
      </c>
      <c r="J1291" s="10" t="s">
        <v>30</v>
      </c>
      <c r="K1291" s="11">
        <v>45571</v>
      </c>
      <c r="L1291" s="10" t="s">
        <v>66</v>
      </c>
      <c r="M1291" s="12">
        <v>52104</v>
      </c>
      <c r="N1291" s="12">
        <v>1676</v>
      </c>
      <c r="O1291" s="10" t="s">
        <v>32</v>
      </c>
      <c r="P1291" s="10" t="s">
        <v>32</v>
      </c>
      <c r="Q1291" s="10" t="s">
        <v>33</v>
      </c>
      <c r="R1291" s="10" t="s">
        <v>33</v>
      </c>
      <c r="S1291" s="10" t="s">
        <v>60</v>
      </c>
      <c r="T1291" s="13">
        <v>31.0883</v>
      </c>
      <c r="U1291" s="14">
        <v>272</v>
      </c>
      <c r="V1291" s="14">
        <v>2024</v>
      </c>
      <c r="W1291" s="10" t="s">
        <v>95</v>
      </c>
    </row>
    <row r="1292" spans="1:23" s="9" customFormat="1" ht="15.75" hidden="1" customHeight="1" x14ac:dyDescent="0.25">
      <c r="A1292" s="4" t="s">
        <v>3934</v>
      </c>
      <c r="B1292" s="4" t="s">
        <v>3935</v>
      </c>
      <c r="C1292" s="4" t="s">
        <v>3936</v>
      </c>
      <c r="D1292" s="22" t="s">
        <v>6090</v>
      </c>
      <c r="E1292" s="4" t="s">
        <v>26</v>
      </c>
      <c r="F1292" s="4" t="s">
        <v>56</v>
      </c>
      <c r="G1292" s="4" t="s">
        <v>5</v>
      </c>
      <c r="H1292" s="4" t="s">
        <v>72</v>
      </c>
      <c r="I1292" s="5">
        <v>45205</v>
      </c>
      <c r="J1292" s="4" t="s">
        <v>30</v>
      </c>
      <c r="K1292" s="5">
        <v>45331</v>
      </c>
      <c r="L1292" s="4" t="s">
        <v>66</v>
      </c>
      <c r="M1292" s="6">
        <v>19652</v>
      </c>
      <c r="N1292" s="6">
        <v>6345</v>
      </c>
      <c r="O1292" s="4" t="s">
        <v>32</v>
      </c>
      <c r="P1292" s="4" t="s">
        <v>32</v>
      </c>
      <c r="Q1292" s="4" t="s">
        <v>33</v>
      </c>
      <c r="R1292" s="4" t="s">
        <v>33</v>
      </c>
      <c r="S1292" s="4" t="s">
        <v>34</v>
      </c>
      <c r="T1292" s="7">
        <v>3.0972</v>
      </c>
      <c r="U1292" s="8">
        <v>126</v>
      </c>
      <c r="V1292" s="8">
        <v>2024</v>
      </c>
      <c r="W1292" s="4" t="s">
        <v>35</v>
      </c>
    </row>
    <row r="1293" spans="1:23" s="9" customFormat="1" ht="15.75" hidden="1" customHeight="1" x14ac:dyDescent="0.25">
      <c r="A1293" s="10" t="s">
        <v>3937</v>
      </c>
      <c r="B1293" s="10" t="s">
        <v>3938</v>
      </c>
      <c r="C1293" s="10" t="s">
        <v>3939</v>
      </c>
      <c r="D1293" s="21" t="s">
        <v>6088</v>
      </c>
      <c r="E1293" s="10" t="s">
        <v>26</v>
      </c>
      <c r="F1293" s="21" t="s">
        <v>6092</v>
      </c>
      <c r="G1293" s="10" t="s">
        <v>57</v>
      </c>
      <c r="H1293" s="10" t="s">
        <v>161</v>
      </c>
      <c r="I1293" s="11">
        <v>45294</v>
      </c>
      <c r="J1293" s="10" t="s">
        <v>30</v>
      </c>
      <c r="K1293" s="11">
        <v>45355</v>
      </c>
      <c r="L1293" s="10" t="s">
        <v>59</v>
      </c>
      <c r="M1293" s="12">
        <v>72132</v>
      </c>
      <c r="N1293" s="12">
        <v>8813</v>
      </c>
      <c r="O1293" s="10">
        <v>20</v>
      </c>
      <c r="P1293" s="11">
        <v>45375</v>
      </c>
      <c r="Q1293" s="10" t="s">
        <v>33</v>
      </c>
      <c r="R1293" s="10" t="s">
        <v>33</v>
      </c>
      <c r="S1293" s="10" t="s">
        <v>60</v>
      </c>
      <c r="T1293" s="13">
        <v>8.1846999999999994</v>
      </c>
      <c r="U1293" s="14">
        <v>61</v>
      </c>
      <c r="V1293" s="14">
        <v>2024</v>
      </c>
      <c r="W1293" s="10" t="s">
        <v>77</v>
      </c>
    </row>
    <row r="1294" spans="1:23" s="9" customFormat="1" ht="15.75" hidden="1" customHeight="1" x14ac:dyDescent="0.25">
      <c r="A1294" s="4" t="s">
        <v>3940</v>
      </c>
      <c r="B1294" s="4" t="s">
        <v>3941</v>
      </c>
      <c r="C1294" s="4" t="s">
        <v>3942</v>
      </c>
      <c r="D1294" s="21" t="s">
        <v>6088</v>
      </c>
      <c r="E1294" s="4" t="s">
        <v>26</v>
      </c>
      <c r="F1294" s="21" t="s">
        <v>6092</v>
      </c>
      <c r="G1294" s="4" t="s">
        <v>57</v>
      </c>
      <c r="H1294" s="4" t="s">
        <v>29</v>
      </c>
      <c r="I1294" s="5">
        <v>45228</v>
      </c>
      <c r="J1294" s="4" t="s">
        <v>30</v>
      </c>
      <c r="K1294" s="5">
        <v>45504</v>
      </c>
      <c r="L1294" s="4" t="s">
        <v>59</v>
      </c>
      <c r="M1294" s="6">
        <v>28669</v>
      </c>
      <c r="N1294" s="6">
        <v>7340</v>
      </c>
      <c r="O1294" s="4">
        <v>35</v>
      </c>
      <c r="P1294" s="5">
        <v>45539</v>
      </c>
      <c r="Q1294" s="4" t="s">
        <v>33</v>
      </c>
      <c r="R1294" s="4" t="s">
        <v>33</v>
      </c>
      <c r="S1294" s="4" t="s">
        <v>41</v>
      </c>
      <c r="T1294" s="7">
        <v>3.9058999999999999</v>
      </c>
      <c r="U1294" s="8">
        <v>276</v>
      </c>
      <c r="V1294" s="8">
        <v>2024</v>
      </c>
      <c r="W1294" s="4" t="s">
        <v>42</v>
      </c>
    </row>
    <row r="1295" spans="1:23" s="9" customFormat="1" ht="15.75" hidden="1" customHeight="1" x14ac:dyDescent="0.25">
      <c r="A1295" s="10" t="s">
        <v>3943</v>
      </c>
      <c r="B1295" s="10" t="s">
        <v>3944</v>
      </c>
      <c r="C1295" s="10" t="s">
        <v>3945</v>
      </c>
      <c r="D1295" s="22" t="s">
        <v>6087</v>
      </c>
      <c r="E1295" s="10" t="s">
        <v>87</v>
      </c>
      <c r="F1295" s="10" t="s">
        <v>56</v>
      </c>
      <c r="G1295" s="10" t="s">
        <v>57</v>
      </c>
      <c r="H1295" s="10" t="s">
        <v>58</v>
      </c>
      <c r="I1295" s="11">
        <v>45421</v>
      </c>
      <c r="J1295" s="10" t="s">
        <v>40</v>
      </c>
      <c r="K1295" s="11">
        <v>45611</v>
      </c>
      <c r="L1295" s="10" t="s">
        <v>59</v>
      </c>
      <c r="M1295" s="12">
        <v>23656</v>
      </c>
      <c r="N1295" s="12">
        <v>5462</v>
      </c>
      <c r="O1295" s="10">
        <v>11</v>
      </c>
      <c r="P1295" s="11">
        <v>45622</v>
      </c>
      <c r="Q1295" s="10" t="s">
        <v>33</v>
      </c>
      <c r="R1295" s="10" t="s">
        <v>33</v>
      </c>
      <c r="S1295" s="10" t="s">
        <v>60</v>
      </c>
      <c r="T1295" s="13">
        <v>4.3310000000000004</v>
      </c>
      <c r="U1295" s="14">
        <v>190</v>
      </c>
      <c r="V1295" s="14">
        <v>2024</v>
      </c>
      <c r="W1295" s="10" t="s">
        <v>61</v>
      </c>
    </row>
    <row r="1296" spans="1:23" s="9" customFormat="1" ht="15.75" hidden="1" customHeight="1" x14ac:dyDescent="0.25">
      <c r="A1296" s="4" t="s">
        <v>3946</v>
      </c>
      <c r="B1296" s="4" t="s">
        <v>3947</v>
      </c>
      <c r="C1296" s="4" t="s">
        <v>3948</v>
      </c>
      <c r="D1296" s="21" t="s">
        <v>6091</v>
      </c>
      <c r="E1296" s="4" t="s">
        <v>51</v>
      </c>
      <c r="F1296" s="4" t="s">
        <v>27</v>
      </c>
      <c r="G1296" s="4" t="s">
        <v>57</v>
      </c>
      <c r="H1296" s="4" t="s">
        <v>39</v>
      </c>
      <c r="I1296" s="5">
        <v>45347</v>
      </c>
      <c r="J1296" s="4" t="s">
        <v>30</v>
      </c>
      <c r="K1296" s="5">
        <v>45414</v>
      </c>
      <c r="L1296" s="4" t="s">
        <v>31</v>
      </c>
      <c r="M1296" s="6">
        <v>16873</v>
      </c>
      <c r="N1296" s="6">
        <v>3433</v>
      </c>
      <c r="O1296" s="4" t="s">
        <v>32</v>
      </c>
      <c r="P1296" s="4" t="s">
        <v>32</v>
      </c>
      <c r="Q1296" s="4" t="s">
        <v>33</v>
      </c>
      <c r="R1296" s="4" t="s">
        <v>33</v>
      </c>
      <c r="S1296" s="4" t="s">
        <v>41</v>
      </c>
      <c r="T1296" s="7">
        <v>4.9149000000000003</v>
      </c>
      <c r="U1296" s="8">
        <v>67</v>
      </c>
      <c r="V1296" s="8">
        <v>2024</v>
      </c>
      <c r="W1296" s="4" t="s">
        <v>52</v>
      </c>
    </row>
    <row r="1297" spans="1:23" s="9" customFormat="1" ht="15.75" hidden="1" customHeight="1" x14ac:dyDescent="0.25">
      <c r="A1297" s="10" t="s">
        <v>3949</v>
      </c>
      <c r="B1297" s="10" t="s">
        <v>3950</v>
      </c>
      <c r="C1297" s="10" t="s">
        <v>3951</v>
      </c>
      <c r="D1297" s="22" t="s">
        <v>6090</v>
      </c>
      <c r="E1297" s="10" t="s">
        <v>87</v>
      </c>
      <c r="F1297" s="21" t="s">
        <v>6092</v>
      </c>
      <c r="G1297" s="10" t="s">
        <v>57</v>
      </c>
      <c r="H1297" s="10" t="s">
        <v>118</v>
      </c>
      <c r="I1297" s="11">
        <v>45459</v>
      </c>
      <c r="J1297" s="10" t="s">
        <v>30</v>
      </c>
      <c r="K1297" s="11">
        <v>45562</v>
      </c>
      <c r="L1297" s="10" t="s">
        <v>59</v>
      </c>
      <c r="M1297" s="12">
        <v>40895</v>
      </c>
      <c r="N1297" s="12">
        <v>5875</v>
      </c>
      <c r="O1297" s="10">
        <v>10</v>
      </c>
      <c r="P1297" s="11">
        <v>45572</v>
      </c>
      <c r="Q1297" s="10" t="s">
        <v>33</v>
      </c>
      <c r="R1297" s="10" t="s">
        <v>33</v>
      </c>
      <c r="S1297" s="10" t="s">
        <v>41</v>
      </c>
      <c r="T1297" s="13">
        <v>6.9608999999999996</v>
      </c>
      <c r="U1297" s="14">
        <v>103</v>
      </c>
      <c r="V1297" s="14">
        <v>2024</v>
      </c>
      <c r="W1297" s="10" t="s">
        <v>168</v>
      </c>
    </row>
    <row r="1298" spans="1:23" s="9" customFormat="1" ht="15.75" hidden="1" customHeight="1" x14ac:dyDescent="0.25">
      <c r="A1298" s="4" t="s">
        <v>3952</v>
      </c>
      <c r="B1298" s="4" t="s">
        <v>3953</v>
      </c>
      <c r="C1298" s="4" t="s">
        <v>3954</v>
      </c>
      <c r="D1298" s="21" t="s">
        <v>6089</v>
      </c>
      <c r="E1298" s="4" t="s">
        <v>87</v>
      </c>
      <c r="F1298" s="4" t="s">
        <v>46</v>
      </c>
      <c r="G1298" s="4" t="s">
        <v>57</v>
      </c>
      <c r="H1298" s="4" t="s">
        <v>72</v>
      </c>
      <c r="I1298" s="5">
        <v>45537</v>
      </c>
      <c r="J1298" s="4" t="s">
        <v>30</v>
      </c>
      <c r="K1298" s="5">
        <v>45625</v>
      </c>
      <c r="L1298" s="4" t="s">
        <v>31</v>
      </c>
      <c r="M1298" s="6">
        <v>25128</v>
      </c>
      <c r="N1298" s="6">
        <v>7216</v>
      </c>
      <c r="O1298" s="4" t="s">
        <v>32</v>
      </c>
      <c r="P1298" s="4" t="s">
        <v>32</v>
      </c>
      <c r="Q1298" s="4" t="s">
        <v>33</v>
      </c>
      <c r="R1298" s="4" t="s">
        <v>33</v>
      </c>
      <c r="S1298" s="4" t="s">
        <v>60</v>
      </c>
      <c r="T1298" s="7">
        <v>3.4823</v>
      </c>
      <c r="U1298" s="8">
        <v>88</v>
      </c>
      <c r="V1298" s="8">
        <v>2024</v>
      </c>
      <c r="W1298" s="4" t="s">
        <v>61</v>
      </c>
    </row>
    <row r="1299" spans="1:23" s="9" customFormat="1" ht="15.75" hidden="1" customHeight="1" x14ac:dyDescent="0.25">
      <c r="A1299" s="10" t="s">
        <v>3955</v>
      </c>
      <c r="B1299" s="10" t="s">
        <v>3956</v>
      </c>
      <c r="C1299" s="10" t="s">
        <v>3957</v>
      </c>
      <c r="D1299" s="21" t="s">
        <v>6088</v>
      </c>
      <c r="E1299" s="10" t="s">
        <v>26</v>
      </c>
      <c r="F1299" s="10" t="s">
        <v>56</v>
      </c>
      <c r="G1299" s="10" t="s">
        <v>57</v>
      </c>
      <c r="H1299" s="10" t="s">
        <v>93</v>
      </c>
      <c r="I1299" s="11">
        <v>45251</v>
      </c>
      <c r="J1299" s="10" t="s">
        <v>30</v>
      </c>
      <c r="K1299" s="11">
        <v>45436</v>
      </c>
      <c r="L1299" s="10" t="s">
        <v>59</v>
      </c>
      <c r="M1299" s="12">
        <v>79790</v>
      </c>
      <c r="N1299" s="12">
        <v>851</v>
      </c>
      <c r="O1299" s="10">
        <v>42</v>
      </c>
      <c r="P1299" s="11">
        <v>45478</v>
      </c>
      <c r="Q1299" s="10" t="s">
        <v>33</v>
      </c>
      <c r="R1299" s="10" t="s">
        <v>33</v>
      </c>
      <c r="S1299" s="10" t="s">
        <v>60</v>
      </c>
      <c r="T1299" s="13">
        <v>93.760300000000001</v>
      </c>
      <c r="U1299" s="14">
        <v>185</v>
      </c>
      <c r="V1299" s="14">
        <v>2024</v>
      </c>
      <c r="W1299" s="10" t="s">
        <v>52</v>
      </c>
    </row>
    <row r="1300" spans="1:23" s="9" customFormat="1" ht="15.75" hidden="1" customHeight="1" x14ac:dyDescent="0.25">
      <c r="A1300" s="4" t="s">
        <v>3958</v>
      </c>
      <c r="B1300" s="4" t="s">
        <v>3959</v>
      </c>
      <c r="C1300" s="4" t="s">
        <v>3960</v>
      </c>
      <c r="D1300" s="22" t="s">
        <v>6087</v>
      </c>
      <c r="E1300" s="4" t="s">
        <v>87</v>
      </c>
      <c r="F1300" s="21" t="s">
        <v>6092</v>
      </c>
      <c r="G1300" s="4" t="s">
        <v>57</v>
      </c>
      <c r="H1300" s="4" t="s">
        <v>72</v>
      </c>
      <c r="I1300" s="5">
        <v>45225</v>
      </c>
      <c r="J1300" s="4" t="s">
        <v>30</v>
      </c>
      <c r="K1300" s="5">
        <v>45457</v>
      </c>
      <c r="L1300" s="4" t="s">
        <v>59</v>
      </c>
      <c r="M1300" s="6">
        <v>37273</v>
      </c>
      <c r="N1300" s="6">
        <v>624</v>
      </c>
      <c r="O1300" s="4">
        <v>33</v>
      </c>
      <c r="P1300" s="5">
        <v>45490</v>
      </c>
      <c r="Q1300" s="4" t="s">
        <v>33</v>
      </c>
      <c r="R1300" s="4" t="s">
        <v>33</v>
      </c>
      <c r="S1300" s="4" t="s">
        <v>60</v>
      </c>
      <c r="T1300" s="7">
        <v>59.732399999999998</v>
      </c>
      <c r="U1300" s="8">
        <v>232</v>
      </c>
      <c r="V1300" s="8">
        <v>2024</v>
      </c>
      <c r="W1300" s="4" t="s">
        <v>67</v>
      </c>
    </row>
    <row r="1301" spans="1:23" s="9" customFormat="1" ht="15.75" hidden="1" customHeight="1" x14ac:dyDescent="0.25">
      <c r="A1301" s="10" t="s">
        <v>3961</v>
      </c>
      <c r="B1301" s="10" t="s">
        <v>3962</v>
      </c>
      <c r="C1301" s="10" t="s">
        <v>3963</v>
      </c>
      <c r="D1301" s="22" t="s">
        <v>6090</v>
      </c>
      <c r="E1301" s="10" t="s">
        <v>26</v>
      </c>
      <c r="F1301" s="10" t="s">
        <v>65</v>
      </c>
      <c r="G1301" s="10" t="s">
        <v>28</v>
      </c>
      <c r="H1301" s="10" t="s">
        <v>161</v>
      </c>
      <c r="I1301" s="11">
        <v>45395</v>
      </c>
      <c r="J1301" s="10" t="s">
        <v>40</v>
      </c>
      <c r="K1301" s="11">
        <v>45591</v>
      </c>
      <c r="L1301" s="10" t="s">
        <v>59</v>
      </c>
      <c r="M1301" s="12">
        <v>22087</v>
      </c>
      <c r="N1301" s="12">
        <v>8969</v>
      </c>
      <c r="O1301" s="10">
        <v>19</v>
      </c>
      <c r="P1301" s="11">
        <v>45610</v>
      </c>
      <c r="Q1301" s="10" t="s">
        <v>33</v>
      </c>
      <c r="R1301" s="10" t="s">
        <v>33</v>
      </c>
      <c r="S1301" s="10" t="s">
        <v>34</v>
      </c>
      <c r="T1301" s="13">
        <v>2.4626000000000001</v>
      </c>
      <c r="U1301" s="14">
        <v>196</v>
      </c>
      <c r="V1301" s="14">
        <v>2024</v>
      </c>
      <c r="W1301" s="10" t="s">
        <v>95</v>
      </c>
    </row>
    <row r="1302" spans="1:23" s="9" customFormat="1" ht="15.75" hidden="1" customHeight="1" x14ac:dyDescent="0.25">
      <c r="A1302" s="4" t="s">
        <v>3964</v>
      </c>
      <c r="B1302" s="4" t="s">
        <v>3965</v>
      </c>
      <c r="C1302" s="4" t="s">
        <v>3966</v>
      </c>
      <c r="D1302" s="22" t="s">
        <v>6087</v>
      </c>
      <c r="E1302" s="4" t="s">
        <v>51</v>
      </c>
      <c r="F1302" s="4" t="s">
        <v>27</v>
      </c>
      <c r="G1302" s="4" t="s">
        <v>28</v>
      </c>
      <c r="H1302" s="4" t="s">
        <v>88</v>
      </c>
      <c r="I1302" s="5">
        <v>45186</v>
      </c>
      <c r="J1302" s="4" t="s">
        <v>30</v>
      </c>
      <c r="K1302" s="5">
        <v>45442</v>
      </c>
      <c r="L1302" s="4" t="s">
        <v>59</v>
      </c>
      <c r="M1302" s="6">
        <v>14178</v>
      </c>
      <c r="N1302" s="6">
        <v>4323</v>
      </c>
      <c r="O1302" s="4">
        <v>14</v>
      </c>
      <c r="P1302" s="5">
        <v>45456</v>
      </c>
      <c r="Q1302" s="4" t="s">
        <v>33</v>
      </c>
      <c r="R1302" s="4" t="s">
        <v>33</v>
      </c>
      <c r="S1302" s="4" t="s">
        <v>41</v>
      </c>
      <c r="T1302" s="7">
        <v>3.2797000000000001</v>
      </c>
      <c r="U1302" s="8">
        <v>256</v>
      </c>
      <c r="V1302" s="8">
        <v>2024</v>
      </c>
      <c r="W1302" s="4" t="s">
        <v>52</v>
      </c>
    </row>
    <row r="1303" spans="1:23" s="9" customFormat="1" ht="15.75" hidden="1" customHeight="1" x14ac:dyDescent="0.25">
      <c r="A1303" s="10" t="s">
        <v>3967</v>
      </c>
      <c r="B1303" s="10" t="s">
        <v>3968</v>
      </c>
      <c r="C1303" s="10" t="s">
        <v>3969</v>
      </c>
      <c r="D1303" s="22" t="s">
        <v>6090</v>
      </c>
      <c r="E1303" s="10" t="s">
        <v>87</v>
      </c>
      <c r="F1303" s="10" t="s">
        <v>65</v>
      </c>
      <c r="G1303" s="10" t="s">
        <v>57</v>
      </c>
      <c r="H1303" s="10" t="s">
        <v>118</v>
      </c>
      <c r="I1303" s="11">
        <v>45342</v>
      </c>
      <c r="J1303" s="10" t="s">
        <v>30</v>
      </c>
      <c r="K1303" s="11">
        <v>45450</v>
      </c>
      <c r="L1303" s="10" t="s">
        <v>59</v>
      </c>
      <c r="M1303" s="12">
        <v>29609</v>
      </c>
      <c r="N1303" s="12">
        <v>7335</v>
      </c>
      <c r="O1303" s="10">
        <v>13</v>
      </c>
      <c r="P1303" s="11">
        <v>45463</v>
      </c>
      <c r="Q1303" s="10" t="s">
        <v>33</v>
      </c>
      <c r="R1303" s="10" t="s">
        <v>33</v>
      </c>
      <c r="S1303" s="10" t="s">
        <v>60</v>
      </c>
      <c r="T1303" s="13">
        <v>4.0366999999999997</v>
      </c>
      <c r="U1303" s="14">
        <v>108</v>
      </c>
      <c r="V1303" s="14">
        <v>2024</v>
      </c>
      <c r="W1303" s="10" t="s">
        <v>67</v>
      </c>
    </row>
    <row r="1304" spans="1:23" s="9" customFormat="1" ht="15.75" hidden="1" customHeight="1" x14ac:dyDescent="0.25">
      <c r="A1304" s="4" t="s">
        <v>3970</v>
      </c>
      <c r="B1304" s="4" t="s">
        <v>3971</v>
      </c>
      <c r="C1304" s="4" t="s">
        <v>3972</v>
      </c>
      <c r="D1304" s="22" t="s">
        <v>6087</v>
      </c>
      <c r="E1304" s="4" t="s">
        <v>87</v>
      </c>
      <c r="F1304" s="4" t="s">
        <v>46</v>
      </c>
      <c r="G1304" s="4" t="s">
        <v>57</v>
      </c>
      <c r="H1304" s="4" t="s">
        <v>93</v>
      </c>
      <c r="I1304" s="5">
        <v>45387</v>
      </c>
      <c r="J1304" s="4" t="s">
        <v>30</v>
      </c>
      <c r="K1304" s="5">
        <v>45419</v>
      </c>
      <c r="L1304" s="4" t="s">
        <v>59</v>
      </c>
      <c r="M1304" s="6">
        <v>2430</v>
      </c>
      <c r="N1304" s="6">
        <v>5345</v>
      </c>
      <c r="O1304" s="4">
        <v>42</v>
      </c>
      <c r="P1304" s="5">
        <v>45461</v>
      </c>
      <c r="Q1304" s="4" t="s">
        <v>33</v>
      </c>
      <c r="R1304" s="4" t="s">
        <v>33</v>
      </c>
      <c r="S1304" s="4" t="s">
        <v>34</v>
      </c>
      <c r="T1304" s="7">
        <v>0.4546</v>
      </c>
      <c r="U1304" s="8">
        <v>32</v>
      </c>
      <c r="V1304" s="8">
        <v>2024</v>
      </c>
      <c r="W1304" s="4" t="s">
        <v>52</v>
      </c>
    </row>
    <row r="1305" spans="1:23" s="9" customFormat="1" ht="15.75" hidden="1" customHeight="1" x14ac:dyDescent="0.25">
      <c r="A1305" s="10" t="s">
        <v>3973</v>
      </c>
      <c r="B1305" s="10" t="s">
        <v>3974</v>
      </c>
      <c r="C1305" s="10" t="s">
        <v>3975</v>
      </c>
      <c r="D1305" s="21" t="s">
        <v>6086</v>
      </c>
      <c r="E1305" s="10" t="s">
        <v>51</v>
      </c>
      <c r="F1305" s="10" t="s">
        <v>27</v>
      </c>
      <c r="G1305" s="10" t="s">
        <v>57</v>
      </c>
      <c r="H1305" s="10" t="s">
        <v>93</v>
      </c>
      <c r="I1305" s="11">
        <v>45257</v>
      </c>
      <c r="J1305" s="10" t="s">
        <v>40</v>
      </c>
      <c r="K1305" s="11">
        <v>45309</v>
      </c>
      <c r="L1305" s="10" t="s">
        <v>31</v>
      </c>
      <c r="M1305" s="12">
        <v>56140</v>
      </c>
      <c r="N1305" s="12">
        <v>7884</v>
      </c>
      <c r="O1305" s="10" t="s">
        <v>32</v>
      </c>
      <c r="P1305" s="10" t="s">
        <v>32</v>
      </c>
      <c r="Q1305" s="10" t="s">
        <v>94</v>
      </c>
      <c r="R1305" s="10" t="s">
        <v>33</v>
      </c>
      <c r="S1305" s="10" t="s">
        <v>34</v>
      </c>
      <c r="T1305" s="13">
        <v>7.1208</v>
      </c>
      <c r="U1305" s="14">
        <v>52</v>
      </c>
      <c r="V1305" s="14">
        <v>2024</v>
      </c>
      <c r="W1305" s="10" t="s">
        <v>73</v>
      </c>
    </row>
    <row r="1306" spans="1:23" s="9" customFormat="1" ht="15.75" hidden="1" customHeight="1" x14ac:dyDescent="0.25">
      <c r="A1306" s="4" t="s">
        <v>3976</v>
      </c>
      <c r="B1306" s="4" t="s">
        <v>3977</v>
      </c>
      <c r="C1306" s="4" t="s">
        <v>3978</v>
      </c>
      <c r="D1306" s="21" t="s">
        <v>6086</v>
      </c>
      <c r="E1306" s="4" t="s">
        <v>87</v>
      </c>
      <c r="F1306" s="4" t="s">
        <v>65</v>
      </c>
      <c r="G1306" s="4" t="s">
        <v>5</v>
      </c>
      <c r="H1306" s="4" t="s">
        <v>93</v>
      </c>
      <c r="I1306" s="5">
        <v>45511</v>
      </c>
      <c r="J1306" s="4" t="s">
        <v>40</v>
      </c>
      <c r="K1306" s="5">
        <v>45624</v>
      </c>
      <c r="L1306" s="4" t="s">
        <v>59</v>
      </c>
      <c r="M1306" s="6">
        <v>51792</v>
      </c>
      <c r="N1306" s="6">
        <v>2168</v>
      </c>
      <c r="O1306" s="4">
        <v>7</v>
      </c>
      <c r="P1306" s="5">
        <v>45631</v>
      </c>
      <c r="Q1306" s="4" t="s">
        <v>33</v>
      </c>
      <c r="R1306" s="4" t="s">
        <v>33</v>
      </c>
      <c r="S1306" s="4" t="s">
        <v>34</v>
      </c>
      <c r="T1306" s="7">
        <v>23.889299999999999</v>
      </c>
      <c r="U1306" s="8">
        <v>113</v>
      </c>
      <c r="V1306" s="8">
        <v>2024</v>
      </c>
      <c r="W1306" s="4" t="s">
        <v>61</v>
      </c>
    </row>
    <row r="1307" spans="1:23" s="9" customFormat="1" ht="15.75" hidden="1" customHeight="1" x14ac:dyDescent="0.25">
      <c r="A1307" s="10" t="s">
        <v>3979</v>
      </c>
      <c r="B1307" s="10" t="s">
        <v>3980</v>
      </c>
      <c r="C1307" s="10" t="s">
        <v>3981</v>
      </c>
      <c r="D1307" s="21" t="s">
        <v>6086</v>
      </c>
      <c r="E1307" s="10" t="s">
        <v>51</v>
      </c>
      <c r="F1307" s="21" t="s">
        <v>6092</v>
      </c>
      <c r="G1307" s="10" t="s">
        <v>57</v>
      </c>
      <c r="H1307" s="10" t="s">
        <v>39</v>
      </c>
      <c r="I1307" s="11">
        <v>45210</v>
      </c>
      <c r="J1307" s="10" t="s">
        <v>40</v>
      </c>
      <c r="K1307" s="11">
        <v>45483</v>
      </c>
      <c r="L1307" s="10" t="s">
        <v>59</v>
      </c>
      <c r="M1307" s="12">
        <v>57914</v>
      </c>
      <c r="N1307" s="12">
        <v>6567</v>
      </c>
      <c r="O1307" s="10">
        <v>28</v>
      </c>
      <c r="P1307" s="11">
        <v>45511</v>
      </c>
      <c r="Q1307" s="10" t="s">
        <v>33</v>
      </c>
      <c r="R1307" s="10" t="s">
        <v>33</v>
      </c>
      <c r="S1307" s="10" t="s">
        <v>60</v>
      </c>
      <c r="T1307" s="13">
        <v>8.8188999999999993</v>
      </c>
      <c r="U1307" s="14">
        <v>273</v>
      </c>
      <c r="V1307" s="14">
        <v>2024</v>
      </c>
      <c r="W1307" s="10" t="s">
        <v>42</v>
      </c>
    </row>
    <row r="1308" spans="1:23" s="9" customFormat="1" ht="15.75" hidden="1" customHeight="1" x14ac:dyDescent="0.25">
      <c r="A1308" s="4" t="s">
        <v>3982</v>
      </c>
      <c r="B1308" s="4" t="s">
        <v>3983</v>
      </c>
      <c r="C1308" s="4" t="s">
        <v>3984</v>
      </c>
      <c r="D1308" s="22" t="s">
        <v>6087</v>
      </c>
      <c r="E1308" s="4" t="s">
        <v>51</v>
      </c>
      <c r="F1308" s="4" t="s">
        <v>71</v>
      </c>
      <c r="G1308" s="4" t="s">
        <v>5</v>
      </c>
      <c r="H1308" s="4" t="s">
        <v>161</v>
      </c>
      <c r="I1308" s="5">
        <v>45341</v>
      </c>
      <c r="J1308" s="4" t="s">
        <v>40</v>
      </c>
      <c r="K1308" s="5">
        <v>45411</v>
      </c>
      <c r="L1308" s="4" t="s">
        <v>31</v>
      </c>
      <c r="M1308" s="6">
        <v>12106</v>
      </c>
      <c r="N1308" s="6">
        <v>5008</v>
      </c>
      <c r="O1308" s="4" t="s">
        <v>32</v>
      </c>
      <c r="P1308" s="4" t="s">
        <v>32</v>
      </c>
      <c r="Q1308" s="4" t="s">
        <v>94</v>
      </c>
      <c r="R1308" s="4" t="s">
        <v>94</v>
      </c>
      <c r="S1308" s="4" t="s">
        <v>34</v>
      </c>
      <c r="T1308" s="7">
        <v>2.4173</v>
      </c>
      <c r="U1308" s="8">
        <v>70</v>
      </c>
      <c r="V1308" s="8">
        <v>2024</v>
      </c>
      <c r="W1308" s="4" t="s">
        <v>47</v>
      </c>
    </row>
    <row r="1309" spans="1:23" s="9" customFormat="1" ht="15.75" hidden="1" customHeight="1" x14ac:dyDescent="0.25">
      <c r="A1309" s="10" t="s">
        <v>3985</v>
      </c>
      <c r="B1309" s="10" t="s">
        <v>3986</v>
      </c>
      <c r="C1309" s="10" t="s">
        <v>3987</v>
      </c>
      <c r="D1309" s="22" t="s">
        <v>6087</v>
      </c>
      <c r="E1309" s="10" t="s">
        <v>26</v>
      </c>
      <c r="F1309" s="10" t="s">
        <v>46</v>
      </c>
      <c r="G1309" s="10" t="s">
        <v>28</v>
      </c>
      <c r="H1309" s="10" t="s">
        <v>161</v>
      </c>
      <c r="I1309" s="11">
        <v>45224</v>
      </c>
      <c r="J1309" s="10" t="s">
        <v>30</v>
      </c>
      <c r="K1309" s="11">
        <v>45537</v>
      </c>
      <c r="L1309" s="10" t="s">
        <v>31</v>
      </c>
      <c r="M1309" s="12">
        <v>20101</v>
      </c>
      <c r="N1309" s="12">
        <v>4532</v>
      </c>
      <c r="O1309" s="10" t="s">
        <v>32</v>
      </c>
      <c r="P1309" s="10" t="s">
        <v>32</v>
      </c>
      <c r="Q1309" s="10" t="s">
        <v>33</v>
      </c>
      <c r="R1309" s="10" t="s">
        <v>33</v>
      </c>
      <c r="S1309" s="10" t="s">
        <v>41</v>
      </c>
      <c r="T1309" s="13">
        <v>4.4352999999999998</v>
      </c>
      <c r="U1309" s="14">
        <v>313</v>
      </c>
      <c r="V1309" s="14">
        <v>2024</v>
      </c>
      <c r="W1309" s="10" t="s">
        <v>168</v>
      </c>
    </row>
    <row r="1310" spans="1:23" s="9" customFormat="1" ht="15.75" hidden="1" customHeight="1" x14ac:dyDescent="0.25">
      <c r="A1310" s="4" t="s">
        <v>3988</v>
      </c>
      <c r="B1310" s="4" t="s">
        <v>3989</v>
      </c>
      <c r="C1310" s="4" t="s">
        <v>3990</v>
      </c>
      <c r="D1310" s="22" t="s">
        <v>6087</v>
      </c>
      <c r="E1310" s="4" t="s">
        <v>26</v>
      </c>
      <c r="F1310" s="4" t="s">
        <v>71</v>
      </c>
      <c r="G1310" s="4" t="s">
        <v>57</v>
      </c>
      <c r="H1310" s="4" t="s">
        <v>93</v>
      </c>
      <c r="I1310" s="5">
        <v>45209</v>
      </c>
      <c r="J1310" s="4" t="s">
        <v>30</v>
      </c>
      <c r="K1310" s="5">
        <v>45502</v>
      </c>
      <c r="L1310" s="4" t="s">
        <v>59</v>
      </c>
      <c r="M1310" s="6">
        <v>7441</v>
      </c>
      <c r="N1310" s="6">
        <v>3286</v>
      </c>
      <c r="O1310" s="4">
        <v>44</v>
      </c>
      <c r="P1310" s="5">
        <v>45546</v>
      </c>
      <c r="Q1310" s="4" t="s">
        <v>33</v>
      </c>
      <c r="R1310" s="4" t="s">
        <v>33</v>
      </c>
      <c r="S1310" s="4" t="s">
        <v>34</v>
      </c>
      <c r="T1310" s="7">
        <v>2.2645</v>
      </c>
      <c r="U1310" s="8">
        <v>293</v>
      </c>
      <c r="V1310" s="8">
        <v>2024</v>
      </c>
      <c r="W1310" s="4" t="s">
        <v>42</v>
      </c>
    </row>
    <row r="1311" spans="1:23" s="9" customFormat="1" ht="15.75" hidden="1" customHeight="1" x14ac:dyDescent="0.25">
      <c r="A1311" s="10" t="s">
        <v>3991</v>
      </c>
      <c r="B1311" s="10" t="s">
        <v>3992</v>
      </c>
      <c r="C1311" s="10" t="s">
        <v>3993</v>
      </c>
      <c r="D1311" s="21" t="s">
        <v>6089</v>
      </c>
      <c r="E1311" s="10" t="s">
        <v>26</v>
      </c>
      <c r="F1311" s="10" t="s">
        <v>56</v>
      </c>
      <c r="G1311" s="10" t="s">
        <v>57</v>
      </c>
      <c r="H1311" s="10" t="s">
        <v>39</v>
      </c>
      <c r="I1311" s="11">
        <v>45533</v>
      </c>
      <c r="J1311" s="10" t="s">
        <v>30</v>
      </c>
      <c r="K1311" s="11">
        <v>45606</v>
      </c>
      <c r="L1311" s="10" t="s">
        <v>31</v>
      </c>
      <c r="M1311" s="12">
        <v>38487</v>
      </c>
      <c r="N1311" s="12">
        <v>4441</v>
      </c>
      <c r="O1311" s="10" t="s">
        <v>32</v>
      </c>
      <c r="P1311" s="10" t="s">
        <v>32</v>
      </c>
      <c r="Q1311" s="10" t="s">
        <v>33</v>
      </c>
      <c r="R1311" s="10" t="s">
        <v>33</v>
      </c>
      <c r="S1311" s="10" t="s">
        <v>34</v>
      </c>
      <c r="T1311" s="13">
        <v>8.6662999999999997</v>
      </c>
      <c r="U1311" s="14">
        <v>73</v>
      </c>
      <c r="V1311" s="14">
        <v>2024</v>
      </c>
      <c r="W1311" s="10" t="s">
        <v>61</v>
      </c>
    </row>
    <row r="1312" spans="1:23" s="9" customFormat="1" ht="27.75" customHeight="1" x14ac:dyDescent="0.25">
      <c r="A1312" s="4" t="s">
        <v>3994</v>
      </c>
      <c r="B1312" s="4" t="s">
        <v>3995</v>
      </c>
      <c r="C1312" s="4" t="s">
        <v>3996</v>
      </c>
      <c r="D1312" s="21" t="s">
        <v>6089</v>
      </c>
      <c r="E1312" s="4" t="s">
        <v>26</v>
      </c>
      <c r="F1312" s="10" t="s">
        <v>6092</v>
      </c>
      <c r="G1312" s="4" t="s">
        <v>57</v>
      </c>
      <c r="H1312" s="4" t="s">
        <v>88</v>
      </c>
      <c r="I1312" s="5">
        <v>45159</v>
      </c>
      <c r="J1312" s="4" t="s">
        <v>30</v>
      </c>
      <c r="K1312" s="5">
        <v>45334</v>
      </c>
      <c r="L1312" s="4" t="s">
        <v>59</v>
      </c>
      <c r="M1312" s="6">
        <v>69695</v>
      </c>
      <c r="N1312" s="6">
        <v>1859</v>
      </c>
      <c r="O1312" s="4">
        <v>21</v>
      </c>
      <c r="P1312" s="5">
        <v>45355</v>
      </c>
      <c r="Q1312" s="4" t="s">
        <v>94</v>
      </c>
      <c r="R1312" s="4" t="s">
        <v>94</v>
      </c>
      <c r="S1312" s="4" t="s">
        <v>41</v>
      </c>
      <c r="T1312" s="7">
        <v>37.490600000000001</v>
      </c>
      <c r="U1312" s="8">
        <v>175</v>
      </c>
      <c r="V1312" s="8">
        <v>2024</v>
      </c>
      <c r="W1312" s="4" t="s">
        <v>35</v>
      </c>
    </row>
    <row r="1313" spans="1:23" s="9" customFormat="1" ht="15.75" hidden="1" customHeight="1" x14ac:dyDescent="0.25">
      <c r="A1313" s="10" t="s">
        <v>3997</v>
      </c>
      <c r="B1313" s="10" t="s">
        <v>3998</v>
      </c>
      <c r="C1313" s="10" t="s">
        <v>3999</v>
      </c>
      <c r="D1313" s="22" t="s">
        <v>6090</v>
      </c>
      <c r="E1313" s="10" t="s">
        <v>26</v>
      </c>
      <c r="F1313" s="10" t="s">
        <v>27</v>
      </c>
      <c r="G1313" s="10" t="s">
        <v>28</v>
      </c>
      <c r="H1313" s="10" t="s">
        <v>88</v>
      </c>
      <c r="I1313" s="11">
        <v>45507</v>
      </c>
      <c r="J1313" s="10" t="s">
        <v>40</v>
      </c>
      <c r="K1313" s="11">
        <v>45544</v>
      </c>
      <c r="L1313" s="10" t="s">
        <v>59</v>
      </c>
      <c r="M1313" s="12">
        <v>35183</v>
      </c>
      <c r="N1313" s="12">
        <v>3435</v>
      </c>
      <c r="O1313" s="10">
        <v>10</v>
      </c>
      <c r="P1313" s="11">
        <v>45554</v>
      </c>
      <c r="Q1313" s="10" t="s">
        <v>33</v>
      </c>
      <c r="R1313" s="10" t="s">
        <v>33</v>
      </c>
      <c r="S1313" s="10" t="s">
        <v>41</v>
      </c>
      <c r="T1313" s="13">
        <v>10.2425</v>
      </c>
      <c r="U1313" s="14">
        <v>37</v>
      </c>
      <c r="V1313" s="14">
        <v>2024</v>
      </c>
      <c r="W1313" s="10" t="s">
        <v>168</v>
      </c>
    </row>
    <row r="1314" spans="1:23" s="9" customFormat="1" ht="15.75" hidden="1" customHeight="1" x14ac:dyDescent="0.25">
      <c r="A1314" s="4" t="s">
        <v>4000</v>
      </c>
      <c r="B1314" s="4" t="s">
        <v>4001</v>
      </c>
      <c r="C1314" s="4" t="s">
        <v>4002</v>
      </c>
      <c r="D1314" s="21" t="s">
        <v>6086</v>
      </c>
      <c r="E1314" s="4" t="s">
        <v>51</v>
      </c>
      <c r="F1314" s="21" t="s">
        <v>6092</v>
      </c>
      <c r="G1314" s="4" t="s">
        <v>28</v>
      </c>
      <c r="H1314" s="4" t="s">
        <v>161</v>
      </c>
      <c r="I1314" s="5">
        <v>45493</v>
      </c>
      <c r="J1314" s="4" t="s">
        <v>30</v>
      </c>
      <c r="K1314" s="5">
        <v>45621</v>
      </c>
      <c r="L1314" s="4" t="s">
        <v>66</v>
      </c>
      <c r="M1314" s="6">
        <v>49964</v>
      </c>
      <c r="N1314" s="6">
        <v>2073</v>
      </c>
      <c r="O1314" s="4" t="s">
        <v>32</v>
      </c>
      <c r="P1314" s="4" t="s">
        <v>32</v>
      </c>
      <c r="Q1314" s="4" t="s">
        <v>33</v>
      </c>
      <c r="R1314" s="4" t="s">
        <v>33</v>
      </c>
      <c r="S1314" s="4" t="s">
        <v>41</v>
      </c>
      <c r="T1314" s="7">
        <v>24.1023</v>
      </c>
      <c r="U1314" s="8">
        <v>128</v>
      </c>
      <c r="V1314" s="8">
        <v>2024</v>
      </c>
      <c r="W1314" s="4" t="s">
        <v>61</v>
      </c>
    </row>
    <row r="1315" spans="1:23" s="9" customFormat="1" ht="15.75" hidden="1" customHeight="1" x14ac:dyDescent="0.25">
      <c r="A1315" s="10" t="s">
        <v>4003</v>
      </c>
      <c r="B1315" s="10" t="s">
        <v>4004</v>
      </c>
      <c r="C1315" s="10" t="s">
        <v>4005</v>
      </c>
      <c r="D1315" s="21" t="s">
        <v>6088</v>
      </c>
      <c r="E1315" s="10" t="s">
        <v>51</v>
      </c>
      <c r="F1315" s="10" t="s">
        <v>27</v>
      </c>
      <c r="G1315" s="10" t="s">
        <v>5</v>
      </c>
      <c r="H1315" s="10" t="s">
        <v>29</v>
      </c>
      <c r="I1315" s="11">
        <v>45242</v>
      </c>
      <c r="J1315" s="10" t="s">
        <v>40</v>
      </c>
      <c r="K1315" s="11">
        <v>45588</v>
      </c>
      <c r="L1315" s="10" t="s">
        <v>31</v>
      </c>
      <c r="M1315" s="12">
        <v>32999</v>
      </c>
      <c r="N1315" s="12">
        <v>3135</v>
      </c>
      <c r="O1315" s="10" t="s">
        <v>32</v>
      </c>
      <c r="P1315" s="10" t="s">
        <v>32</v>
      </c>
      <c r="Q1315" s="10" t="s">
        <v>33</v>
      </c>
      <c r="R1315" s="10" t="s">
        <v>33</v>
      </c>
      <c r="S1315" s="10" t="s">
        <v>41</v>
      </c>
      <c r="T1315" s="13">
        <v>10.526</v>
      </c>
      <c r="U1315" s="14">
        <v>346</v>
      </c>
      <c r="V1315" s="14">
        <v>2024</v>
      </c>
      <c r="W1315" s="10" t="s">
        <v>95</v>
      </c>
    </row>
    <row r="1316" spans="1:23" s="9" customFormat="1" ht="15.75" hidden="1" customHeight="1" x14ac:dyDescent="0.25">
      <c r="A1316" s="4" t="s">
        <v>4006</v>
      </c>
      <c r="B1316" s="4" t="s">
        <v>4007</v>
      </c>
      <c r="C1316" s="4" t="s">
        <v>4008</v>
      </c>
      <c r="D1316" s="21" t="s">
        <v>6086</v>
      </c>
      <c r="E1316" s="4" t="s">
        <v>87</v>
      </c>
      <c r="F1316" s="4" t="s">
        <v>71</v>
      </c>
      <c r="G1316" s="4" t="s">
        <v>28</v>
      </c>
      <c r="H1316" s="4" t="s">
        <v>88</v>
      </c>
      <c r="I1316" s="5">
        <v>45133</v>
      </c>
      <c r="J1316" s="4" t="s">
        <v>40</v>
      </c>
      <c r="K1316" s="5">
        <v>45337</v>
      </c>
      <c r="L1316" s="4" t="s">
        <v>59</v>
      </c>
      <c r="M1316" s="6">
        <v>47073</v>
      </c>
      <c r="N1316" s="6">
        <v>514</v>
      </c>
      <c r="O1316" s="4">
        <v>16</v>
      </c>
      <c r="P1316" s="5">
        <v>45353</v>
      </c>
      <c r="Q1316" s="4" t="s">
        <v>33</v>
      </c>
      <c r="R1316" s="4" t="s">
        <v>33</v>
      </c>
      <c r="S1316" s="4" t="s">
        <v>60</v>
      </c>
      <c r="T1316" s="7">
        <v>91.581699999999998</v>
      </c>
      <c r="U1316" s="8">
        <v>204</v>
      </c>
      <c r="V1316" s="8">
        <v>2024</v>
      </c>
      <c r="W1316" s="4" t="s">
        <v>35</v>
      </c>
    </row>
    <row r="1317" spans="1:23" s="9" customFormat="1" ht="15.75" hidden="1" customHeight="1" x14ac:dyDescent="0.25">
      <c r="A1317" s="10" t="s">
        <v>4009</v>
      </c>
      <c r="B1317" s="10" t="s">
        <v>4010</v>
      </c>
      <c r="C1317" s="10" t="s">
        <v>4011</v>
      </c>
      <c r="D1317" s="22" t="s">
        <v>6090</v>
      </c>
      <c r="E1317" s="10" t="s">
        <v>51</v>
      </c>
      <c r="F1317" s="10" t="s">
        <v>27</v>
      </c>
      <c r="G1317" s="10" t="s">
        <v>5</v>
      </c>
      <c r="H1317" s="10" t="s">
        <v>39</v>
      </c>
      <c r="I1317" s="11">
        <v>45265</v>
      </c>
      <c r="J1317" s="10" t="s">
        <v>40</v>
      </c>
      <c r="K1317" s="11">
        <v>45337</v>
      </c>
      <c r="L1317" s="10" t="s">
        <v>59</v>
      </c>
      <c r="M1317" s="12">
        <v>41519</v>
      </c>
      <c r="N1317" s="12">
        <v>1426</v>
      </c>
      <c r="O1317" s="10">
        <v>40</v>
      </c>
      <c r="P1317" s="11">
        <v>45377</v>
      </c>
      <c r="Q1317" s="10" t="s">
        <v>33</v>
      </c>
      <c r="R1317" s="10" t="s">
        <v>33</v>
      </c>
      <c r="S1317" s="10" t="s">
        <v>41</v>
      </c>
      <c r="T1317" s="13">
        <v>29.1157</v>
      </c>
      <c r="U1317" s="14">
        <v>72</v>
      </c>
      <c r="V1317" s="14">
        <v>2024</v>
      </c>
      <c r="W1317" s="10" t="s">
        <v>35</v>
      </c>
    </row>
    <row r="1318" spans="1:23" s="9" customFormat="1" ht="15.75" hidden="1" customHeight="1" x14ac:dyDescent="0.25">
      <c r="A1318" s="4" t="s">
        <v>4012</v>
      </c>
      <c r="B1318" s="4" t="s">
        <v>4013</v>
      </c>
      <c r="C1318" s="4" t="s">
        <v>4014</v>
      </c>
      <c r="D1318" s="22" t="s">
        <v>6090</v>
      </c>
      <c r="E1318" s="4" t="s">
        <v>26</v>
      </c>
      <c r="F1318" s="4" t="s">
        <v>71</v>
      </c>
      <c r="G1318" s="4" t="s">
        <v>5</v>
      </c>
      <c r="H1318" s="4" t="s">
        <v>29</v>
      </c>
      <c r="I1318" s="5">
        <v>45084</v>
      </c>
      <c r="J1318" s="4" t="s">
        <v>30</v>
      </c>
      <c r="K1318" s="5">
        <v>45349</v>
      </c>
      <c r="L1318" s="4" t="s">
        <v>31</v>
      </c>
      <c r="M1318" s="6">
        <v>22785</v>
      </c>
      <c r="N1318" s="6">
        <v>2614</v>
      </c>
      <c r="O1318" s="4" t="s">
        <v>32</v>
      </c>
      <c r="P1318" s="4" t="s">
        <v>32</v>
      </c>
      <c r="Q1318" s="4" t="s">
        <v>33</v>
      </c>
      <c r="R1318" s="4" t="s">
        <v>33</v>
      </c>
      <c r="S1318" s="4" t="s">
        <v>60</v>
      </c>
      <c r="T1318" s="7">
        <v>8.7164999999999999</v>
      </c>
      <c r="U1318" s="8">
        <v>265</v>
      </c>
      <c r="V1318" s="8">
        <v>2024</v>
      </c>
      <c r="W1318" s="4" t="s">
        <v>35</v>
      </c>
    </row>
    <row r="1319" spans="1:23" s="9" customFormat="1" ht="15.75" hidden="1" customHeight="1" x14ac:dyDescent="0.25">
      <c r="A1319" s="10" t="s">
        <v>4015</v>
      </c>
      <c r="B1319" s="10" t="s">
        <v>4016</v>
      </c>
      <c r="C1319" s="10" t="s">
        <v>4017</v>
      </c>
      <c r="D1319" s="22" t="s">
        <v>6090</v>
      </c>
      <c r="E1319" s="10" t="s">
        <v>51</v>
      </c>
      <c r="F1319" s="10" t="s">
        <v>65</v>
      </c>
      <c r="G1319" s="10" t="s">
        <v>28</v>
      </c>
      <c r="H1319" s="10" t="s">
        <v>72</v>
      </c>
      <c r="I1319" s="11">
        <v>45117</v>
      </c>
      <c r="J1319" s="10" t="s">
        <v>40</v>
      </c>
      <c r="K1319" s="11">
        <v>45359</v>
      </c>
      <c r="L1319" s="10" t="s">
        <v>59</v>
      </c>
      <c r="M1319" s="12">
        <v>13198</v>
      </c>
      <c r="N1319" s="12">
        <v>7835</v>
      </c>
      <c r="O1319" s="10">
        <v>27</v>
      </c>
      <c r="P1319" s="11">
        <v>45386</v>
      </c>
      <c r="Q1319" s="10" t="s">
        <v>94</v>
      </c>
      <c r="R1319" s="10" t="s">
        <v>33</v>
      </c>
      <c r="S1319" s="10" t="s">
        <v>60</v>
      </c>
      <c r="T1319" s="13">
        <v>1.6845000000000001</v>
      </c>
      <c r="U1319" s="14">
        <v>242</v>
      </c>
      <c r="V1319" s="14">
        <v>2024</v>
      </c>
      <c r="W1319" s="10" t="s">
        <v>77</v>
      </c>
    </row>
    <row r="1320" spans="1:23" s="9" customFormat="1" ht="15.75" hidden="1" customHeight="1" x14ac:dyDescent="0.25">
      <c r="A1320" s="4" t="s">
        <v>4018</v>
      </c>
      <c r="B1320" s="4" t="s">
        <v>4019</v>
      </c>
      <c r="C1320" s="4" t="s">
        <v>4020</v>
      </c>
      <c r="D1320" s="21" t="s">
        <v>6086</v>
      </c>
      <c r="E1320" s="4" t="s">
        <v>87</v>
      </c>
      <c r="F1320" s="21" t="s">
        <v>6092</v>
      </c>
      <c r="G1320" s="4" t="s">
        <v>57</v>
      </c>
      <c r="H1320" s="4" t="s">
        <v>161</v>
      </c>
      <c r="I1320" s="5">
        <v>45193</v>
      </c>
      <c r="J1320" s="4" t="s">
        <v>40</v>
      </c>
      <c r="K1320" s="5">
        <v>45394</v>
      </c>
      <c r="L1320" s="4" t="s">
        <v>59</v>
      </c>
      <c r="M1320" s="6">
        <v>36799</v>
      </c>
      <c r="N1320" s="6">
        <v>1455</v>
      </c>
      <c r="O1320" s="4">
        <v>20</v>
      </c>
      <c r="P1320" s="5">
        <v>45414</v>
      </c>
      <c r="Q1320" s="4" t="s">
        <v>33</v>
      </c>
      <c r="R1320" s="4" t="s">
        <v>33</v>
      </c>
      <c r="S1320" s="4" t="s">
        <v>41</v>
      </c>
      <c r="T1320" s="7">
        <v>25.291399999999999</v>
      </c>
      <c r="U1320" s="8">
        <v>201</v>
      </c>
      <c r="V1320" s="8">
        <v>2024</v>
      </c>
      <c r="W1320" s="4" t="s">
        <v>47</v>
      </c>
    </row>
    <row r="1321" spans="1:23" s="9" customFormat="1" ht="15.75" hidden="1" customHeight="1" x14ac:dyDescent="0.25">
      <c r="A1321" s="10" t="s">
        <v>4021</v>
      </c>
      <c r="B1321" s="10" t="s">
        <v>4022</v>
      </c>
      <c r="C1321" s="10" t="s">
        <v>4023</v>
      </c>
      <c r="D1321" s="21" t="s">
        <v>6088</v>
      </c>
      <c r="E1321" s="10" t="s">
        <v>26</v>
      </c>
      <c r="F1321" s="10" t="s">
        <v>71</v>
      </c>
      <c r="G1321" s="10" t="s">
        <v>57</v>
      </c>
      <c r="H1321" s="10" t="s">
        <v>58</v>
      </c>
      <c r="I1321" s="11">
        <v>45411</v>
      </c>
      <c r="J1321" s="10" t="s">
        <v>30</v>
      </c>
      <c r="K1321" s="11">
        <v>45643</v>
      </c>
      <c r="L1321" s="10" t="s">
        <v>59</v>
      </c>
      <c r="M1321" s="12">
        <v>70441</v>
      </c>
      <c r="N1321" s="12">
        <v>2773</v>
      </c>
      <c r="O1321" s="10">
        <v>20</v>
      </c>
      <c r="P1321" s="11">
        <v>45663</v>
      </c>
      <c r="Q1321" s="10" t="s">
        <v>33</v>
      </c>
      <c r="R1321" s="10" t="s">
        <v>33</v>
      </c>
      <c r="S1321" s="10" t="s">
        <v>41</v>
      </c>
      <c r="T1321" s="13">
        <v>25.4025</v>
      </c>
      <c r="U1321" s="14">
        <v>232</v>
      </c>
      <c r="V1321" s="14">
        <v>2024</v>
      </c>
      <c r="W1321" s="10" t="s">
        <v>89</v>
      </c>
    </row>
    <row r="1322" spans="1:23" s="9" customFormat="1" ht="15.75" hidden="1" customHeight="1" x14ac:dyDescent="0.25">
      <c r="A1322" s="4" t="s">
        <v>4024</v>
      </c>
      <c r="B1322" s="4" t="s">
        <v>4025</v>
      </c>
      <c r="C1322" s="4" t="s">
        <v>4026</v>
      </c>
      <c r="D1322" s="21" t="s">
        <v>6088</v>
      </c>
      <c r="E1322" s="4" t="s">
        <v>87</v>
      </c>
      <c r="F1322" s="4" t="s">
        <v>71</v>
      </c>
      <c r="G1322" s="4" t="s">
        <v>28</v>
      </c>
      <c r="H1322" s="4" t="s">
        <v>39</v>
      </c>
      <c r="I1322" s="5">
        <v>45503</v>
      </c>
      <c r="J1322" s="4" t="s">
        <v>30</v>
      </c>
      <c r="K1322" s="5">
        <v>45618</v>
      </c>
      <c r="L1322" s="4" t="s">
        <v>59</v>
      </c>
      <c r="M1322" s="6">
        <v>68679</v>
      </c>
      <c r="N1322" s="6">
        <v>3446</v>
      </c>
      <c r="O1322" s="4">
        <v>39</v>
      </c>
      <c r="P1322" s="5">
        <v>45657</v>
      </c>
      <c r="Q1322" s="4" t="s">
        <v>33</v>
      </c>
      <c r="R1322" s="4" t="s">
        <v>33</v>
      </c>
      <c r="S1322" s="4" t="s">
        <v>60</v>
      </c>
      <c r="T1322" s="7">
        <v>19.930099999999999</v>
      </c>
      <c r="U1322" s="8">
        <v>115</v>
      </c>
      <c r="V1322" s="8">
        <v>2024</v>
      </c>
      <c r="W1322" s="4" t="s">
        <v>61</v>
      </c>
    </row>
    <row r="1323" spans="1:23" s="9" customFormat="1" ht="15.75" hidden="1" customHeight="1" x14ac:dyDescent="0.25">
      <c r="A1323" s="10" t="s">
        <v>4027</v>
      </c>
      <c r="B1323" s="10" t="s">
        <v>4028</v>
      </c>
      <c r="C1323" s="10" t="s">
        <v>4029</v>
      </c>
      <c r="D1323" s="22" t="s">
        <v>6090</v>
      </c>
      <c r="E1323" s="10" t="s">
        <v>87</v>
      </c>
      <c r="F1323" s="10" t="s">
        <v>27</v>
      </c>
      <c r="G1323" s="10" t="s">
        <v>5</v>
      </c>
      <c r="H1323" s="10" t="s">
        <v>161</v>
      </c>
      <c r="I1323" s="11">
        <v>44945</v>
      </c>
      <c r="J1323" s="10" t="s">
        <v>40</v>
      </c>
      <c r="K1323" s="11">
        <v>45299</v>
      </c>
      <c r="L1323" s="10" t="s">
        <v>59</v>
      </c>
      <c r="M1323" s="12">
        <v>23329</v>
      </c>
      <c r="N1323" s="12">
        <v>5888</v>
      </c>
      <c r="O1323" s="10">
        <v>6</v>
      </c>
      <c r="P1323" s="11">
        <v>45305</v>
      </c>
      <c r="Q1323" s="10" t="s">
        <v>33</v>
      </c>
      <c r="R1323" s="10" t="s">
        <v>33</v>
      </c>
      <c r="S1323" s="10" t="s">
        <v>34</v>
      </c>
      <c r="T1323" s="13">
        <v>3.9621</v>
      </c>
      <c r="U1323" s="14">
        <v>354</v>
      </c>
      <c r="V1323" s="14">
        <v>2024</v>
      </c>
      <c r="W1323" s="10" t="s">
        <v>73</v>
      </c>
    </row>
    <row r="1324" spans="1:23" s="9" customFormat="1" ht="15.75" hidden="1" customHeight="1" x14ac:dyDescent="0.25">
      <c r="A1324" s="4" t="s">
        <v>4030</v>
      </c>
      <c r="B1324" s="4" t="s">
        <v>4031</v>
      </c>
      <c r="C1324" s="4" t="s">
        <v>4032</v>
      </c>
      <c r="D1324" s="22" t="s">
        <v>6090</v>
      </c>
      <c r="E1324" s="4" t="s">
        <v>51</v>
      </c>
      <c r="F1324" s="21" t="s">
        <v>6092</v>
      </c>
      <c r="G1324" s="4" t="s">
        <v>5</v>
      </c>
      <c r="H1324" s="4" t="s">
        <v>88</v>
      </c>
      <c r="I1324" s="5">
        <v>45215</v>
      </c>
      <c r="J1324" s="4" t="s">
        <v>40</v>
      </c>
      <c r="K1324" s="5">
        <v>45364</v>
      </c>
      <c r="L1324" s="4" t="s">
        <v>59</v>
      </c>
      <c r="M1324" s="6">
        <v>30145</v>
      </c>
      <c r="N1324" s="6">
        <v>8011</v>
      </c>
      <c r="O1324" s="4">
        <v>26</v>
      </c>
      <c r="P1324" s="5">
        <v>45390</v>
      </c>
      <c r="Q1324" s="4" t="s">
        <v>33</v>
      </c>
      <c r="R1324" s="4" t="s">
        <v>33</v>
      </c>
      <c r="S1324" s="4" t="s">
        <v>41</v>
      </c>
      <c r="T1324" s="7">
        <v>3.7629999999999999</v>
      </c>
      <c r="U1324" s="8">
        <v>149</v>
      </c>
      <c r="V1324" s="8">
        <v>2024</v>
      </c>
      <c r="W1324" s="4" t="s">
        <v>77</v>
      </c>
    </row>
    <row r="1325" spans="1:23" s="9" customFormat="1" ht="15.75" hidden="1" customHeight="1" x14ac:dyDescent="0.25">
      <c r="A1325" s="10" t="s">
        <v>4033</v>
      </c>
      <c r="B1325" s="10" t="s">
        <v>4034</v>
      </c>
      <c r="C1325" s="10" t="s">
        <v>4035</v>
      </c>
      <c r="D1325" s="21" t="s">
        <v>6091</v>
      </c>
      <c r="E1325" s="10" t="s">
        <v>26</v>
      </c>
      <c r="F1325" s="10" t="s">
        <v>46</v>
      </c>
      <c r="G1325" s="10" t="s">
        <v>5</v>
      </c>
      <c r="H1325" s="10" t="s">
        <v>29</v>
      </c>
      <c r="I1325" s="11">
        <v>45408</v>
      </c>
      <c r="J1325" s="10" t="s">
        <v>40</v>
      </c>
      <c r="K1325" s="11">
        <v>45513</v>
      </c>
      <c r="L1325" s="10" t="s">
        <v>31</v>
      </c>
      <c r="M1325" s="12">
        <v>7412</v>
      </c>
      <c r="N1325" s="12">
        <v>2475</v>
      </c>
      <c r="O1325" s="10" t="s">
        <v>32</v>
      </c>
      <c r="P1325" s="10" t="s">
        <v>32</v>
      </c>
      <c r="Q1325" s="10" t="s">
        <v>33</v>
      </c>
      <c r="R1325" s="10" t="s">
        <v>33</v>
      </c>
      <c r="S1325" s="10" t="s">
        <v>41</v>
      </c>
      <c r="T1325" s="13">
        <v>2.9946999999999999</v>
      </c>
      <c r="U1325" s="14">
        <v>105</v>
      </c>
      <c r="V1325" s="14">
        <v>2024</v>
      </c>
      <c r="W1325" s="10" t="s">
        <v>114</v>
      </c>
    </row>
    <row r="1326" spans="1:23" s="9" customFormat="1" ht="15.75" hidden="1" customHeight="1" x14ac:dyDescent="0.25">
      <c r="A1326" s="4" t="s">
        <v>4036</v>
      </c>
      <c r="B1326" s="4" t="s">
        <v>4037</v>
      </c>
      <c r="C1326" s="4" t="s">
        <v>4038</v>
      </c>
      <c r="D1326" s="21" t="s">
        <v>6089</v>
      </c>
      <c r="E1326" s="4" t="s">
        <v>26</v>
      </c>
      <c r="F1326" s="21" t="s">
        <v>6092</v>
      </c>
      <c r="G1326" s="4" t="s">
        <v>5</v>
      </c>
      <c r="H1326" s="4" t="s">
        <v>118</v>
      </c>
      <c r="I1326" s="5">
        <v>45387</v>
      </c>
      <c r="J1326" s="4" t="s">
        <v>30</v>
      </c>
      <c r="K1326" s="5">
        <v>45626</v>
      </c>
      <c r="L1326" s="4" t="s">
        <v>66</v>
      </c>
      <c r="M1326" s="6">
        <v>30204</v>
      </c>
      <c r="N1326" s="6">
        <v>6498</v>
      </c>
      <c r="O1326" s="4" t="s">
        <v>32</v>
      </c>
      <c r="P1326" s="4" t="s">
        <v>32</v>
      </c>
      <c r="Q1326" s="4" t="s">
        <v>94</v>
      </c>
      <c r="R1326" s="4" t="s">
        <v>33</v>
      </c>
      <c r="S1326" s="4" t="s">
        <v>34</v>
      </c>
      <c r="T1326" s="7">
        <v>4.6482000000000001</v>
      </c>
      <c r="U1326" s="8">
        <v>239</v>
      </c>
      <c r="V1326" s="8">
        <v>2024</v>
      </c>
      <c r="W1326" s="4" t="s">
        <v>61</v>
      </c>
    </row>
    <row r="1327" spans="1:23" s="9" customFormat="1" ht="15.75" hidden="1" customHeight="1" x14ac:dyDescent="0.25">
      <c r="A1327" s="10" t="s">
        <v>4039</v>
      </c>
      <c r="B1327" s="10" t="s">
        <v>4040</v>
      </c>
      <c r="C1327" s="10" t="s">
        <v>4041</v>
      </c>
      <c r="D1327" s="22" t="s">
        <v>6090</v>
      </c>
      <c r="E1327" s="10" t="s">
        <v>26</v>
      </c>
      <c r="F1327" s="10" t="s">
        <v>65</v>
      </c>
      <c r="G1327" s="10" t="s">
        <v>28</v>
      </c>
      <c r="H1327" s="10" t="s">
        <v>39</v>
      </c>
      <c r="I1327" s="11">
        <v>45325</v>
      </c>
      <c r="J1327" s="10" t="s">
        <v>30</v>
      </c>
      <c r="K1327" s="11">
        <v>45360</v>
      </c>
      <c r="L1327" s="10" t="s">
        <v>59</v>
      </c>
      <c r="M1327" s="12">
        <v>4012</v>
      </c>
      <c r="N1327" s="12">
        <v>4109</v>
      </c>
      <c r="O1327" s="10">
        <v>38</v>
      </c>
      <c r="P1327" s="11">
        <v>45398</v>
      </c>
      <c r="Q1327" s="10" t="s">
        <v>33</v>
      </c>
      <c r="R1327" s="10" t="s">
        <v>33</v>
      </c>
      <c r="S1327" s="10" t="s">
        <v>60</v>
      </c>
      <c r="T1327" s="13">
        <v>0.97640000000000005</v>
      </c>
      <c r="U1327" s="14">
        <v>35</v>
      </c>
      <c r="V1327" s="14">
        <v>2024</v>
      </c>
      <c r="W1327" s="10" t="s">
        <v>77</v>
      </c>
    </row>
    <row r="1328" spans="1:23" s="9" customFormat="1" ht="15.75" hidden="1" customHeight="1" x14ac:dyDescent="0.25">
      <c r="A1328" s="4" t="s">
        <v>4042</v>
      </c>
      <c r="B1328" s="4" t="s">
        <v>4043</v>
      </c>
      <c r="C1328" s="4" t="s">
        <v>4044</v>
      </c>
      <c r="D1328" s="21" t="s">
        <v>6088</v>
      </c>
      <c r="E1328" s="4" t="s">
        <v>26</v>
      </c>
      <c r="F1328" s="4" t="s">
        <v>46</v>
      </c>
      <c r="G1328" s="4" t="s">
        <v>5</v>
      </c>
      <c r="H1328" s="4" t="s">
        <v>29</v>
      </c>
      <c r="I1328" s="5">
        <v>45423</v>
      </c>
      <c r="J1328" s="4" t="s">
        <v>40</v>
      </c>
      <c r="K1328" s="5">
        <v>45570</v>
      </c>
      <c r="L1328" s="4" t="s">
        <v>59</v>
      </c>
      <c r="M1328" s="6">
        <v>27528</v>
      </c>
      <c r="N1328" s="6">
        <v>1282</v>
      </c>
      <c r="O1328" s="4">
        <v>18</v>
      </c>
      <c r="P1328" s="5">
        <v>45588</v>
      </c>
      <c r="Q1328" s="4" t="s">
        <v>33</v>
      </c>
      <c r="R1328" s="4" t="s">
        <v>33</v>
      </c>
      <c r="S1328" s="4" t="s">
        <v>60</v>
      </c>
      <c r="T1328" s="7">
        <v>21.4727</v>
      </c>
      <c r="U1328" s="8">
        <v>147</v>
      </c>
      <c r="V1328" s="8">
        <v>2024</v>
      </c>
      <c r="W1328" s="4" t="s">
        <v>95</v>
      </c>
    </row>
    <row r="1329" spans="1:23" s="9" customFormat="1" ht="15.75" hidden="1" customHeight="1" x14ac:dyDescent="0.25">
      <c r="A1329" s="10" t="s">
        <v>4045</v>
      </c>
      <c r="B1329" s="10" t="s">
        <v>4046</v>
      </c>
      <c r="C1329" s="10" t="s">
        <v>4047</v>
      </c>
      <c r="D1329" s="22" t="s">
        <v>6087</v>
      </c>
      <c r="E1329" s="10" t="s">
        <v>51</v>
      </c>
      <c r="F1329" s="10" t="s">
        <v>71</v>
      </c>
      <c r="G1329" s="10" t="s">
        <v>5</v>
      </c>
      <c r="H1329" s="10" t="s">
        <v>93</v>
      </c>
      <c r="I1329" s="11">
        <v>45240</v>
      </c>
      <c r="J1329" s="10" t="s">
        <v>30</v>
      </c>
      <c r="K1329" s="11">
        <v>45605</v>
      </c>
      <c r="L1329" s="10" t="s">
        <v>59</v>
      </c>
      <c r="M1329" s="12">
        <v>37615</v>
      </c>
      <c r="N1329" s="12">
        <v>4461</v>
      </c>
      <c r="O1329" s="10">
        <v>20</v>
      </c>
      <c r="P1329" s="11">
        <v>45625</v>
      </c>
      <c r="Q1329" s="10" t="s">
        <v>33</v>
      </c>
      <c r="R1329" s="10" t="s">
        <v>33</v>
      </c>
      <c r="S1329" s="10" t="s">
        <v>34</v>
      </c>
      <c r="T1329" s="13">
        <v>8.4320000000000004</v>
      </c>
      <c r="U1329" s="14">
        <v>365</v>
      </c>
      <c r="V1329" s="14">
        <v>2024</v>
      </c>
      <c r="W1329" s="10" t="s">
        <v>61</v>
      </c>
    </row>
    <row r="1330" spans="1:23" s="9" customFormat="1" ht="15.75" hidden="1" customHeight="1" x14ac:dyDescent="0.25">
      <c r="A1330" s="4" t="s">
        <v>4048</v>
      </c>
      <c r="B1330" s="4" t="s">
        <v>4049</v>
      </c>
      <c r="C1330" s="4" t="s">
        <v>4050</v>
      </c>
      <c r="D1330" s="21" t="s">
        <v>6086</v>
      </c>
      <c r="E1330" s="4" t="s">
        <v>26</v>
      </c>
      <c r="F1330" s="4" t="s">
        <v>71</v>
      </c>
      <c r="G1330" s="4" t="s">
        <v>57</v>
      </c>
      <c r="H1330" s="4" t="s">
        <v>39</v>
      </c>
      <c r="I1330" s="5">
        <v>45205</v>
      </c>
      <c r="J1330" s="4" t="s">
        <v>30</v>
      </c>
      <c r="K1330" s="5">
        <v>45435</v>
      </c>
      <c r="L1330" s="4" t="s">
        <v>59</v>
      </c>
      <c r="M1330" s="6">
        <v>94926</v>
      </c>
      <c r="N1330" s="6">
        <v>6846</v>
      </c>
      <c r="O1330" s="4">
        <v>38</v>
      </c>
      <c r="P1330" s="5">
        <v>45473</v>
      </c>
      <c r="Q1330" s="4" t="s">
        <v>33</v>
      </c>
      <c r="R1330" s="4" t="s">
        <v>33</v>
      </c>
      <c r="S1330" s="4" t="s">
        <v>60</v>
      </c>
      <c r="T1330" s="7">
        <v>13.8659</v>
      </c>
      <c r="U1330" s="8">
        <v>230</v>
      </c>
      <c r="V1330" s="8">
        <v>2024</v>
      </c>
      <c r="W1330" s="4" t="s">
        <v>52</v>
      </c>
    </row>
    <row r="1331" spans="1:23" s="9" customFormat="1" ht="15.75" hidden="1" customHeight="1" x14ac:dyDescent="0.25">
      <c r="A1331" s="10" t="s">
        <v>4051</v>
      </c>
      <c r="B1331" s="10" t="s">
        <v>4052</v>
      </c>
      <c r="C1331" s="10" t="s">
        <v>4053</v>
      </c>
      <c r="D1331" s="21" t="s">
        <v>6089</v>
      </c>
      <c r="E1331" s="10" t="s">
        <v>51</v>
      </c>
      <c r="F1331" s="10" t="s">
        <v>71</v>
      </c>
      <c r="G1331" s="10" t="s">
        <v>5</v>
      </c>
      <c r="H1331" s="10" t="s">
        <v>58</v>
      </c>
      <c r="I1331" s="11">
        <v>45097</v>
      </c>
      <c r="J1331" s="10" t="s">
        <v>30</v>
      </c>
      <c r="K1331" s="11">
        <v>45370</v>
      </c>
      <c r="L1331" s="10" t="s">
        <v>59</v>
      </c>
      <c r="M1331" s="12">
        <v>20323</v>
      </c>
      <c r="N1331" s="12">
        <v>5135</v>
      </c>
      <c r="O1331" s="10">
        <v>14</v>
      </c>
      <c r="P1331" s="11">
        <v>45384</v>
      </c>
      <c r="Q1331" s="10" t="s">
        <v>33</v>
      </c>
      <c r="R1331" s="10" t="s">
        <v>33</v>
      </c>
      <c r="S1331" s="10" t="s">
        <v>60</v>
      </c>
      <c r="T1331" s="13">
        <v>3.9577</v>
      </c>
      <c r="U1331" s="14">
        <v>273</v>
      </c>
      <c r="V1331" s="14">
        <v>2024</v>
      </c>
      <c r="W1331" s="10" t="s">
        <v>77</v>
      </c>
    </row>
    <row r="1332" spans="1:23" s="9" customFormat="1" ht="15.75" hidden="1" customHeight="1" x14ac:dyDescent="0.25">
      <c r="A1332" s="4" t="s">
        <v>4054</v>
      </c>
      <c r="B1332" s="4" t="s">
        <v>4055</v>
      </c>
      <c r="C1332" s="4" t="s">
        <v>4056</v>
      </c>
      <c r="D1332" s="22" t="s">
        <v>6090</v>
      </c>
      <c r="E1332" s="4" t="s">
        <v>87</v>
      </c>
      <c r="F1332" s="4" t="s">
        <v>71</v>
      </c>
      <c r="G1332" s="4" t="s">
        <v>5</v>
      </c>
      <c r="H1332" s="4" t="s">
        <v>72</v>
      </c>
      <c r="I1332" s="5">
        <v>45443</v>
      </c>
      <c r="J1332" s="4" t="s">
        <v>30</v>
      </c>
      <c r="K1332" s="5">
        <v>45484</v>
      </c>
      <c r="L1332" s="4" t="s">
        <v>59</v>
      </c>
      <c r="M1332" s="6">
        <v>41943</v>
      </c>
      <c r="N1332" s="6">
        <v>1279</v>
      </c>
      <c r="O1332" s="4">
        <v>10</v>
      </c>
      <c r="P1332" s="5">
        <v>45494</v>
      </c>
      <c r="Q1332" s="4" t="s">
        <v>33</v>
      </c>
      <c r="R1332" s="4" t="s">
        <v>33</v>
      </c>
      <c r="S1332" s="4" t="s">
        <v>34</v>
      </c>
      <c r="T1332" s="7">
        <v>32.793599999999998</v>
      </c>
      <c r="U1332" s="8">
        <v>41</v>
      </c>
      <c r="V1332" s="8">
        <v>2024</v>
      </c>
      <c r="W1332" s="4" t="s">
        <v>42</v>
      </c>
    </row>
    <row r="1333" spans="1:23" s="9" customFormat="1" ht="15.75" hidden="1" customHeight="1" x14ac:dyDescent="0.25">
      <c r="A1333" s="10" t="s">
        <v>4057</v>
      </c>
      <c r="B1333" s="10" t="s">
        <v>4058</v>
      </c>
      <c r="C1333" s="10" t="s">
        <v>4059</v>
      </c>
      <c r="D1333" s="21" t="s">
        <v>6091</v>
      </c>
      <c r="E1333" s="10" t="s">
        <v>26</v>
      </c>
      <c r="F1333" s="10" t="s">
        <v>46</v>
      </c>
      <c r="G1333" s="10" t="s">
        <v>28</v>
      </c>
      <c r="H1333" s="10" t="s">
        <v>93</v>
      </c>
      <c r="I1333" s="11">
        <v>45102</v>
      </c>
      <c r="J1333" s="10" t="s">
        <v>30</v>
      </c>
      <c r="K1333" s="11">
        <v>45329</v>
      </c>
      <c r="L1333" s="10" t="s">
        <v>66</v>
      </c>
      <c r="M1333" s="12">
        <v>13773</v>
      </c>
      <c r="N1333" s="12">
        <v>7473</v>
      </c>
      <c r="O1333" s="10" t="s">
        <v>32</v>
      </c>
      <c r="P1333" s="10" t="s">
        <v>32</v>
      </c>
      <c r="Q1333" s="10" t="s">
        <v>33</v>
      </c>
      <c r="R1333" s="10" t="s">
        <v>33</v>
      </c>
      <c r="S1333" s="10" t="s">
        <v>60</v>
      </c>
      <c r="T1333" s="13">
        <v>1.843</v>
      </c>
      <c r="U1333" s="14">
        <v>227</v>
      </c>
      <c r="V1333" s="14">
        <v>2024</v>
      </c>
      <c r="W1333" s="10" t="s">
        <v>35</v>
      </c>
    </row>
    <row r="1334" spans="1:23" s="9" customFormat="1" ht="15.75" hidden="1" customHeight="1" x14ac:dyDescent="0.25">
      <c r="A1334" s="4" t="s">
        <v>4060</v>
      </c>
      <c r="B1334" s="4" t="s">
        <v>4061</v>
      </c>
      <c r="C1334" s="4" t="s">
        <v>4062</v>
      </c>
      <c r="D1334" s="22" t="s">
        <v>6090</v>
      </c>
      <c r="E1334" s="4" t="s">
        <v>51</v>
      </c>
      <c r="F1334" s="4" t="s">
        <v>46</v>
      </c>
      <c r="G1334" s="4" t="s">
        <v>5</v>
      </c>
      <c r="H1334" s="4" t="s">
        <v>29</v>
      </c>
      <c r="I1334" s="5">
        <v>45404</v>
      </c>
      <c r="J1334" s="4" t="s">
        <v>30</v>
      </c>
      <c r="K1334" s="5">
        <v>45447</v>
      </c>
      <c r="L1334" s="4" t="s">
        <v>59</v>
      </c>
      <c r="M1334" s="6">
        <v>21637</v>
      </c>
      <c r="N1334" s="6">
        <v>8890</v>
      </c>
      <c r="O1334" s="4">
        <v>10</v>
      </c>
      <c r="P1334" s="5">
        <v>45457</v>
      </c>
      <c r="Q1334" s="4" t="s">
        <v>33</v>
      </c>
      <c r="R1334" s="4" t="s">
        <v>33</v>
      </c>
      <c r="S1334" s="4" t="s">
        <v>34</v>
      </c>
      <c r="T1334" s="7">
        <v>2.4339</v>
      </c>
      <c r="U1334" s="8">
        <v>43</v>
      </c>
      <c r="V1334" s="8">
        <v>2024</v>
      </c>
      <c r="W1334" s="4" t="s">
        <v>67</v>
      </c>
    </row>
    <row r="1335" spans="1:23" s="9" customFormat="1" ht="15.75" hidden="1" customHeight="1" x14ac:dyDescent="0.25">
      <c r="A1335" s="10" t="s">
        <v>4063</v>
      </c>
      <c r="B1335" s="10" t="s">
        <v>4064</v>
      </c>
      <c r="C1335" s="10" t="s">
        <v>4065</v>
      </c>
      <c r="D1335" s="21" t="s">
        <v>6088</v>
      </c>
      <c r="E1335" s="10" t="s">
        <v>87</v>
      </c>
      <c r="F1335" s="10" t="s">
        <v>27</v>
      </c>
      <c r="G1335" s="10" t="s">
        <v>5</v>
      </c>
      <c r="H1335" s="10" t="s">
        <v>161</v>
      </c>
      <c r="I1335" s="11">
        <v>45200</v>
      </c>
      <c r="J1335" s="10" t="s">
        <v>40</v>
      </c>
      <c r="K1335" s="11">
        <v>45558</v>
      </c>
      <c r="L1335" s="10" t="s">
        <v>59</v>
      </c>
      <c r="M1335" s="12">
        <v>59849</v>
      </c>
      <c r="N1335" s="12">
        <v>5941</v>
      </c>
      <c r="O1335" s="10">
        <v>23</v>
      </c>
      <c r="P1335" s="11">
        <v>45581</v>
      </c>
      <c r="Q1335" s="10" t="s">
        <v>33</v>
      </c>
      <c r="R1335" s="10" t="s">
        <v>33</v>
      </c>
      <c r="S1335" s="10" t="s">
        <v>60</v>
      </c>
      <c r="T1335" s="13">
        <v>10.0739</v>
      </c>
      <c r="U1335" s="14">
        <v>358</v>
      </c>
      <c r="V1335" s="14">
        <v>2024</v>
      </c>
      <c r="W1335" s="10" t="s">
        <v>168</v>
      </c>
    </row>
    <row r="1336" spans="1:23" s="9" customFormat="1" ht="15.75" hidden="1" customHeight="1" x14ac:dyDescent="0.25">
      <c r="A1336" s="4" t="s">
        <v>4066</v>
      </c>
      <c r="B1336" s="4" t="s">
        <v>4067</v>
      </c>
      <c r="C1336" s="4" t="s">
        <v>4068</v>
      </c>
      <c r="D1336" s="21" t="s">
        <v>6088</v>
      </c>
      <c r="E1336" s="4" t="s">
        <v>51</v>
      </c>
      <c r="F1336" s="4" t="s">
        <v>71</v>
      </c>
      <c r="G1336" s="4" t="s">
        <v>28</v>
      </c>
      <c r="H1336" s="4" t="s">
        <v>72</v>
      </c>
      <c r="I1336" s="5">
        <v>45437</v>
      </c>
      <c r="J1336" s="4" t="s">
        <v>30</v>
      </c>
      <c r="K1336" s="5">
        <v>45650</v>
      </c>
      <c r="L1336" s="4" t="s">
        <v>66</v>
      </c>
      <c r="M1336" s="6">
        <v>43032</v>
      </c>
      <c r="N1336" s="6">
        <v>3688</v>
      </c>
      <c r="O1336" s="4" t="s">
        <v>32</v>
      </c>
      <c r="P1336" s="4" t="s">
        <v>32</v>
      </c>
      <c r="Q1336" s="4" t="s">
        <v>33</v>
      </c>
      <c r="R1336" s="4" t="s">
        <v>33</v>
      </c>
      <c r="S1336" s="4" t="s">
        <v>41</v>
      </c>
      <c r="T1336" s="7">
        <v>11.668100000000001</v>
      </c>
      <c r="U1336" s="8">
        <v>213</v>
      </c>
      <c r="V1336" s="8">
        <v>2024</v>
      </c>
      <c r="W1336" s="4" t="s">
        <v>89</v>
      </c>
    </row>
    <row r="1337" spans="1:23" s="9" customFormat="1" ht="15.75" hidden="1" customHeight="1" x14ac:dyDescent="0.25">
      <c r="A1337" s="10" t="s">
        <v>4069</v>
      </c>
      <c r="B1337" s="10" t="s">
        <v>4070</v>
      </c>
      <c r="C1337" s="10" t="s">
        <v>4071</v>
      </c>
      <c r="D1337" s="22" t="s">
        <v>6087</v>
      </c>
      <c r="E1337" s="10" t="s">
        <v>87</v>
      </c>
      <c r="F1337" s="10" t="s">
        <v>65</v>
      </c>
      <c r="G1337" s="10" t="s">
        <v>5</v>
      </c>
      <c r="H1337" s="10" t="s">
        <v>88</v>
      </c>
      <c r="I1337" s="11">
        <v>45271</v>
      </c>
      <c r="J1337" s="10" t="s">
        <v>40</v>
      </c>
      <c r="K1337" s="11">
        <v>45439</v>
      </c>
      <c r="L1337" s="10" t="s">
        <v>66</v>
      </c>
      <c r="M1337" s="12">
        <v>2255</v>
      </c>
      <c r="N1337" s="12">
        <v>7313</v>
      </c>
      <c r="O1337" s="10" t="s">
        <v>32</v>
      </c>
      <c r="P1337" s="10" t="s">
        <v>32</v>
      </c>
      <c r="Q1337" s="10" t="s">
        <v>94</v>
      </c>
      <c r="R1337" s="10" t="s">
        <v>33</v>
      </c>
      <c r="S1337" s="10" t="s">
        <v>60</v>
      </c>
      <c r="T1337" s="13">
        <v>0.30840000000000001</v>
      </c>
      <c r="U1337" s="14">
        <v>168</v>
      </c>
      <c r="V1337" s="14">
        <v>2024</v>
      </c>
      <c r="W1337" s="10" t="s">
        <v>52</v>
      </c>
    </row>
    <row r="1338" spans="1:23" s="9" customFormat="1" ht="15.75" hidden="1" customHeight="1" x14ac:dyDescent="0.25">
      <c r="A1338" s="4" t="s">
        <v>4072</v>
      </c>
      <c r="B1338" s="4" t="s">
        <v>4073</v>
      </c>
      <c r="C1338" s="4" t="s">
        <v>4074</v>
      </c>
      <c r="D1338" s="21" t="s">
        <v>6091</v>
      </c>
      <c r="E1338" s="4" t="s">
        <v>51</v>
      </c>
      <c r="F1338" s="4" t="s">
        <v>46</v>
      </c>
      <c r="G1338" s="4" t="s">
        <v>28</v>
      </c>
      <c r="H1338" s="4" t="s">
        <v>29</v>
      </c>
      <c r="I1338" s="5">
        <v>45396</v>
      </c>
      <c r="J1338" s="4" t="s">
        <v>40</v>
      </c>
      <c r="K1338" s="5">
        <v>45632</v>
      </c>
      <c r="L1338" s="4" t="s">
        <v>59</v>
      </c>
      <c r="M1338" s="6">
        <v>8561</v>
      </c>
      <c r="N1338" s="6">
        <v>3496</v>
      </c>
      <c r="O1338" s="4">
        <v>13</v>
      </c>
      <c r="P1338" s="5">
        <v>45645</v>
      </c>
      <c r="Q1338" s="4" t="s">
        <v>33</v>
      </c>
      <c r="R1338" s="4" t="s">
        <v>33</v>
      </c>
      <c r="S1338" s="4" t="s">
        <v>41</v>
      </c>
      <c r="T1338" s="7">
        <v>2.4487999999999999</v>
      </c>
      <c r="U1338" s="8">
        <v>236</v>
      </c>
      <c r="V1338" s="8">
        <v>2024</v>
      </c>
      <c r="W1338" s="4" t="s">
        <v>89</v>
      </c>
    </row>
    <row r="1339" spans="1:23" s="9" customFormat="1" ht="15.75" hidden="1" customHeight="1" x14ac:dyDescent="0.25">
      <c r="A1339" s="10" t="s">
        <v>4075</v>
      </c>
      <c r="B1339" s="10" t="s">
        <v>4076</v>
      </c>
      <c r="C1339" s="10" t="s">
        <v>4077</v>
      </c>
      <c r="D1339" s="21" t="s">
        <v>6089</v>
      </c>
      <c r="E1339" s="10" t="s">
        <v>87</v>
      </c>
      <c r="F1339" s="10" t="s">
        <v>46</v>
      </c>
      <c r="G1339" s="10" t="s">
        <v>5</v>
      </c>
      <c r="H1339" s="10" t="s">
        <v>88</v>
      </c>
      <c r="I1339" s="11">
        <v>45458</v>
      </c>
      <c r="J1339" s="10" t="s">
        <v>40</v>
      </c>
      <c r="K1339" s="11">
        <v>45548</v>
      </c>
      <c r="L1339" s="10" t="s">
        <v>59</v>
      </c>
      <c r="M1339" s="12">
        <v>12189</v>
      </c>
      <c r="N1339" s="12">
        <v>3114</v>
      </c>
      <c r="O1339" s="10">
        <v>10</v>
      </c>
      <c r="P1339" s="11">
        <v>45558</v>
      </c>
      <c r="Q1339" s="10" t="s">
        <v>33</v>
      </c>
      <c r="R1339" s="10" t="s">
        <v>33</v>
      </c>
      <c r="S1339" s="10" t="s">
        <v>34</v>
      </c>
      <c r="T1339" s="13">
        <v>3.9142999999999999</v>
      </c>
      <c r="U1339" s="14">
        <v>90</v>
      </c>
      <c r="V1339" s="14">
        <v>2024</v>
      </c>
      <c r="W1339" s="10" t="s">
        <v>168</v>
      </c>
    </row>
    <row r="1340" spans="1:23" s="9" customFormat="1" ht="15.75" hidden="1" customHeight="1" x14ac:dyDescent="0.25">
      <c r="A1340" s="4" t="s">
        <v>4078</v>
      </c>
      <c r="B1340" s="4" t="s">
        <v>4079</v>
      </c>
      <c r="C1340" s="4" t="s">
        <v>4080</v>
      </c>
      <c r="D1340" s="22" t="s">
        <v>6090</v>
      </c>
      <c r="E1340" s="4" t="s">
        <v>87</v>
      </c>
      <c r="F1340" s="4" t="s">
        <v>27</v>
      </c>
      <c r="G1340" s="4" t="s">
        <v>57</v>
      </c>
      <c r="H1340" s="4" t="s">
        <v>58</v>
      </c>
      <c r="I1340" s="5">
        <v>45360</v>
      </c>
      <c r="J1340" s="4" t="s">
        <v>40</v>
      </c>
      <c r="K1340" s="5">
        <v>45610</v>
      </c>
      <c r="L1340" s="4" t="s">
        <v>59</v>
      </c>
      <c r="M1340" s="6">
        <v>50441</v>
      </c>
      <c r="N1340" s="6">
        <v>1015</v>
      </c>
      <c r="O1340" s="4">
        <v>29</v>
      </c>
      <c r="P1340" s="5">
        <v>45639</v>
      </c>
      <c r="Q1340" s="4" t="s">
        <v>33</v>
      </c>
      <c r="R1340" s="4" t="s">
        <v>33</v>
      </c>
      <c r="S1340" s="4" t="s">
        <v>60</v>
      </c>
      <c r="T1340" s="7">
        <v>49.695599999999999</v>
      </c>
      <c r="U1340" s="8">
        <v>250</v>
      </c>
      <c r="V1340" s="8">
        <v>2024</v>
      </c>
      <c r="W1340" s="4" t="s">
        <v>61</v>
      </c>
    </row>
    <row r="1341" spans="1:23" s="9" customFormat="1" ht="15.75" hidden="1" customHeight="1" x14ac:dyDescent="0.25">
      <c r="A1341" s="10" t="s">
        <v>4081</v>
      </c>
      <c r="B1341" s="10" t="s">
        <v>4082</v>
      </c>
      <c r="C1341" s="10" t="s">
        <v>4083</v>
      </c>
      <c r="D1341" s="22" t="s">
        <v>6090</v>
      </c>
      <c r="E1341" s="10" t="s">
        <v>51</v>
      </c>
      <c r="F1341" s="21" t="s">
        <v>6092</v>
      </c>
      <c r="G1341" s="10" t="s">
        <v>28</v>
      </c>
      <c r="H1341" s="10" t="s">
        <v>72</v>
      </c>
      <c r="I1341" s="11">
        <v>45185</v>
      </c>
      <c r="J1341" s="10" t="s">
        <v>30</v>
      </c>
      <c r="K1341" s="11">
        <v>45515</v>
      </c>
      <c r="L1341" s="10" t="s">
        <v>59</v>
      </c>
      <c r="M1341" s="12">
        <v>27265</v>
      </c>
      <c r="N1341" s="12">
        <v>8677</v>
      </c>
      <c r="O1341" s="10">
        <v>36</v>
      </c>
      <c r="P1341" s="11">
        <v>45551</v>
      </c>
      <c r="Q1341" s="10" t="s">
        <v>33</v>
      </c>
      <c r="R1341" s="10" t="s">
        <v>33</v>
      </c>
      <c r="S1341" s="10" t="s">
        <v>41</v>
      </c>
      <c r="T1341" s="13">
        <v>3.1421999999999999</v>
      </c>
      <c r="U1341" s="14">
        <v>330</v>
      </c>
      <c r="V1341" s="14">
        <v>2024</v>
      </c>
      <c r="W1341" s="10" t="s">
        <v>114</v>
      </c>
    </row>
    <row r="1342" spans="1:23" s="9" customFormat="1" ht="15.75" hidden="1" customHeight="1" x14ac:dyDescent="0.25">
      <c r="A1342" s="4" t="s">
        <v>4084</v>
      </c>
      <c r="B1342" s="4" t="s">
        <v>4085</v>
      </c>
      <c r="C1342" s="4" t="s">
        <v>4086</v>
      </c>
      <c r="D1342" s="22" t="s">
        <v>6087</v>
      </c>
      <c r="E1342" s="4" t="s">
        <v>26</v>
      </c>
      <c r="F1342" s="4" t="s">
        <v>56</v>
      </c>
      <c r="G1342" s="4" t="s">
        <v>28</v>
      </c>
      <c r="H1342" s="4" t="s">
        <v>29</v>
      </c>
      <c r="I1342" s="5">
        <v>44969</v>
      </c>
      <c r="J1342" s="4" t="s">
        <v>40</v>
      </c>
      <c r="K1342" s="5">
        <v>45302</v>
      </c>
      <c r="L1342" s="4" t="s">
        <v>59</v>
      </c>
      <c r="M1342" s="6">
        <v>35833</v>
      </c>
      <c r="N1342" s="6">
        <v>2857</v>
      </c>
      <c r="O1342" s="4">
        <v>33</v>
      </c>
      <c r="P1342" s="5">
        <v>45335</v>
      </c>
      <c r="Q1342" s="4" t="s">
        <v>33</v>
      </c>
      <c r="R1342" s="4" t="s">
        <v>33</v>
      </c>
      <c r="S1342" s="4" t="s">
        <v>34</v>
      </c>
      <c r="T1342" s="7">
        <v>12.542199999999999</v>
      </c>
      <c r="U1342" s="8">
        <v>333</v>
      </c>
      <c r="V1342" s="8">
        <v>2024</v>
      </c>
      <c r="W1342" s="4" t="s">
        <v>73</v>
      </c>
    </row>
    <row r="1343" spans="1:23" s="9" customFormat="1" ht="15.75" hidden="1" customHeight="1" x14ac:dyDescent="0.25">
      <c r="A1343" s="10" t="s">
        <v>4087</v>
      </c>
      <c r="B1343" s="10" t="s">
        <v>4088</v>
      </c>
      <c r="C1343" s="10" t="s">
        <v>4089</v>
      </c>
      <c r="D1343" s="22" t="s">
        <v>6087</v>
      </c>
      <c r="E1343" s="10" t="s">
        <v>26</v>
      </c>
      <c r="F1343" s="10" t="s">
        <v>56</v>
      </c>
      <c r="G1343" s="10" t="s">
        <v>28</v>
      </c>
      <c r="H1343" s="10" t="s">
        <v>58</v>
      </c>
      <c r="I1343" s="11">
        <v>45230</v>
      </c>
      <c r="J1343" s="10" t="s">
        <v>30</v>
      </c>
      <c r="K1343" s="11">
        <v>45519</v>
      </c>
      <c r="L1343" s="10" t="s">
        <v>59</v>
      </c>
      <c r="M1343" s="12">
        <v>27946</v>
      </c>
      <c r="N1343" s="12">
        <v>8393</v>
      </c>
      <c r="O1343" s="10">
        <v>16</v>
      </c>
      <c r="P1343" s="11">
        <v>45535</v>
      </c>
      <c r="Q1343" s="10" t="s">
        <v>94</v>
      </c>
      <c r="R1343" s="10" t="s">
        <v>33</v>
      </c>
      <c r="S1343" s="10" t="s">
        <v>34</v>
      </c>
      <c r="T1343" s="13">
        <v>3.3296999999999999</v>
      </c>
      <c r="U1343" s="14">
        <v>289</v>
      </c>
      <c r="V1343" s="14">
        <v>2024</v>
      </c>
      <c r="W1343" s="10" t="s">
        <v>114</v>
      </c>
    </row>
    <row r="1344" spans="1:23" s="9" customFormat="1" ht="15.75" hidden="1" customHeight="1" x14ac:dyDescent="0.25">
      <c r="A1344" s="4" t="s">
        <v>4090</v>
      </c>
      <c r="B1344" s="4" t="s">
        <v>4091</v>
      </c>
      <c r="C1344" s="4" t="s">
        <v>4092</v>
      </c>
      <c r="D1344" s="22" t="s">
        <v>6090</v>
      </c>
      <c r="E1344" s="4" t="s">
        <v>26</v>
      </c>
      <c r="F1344" s="4" t="s">
        <v>65</v>
      </c>
      <c r="G1344" s="4" t="s">
        <v>5</v>
      </c>
      <c r="H1344" s="4" t="s">
        <v>161</v>
      </c>
      <c r="I1344" s="5">
        <v>45246</v>
      </c>
      <c r="J1344" s="4" t="s">
        <v>40</v>
      </c>
      <c r="K1344" s="5">
        <v>45483</v>
      </c>
      <c r="L1344" s="4" t="s">
        <v>59</v>
      </c>
      <c r="M1344" s="6">
        <v>23103</v>
      </c>
      <c r="N1344" s="6">
        <v>2308</v>
      </c>
      <c r="O1344" s="4">
        <v>40</v>
      </c>
      <c r="P1344" s="5">
        <v>45523</v>
      </c>
      <c r="Q1344" s="4" t="s">
        <v>33</v>
      </c>
      <c r="R1344" s="4" t="s">
        <v>33</v>
      </c>
      <c r="S1344" s="4" t="s">
        <v>60</v>
      </c>
      <c r="T1344" s="7">
        <v>10.01</v>
      </c>
      <c r="U1344" s="8">
        <v>237</v>
      </c>
      <c r="V1344" s="8">
        <v>2024</v>
      </c>
      <c r="W1344" s="4" t="s">
        <v>42</v>
      </c>
    </row>
    <row r="1345" spans="1:23" s="9" customFormat="1" ht="15.75" hidden="1" customHeight="1" x14ac:dyDescent="0.25">
      <c r="A1345" s="10" t="s">
        <v>4093</v>
      </c>
      <c r="B1345" s="10" t="s">
        <v>4094</v>
      </c>
      <c r="C1345" s="10" t="s">
        <v>4095</v>
      </c>
      <c r="D1345" s="21" t="s">
        <v>6091</v>
      </c>
      <c r="E1345" s="10" t="s">
        <v>26</v>
      </c>
      <c r="F1345" s="10" t="s">
        <v>27</v>
      </c>
      <c r="G1345" s="10" t="s">
        <v>28</v>
      </c>
      <c r="H1345" s="10" t="s">
        <v>72</v>
      </c>
      <c r="I1345" s="11">
        <v>45400</v>
      </c>
      <c r="J1345" s="10" t="s">
        <v>30</v>
      </c>
      <c r="K1345" s="11">
        <v>45462</v>
      </c>
      <c r="L1345" s="10" t="s">
        <v>59</v>
      </c>
      <c r="M1345" s="12">
        <v>12133</v>
      </c>
      <c r="N1345" s="12">
        <v>6193</v>
      </c>
      <c r="O1345" s="10">
        <v>27</v>
      </c>
      <c r="P1345" s="11">
        <v>45489</v>
      </c>
      <c r="Q1345" s="10" t="s">
        <v>33</v>
      </c>
      <c r="R1345" s="10" t="s">
        <v>33</v>
      </c>
      <c r="S1345" s="10" t="s">
        <v>60</v>
      </c>
      <c r="T1345" s="13">
        <v>1.9591000000000001</v>
      </c>
      <c r="U1345" s="14">
        <v>62</v>
      </c>
      <c r="V1345" s="14">
        <v>2024</v>
      </c>
      <c r="W1345" s="10" t="s">
        <v>67</v>
      </c>
    </row>
    <row r="1346" spans="1:23" s="9" customFormat="1" ht="15.75" hidden="1" customHeight="1" x14ac:dyDescent="0.25">
      <c r="A1346" s="4" t="s">
        <v>4096</v>
      </c>
      <c r="B1346" s="4" t="s">
        <v>4097</v>
      </c>
      <c r="C1346" s="4" t="s">
        <v>4098</v>
      </c>
      <c r="D1346" s="22" t="s">
        <v>6090</v>
      </c>
      <c r="E1346" s="4" t="s">
        <v>51</v>
      </c>
      <c r="F1346" s="4" t="s">
        <v>71</v>
      </c>
      <c r="G1346" s="4" t="s">
        <v>57</v>
      </c>
      <c r="H1346" s="4" t="s">
        <v>118</v>
      </c>
      <c r="I1346" s="5">
        <v>45343</v>
      </c>
      <c r="J1346" s="4" t="s">
        <v>30</v>
      </c>
      <c r="K1346" s="5">
        <v>45517</v>
      </c>
      <c r="L1346" s="4" t="s">
        <v>59</v>
      </c>
      <c r="M1346" s="6">
        <v>28792</v>
      </c>
      <c r="N1346" s="6">
        <v>1902</v>
      </c>
      <c r="O1346" s="4">
        <v>2</v>
      </c>
      <c r="P1346" s="5">
        <v>45519</v>
      </c>
      <c r="Q1346" s="4" t="s">
        <v>33</v>
      </c>
      <c r="R1346" s="4" t="s">
        <v>33</v>
      </c>
      <c r="S1346" s="4" t="s">
        <v>41</v>
      </c>
      <c r="T1346" s="7">
        <v>15.137700000000001</v>
      </c>
      <c r="U1346" s="8">
        <v>174</v>
      </c>
      <c r="V1346" s="8">
        <v>2024</v>
      </c>
      <c r="W1346" s="4" t="s">
        <v>114</v>
      </c>
    </row>
    <row r="1347" spans="1:23" s="9" customFormat="1" ht="15.75" hidden="1" customHeight="1" x14ac:dyDescent="0.25">
      <c r="A1347" s="10" t="s">
        <v>4099</v>
      </c>
      <c r="B1347" s="10" t="s">
        <v>4100</v>
      </c>
      <c r="C1347" s="10" t="s">
        <v>4101</v>
      </c>
      <c r="D1347" s="22" t="s">
        <v>6087</v>
      </c>
      <c r="E1347" s="10" t="s">
        <v>87</v>
      </c>
      <c r="F1347" s="10" t="s">
        <v>65</v>
      </c>
      <c r="G1347" s="10" t="s">
        <v>5</v>
      </c>
      <c r="H1347" s="10" t="s">
        <v>93</v>
      </c>
      <c r="I1347" s="11">
        <v>45339</v>
      </c>
      <c r="J1347" s="10" t="s">
        <v>30</v>
      </c>
      <c r="K1347" s="11">
        <v>45521</v>
      </c>
      <c r="L1347" s="10" t="s">
        <v>31</v>
      </c>
      <c r="M1347" s="12">
        <v>8962</v>
      </c>
      <c r="N1347" s="12">
        <v>3647</v>
      </c>
      <c r="O1347" s="10" t="s">
        <v>32</v>
      </c>
      <c r="P1347" s="10" t="s">
        <v>32</v>
      </c>
      <c r="Q1347" s="10" t="s">
        <v>33</v>
      </c>
      <c r="R1347" s="10" t="s">
        <v>33</v>
      </c>
      <c r="S1347" s="10" t="s">
        <v>34</v>
      </c>
      <c r="T1347" s="13">
        <v>2.4573999999999998</v>
      </c>
      <c r="U1347" s="14">
        <v>182</v>
      </c>
      <c r="V1347" s="14">
        <v>2024</v>
      </c>
      <c r="W1347" s="10" t="s">
        <v>114</v>
      </c>
    </row>
    <row r="1348" spans="1:23" s="9" customFormat="1" ht="15.75" hidden="1" customHeight="1" x14ac:dyDescent="0.25">
      <c r="A1348" s="4" t="s">
        <v>4102</v>
      </c>
      <c r="B1348" s="4" t="s">
        <v>4103</v>
      </c>
      <c r="C1348" s="4" t="s">
        <v>4104</v>
      </c>
      <c r="D1348" s="21" t="s">
        <v>6091</v>
      </c>
      <c r="E1348" s="4" t="s">
        <v>87</v>
      </c>
      <c r="F1348" s="4" t="s">
        <v>27</v>
      </c>
      <c r="G1348" s="4" t="s">
        <v>5</v>
      </c>
      <c r="H1348" s="4" t="s">
        <v>161</v>
      </c>
      <c r="I1348" s="5">
        <v>45424</v>
      </c>
      <c r="J1348" s="4" t="s">
        <v>30</v>
      </c>
      <c r="K1348" s="5">
        <v>45466</v>
      </c>
      <c r="L1348" s="4" t="s">
        <v>59</v>
      </c>
      <c r="M1348" s="6">
        <v>11298</v>
      </c>
      <c r="N1348" s="6">
        <v>8376</v>
      </c>
      <c r="O1348" s="4">
        <v>35</v>
      </c>
      <c r="P1348" s="5">
        <v>45501</v>
      </c>
      <c r="Q1348" s="4" t="s">
        <v>33</v>
      </c>
      <c r="R1348" s="4" t="s">
        <v>33</v>
      </c>
      <c r="S1348" s="4" t="s">
        <v>41</v>
      </c>
      <c r="T1348" s="7">
        <v>1.3489</v>
      </c>
      <c r="U1348" s="8">
        <v>42</v>
      </c>
      <c r="V1348" s="8">
        <v>2024</v>
      </c>
      <c r="W1348" s="4" t="s">
        <v>67</v>
      </c>
    </row>
    <row r="1349" spans="1:23" s="9" customFormat="1" ht="15.75" hidden="1" customHeight="1" x14ac:dyDescent="0.25">
      <c r="A1349" s="10" t="s">
        <v>4105</v>
      </c>
      <c r="B1349" s="10" t="s">
        <v>4106</v>
      </c>
      <c r="C1349" s="10" t="s">
        <v>4107</v>
      </c>
      <c r="D1349" s="21" t="s">
        <v>6089</v>
      </c>
      <c r="E1349" s="10" t="s">
        <v>51</v>
      </c>
      <c r="F1349" s="10" t="s">
        <v>71</v>
      </c>
      <c r="G1349" s="10" t="s">
        <v>5</v>
      </c>
      <c r="H1349" s="10" t="s">
        <v>58</v>
      </c>
      <c r="I1349" s="11">
        <v>45366</v>
      </c>
      <c r="J1349" s="10" t="s">
        <v>30</v>
      </c>
      <c r="K1349" s="11">
        <v>45656</v>
      </c>
      <c r="L1349" s="10" t="s">
        <v>66</v>
      </c>
      <c r="M1349" s="12">
        <v>58419</v>
      </c>
      <c r="N1349" s="12">
        <v>6008</v>
      </c>
      <c r="O1349" s="10" t="s">
        <v>32</v>
      </c>
      <c r="P1349" s="10" t="s">
        <v>32</v>
      </c>
      <c r="Q1349" s="10" t="s">
        <v>33</v>
      </c>
      <c r="R1349" s="10" t="s">
        <v>33</v>
      </c>
      <c r="S1349" s="10" t="s">
        <v>60</v>
      </c>
      <c r="T1349" s="13">
        <v>9.7234999999999996</v>
      </c>
      <c r="U1349" s="14">
        <v>290</v>
      </c>
      <c r="V1349" s="14">
        <v>2024</v>
      </c>
      <c r="W1349" s="10" t="s">
        <v>89</v>
      </c>
    </row>
    <row r="1350" spans="1:23" s="9" customFormat="1" ht="15.75" hidden="1" customHeight="1" x14ac:dyDescent="0.25">
      <c r="A1350" s="4" t="s">
        <v>4108</v>
      </c>
      <c r="B1350" s="4" t="s">
        <v>4109</v>
      </c>
      <c r="C1350" s="4" t="s">
        <v>4110</v>
      </c>
      <c r="D1350" s="21" t="s">
        <v>6089</v>
      </c>
      <c r="E1350" s="4" t="s">
        <v>51</v>
      </c>
      <c r="F1350" s="4" t="s">
        <v>65</v>
      </c>
      <c r="G1350" s="4" t="s">
        <v>5</v>
      </c>
      <c r="H1350" s="4" t="s">
        <v>72</v>
      </c>
      <c r="I1350" s="5">
        <v>44983</v>
      </c>
      <c r="J1350" s="4" t="s">
        <v>30</v>
      </c>
      <c r="K1350" s="5">
        <v>45321</v>
      </c>
      <c r="L1350" s="4" t="s">
        <v>59</v>
      </c>
      <c r="M1350" s="6">
        <v>20702</v>
      </c>
      <c r="N1350" s="6">
        <v>5655</v>
      </c>
      <c r="O1350" s="4">
        <v>22</v>
      </c>
      <c r="P1350" s="5">
        <v>45343</v>
      </c>
      <c r="Q1350" s="4" t="s">
        <v>33</v>
      </c>
      <c r="R1350" s="4" t="s">
        <v>33</v>
      </c>
      <c r="S1350" s="4" t="s">
        <v>60</v>
      </c>
      <c r="T1350" s="7">
        <v>3.6608000000000001</v>
      </c>
      <c r="U1350" s="8">
        <v>338</v>
      </c>
      <c r="V1350" s="8">
        <v>2024</v>
      </c>
      <c r="W1350" s="4" t="s">
        <v>73</v>
      </c>
    </row>
    <row r="1351" spans="1:23" s="9" customFormat="1" ht="15.75" hidden="1" customHeight="1" x14ac:dyDescent="0.25">
      <c r="A1351" s="10" t="s">
        <v>4111</v>
      </c>
      <c r="B1351" s="10" t="s">
        <v>4112</v>
      </c>
      <c r="C1351" s="10" t="s">
        <v>4113</v>
      </c>
      <c r="D1351" s="22" t="s">
        <v>6087</v>
      </c>
      <c r="E1351" s="10" t="s">
        <v>26</v>
      </c>
      <c r="F1351" s="10" t="s">
        <v>71</v>
      </c>
      <c r="G1351" s="10" t="s">
        <v>5</v>
      </c>
      <c r="H1351" s="10" t="s">
        <v>118</v>
      </c>
      <c r="I1351" s="11">
        <v>45411</v>
      </c>
      <c r="J1351" s="10" t="s">
        <v>30</v>
      </c>
      <c r="K1351" s="11">
        <v>45567</v>
      </c>
      <c r="L1351" s="10" t="s">
        <v>59</v>
      </c>
      <c r="M1351" s="12">
        <v>6388</v>
      </c>
      <c r="N1351" s="12">
        <v>987</v>
      </c>
      <c r="O1351" s="10">
        <v>13</v>
      </c>
      <c r="P1351" s="11">
        <v>45580</v>
      </c>
      <c r="Q1351" s="10" t="s">
        <v>33</v>
      </c>
      <c r="R1351" s="10" t="s">
        <v>33</v>
      </c>
      <c r="S1351" s="10" t="s">
        <v>34</v>
      </c>
      <c r="T1351" s="13">
        <v>6.4721000000000002</v>
      </c>
      <c r="U1351" s="14">
        <v>156</v>
      </c>
      <c r="V1351" s="14">
        <v>2024</v>
      </c>
      <c r="W1351" s="10" t="s">
        <v>95</v>
      </c>
    </row>
    <row r="1352" spans="1:23" s="9" customFormat="1" ht="15.75" hidden="1" customHeight="1" x14ac:dyDescent="0.25">
      <c r="A1352" s="4" t="s">
        <v>4114</v>
      </c>
      <c r="B1352" s="4" t="s">
        <v>4115</v>
      </c>
      <c r="C1352" s="4" t="s">
        <v>4116</v>
      </c>
      <c r="D1352" s="22" t="s">
        <v>6090</v>
      </c>
      <c r="E1352" s="4" t="s">
        <v>51</v>
      </c>
      <c r="F1352" s="4" t="s">
        <v>65</v>
      </c>
      <c r="G1352" s="4" t="s">
        <v>57</v>
      </c>
      <c r="H1352" s="4" t="s">
        <v>118</v>
      </c>
      <c r="I1352" s="5">
        <v>45556</v>
      </c>
      <c r="J1352" s="4" t="s">
        <v>40</v>
      </c>
      <c r="K1352" s="5">
        <v>45656</v>
      </c>
      <c r="L1352" s="4" t="s">
        <v>59</v>
      </c>
      <c r="M1352" s="6">
        <v>12607</v>
      </c>
      <c r="N1352" s="6">
        <v>6251</v>
      </c>
      <c r="O1352" s="4">
        <v>28</v>
      </c>
      <c r="P1352" s="5">
        <v>45684</v>
      </c>
      <c r="Q1352" s="4" t="s">
        <v>33</v>
      </c>
      <c r="R1352" s="4" t="s">
        <v>33</v>
      </c>
      <c r="S1352" s="4" t="s">
        <v>60</v>
      </c>
      <c r="T1352" s="7">
        <v>2.0167999999999999</v>
      </c>
      <c r="U1352" s="8">
        <v>100</v>
      </c>
      <c r="V1352" s="8">
        <v>2024</v>
      </c>
      <c r="W1352" s="4" t="s">
        <v>89</v>
      </c>
    </row>
    <row r="1353" spans="1:23" s="9" customFormat="1" ht="15.75" hidden="1" customHeight="1" x14ac:dyDescent="0.25">
      <c r="A1353" s="10" t="s">
        <v>4117</v>
      </c>
      <c r="B1353" s="10" t="s">
        <v>4118</v>
      </c>
      <c r="C1353" s="10" t="s">
        <v>4119</v>
      </c>
      <c r="D1353" s="22" t="s">
        <v>6087</v>
      </c>
      <c r="E1353" s="10" t="s">
        <v>51</v>
      </c>
      <c r="F1353" s="21" t="s">
        <v>6092</v>
      </c>
      <c r="G1353" s="10" t="s">
        <v>28</v>
      </c>
      <c r="H1353" s="10" t="s">
        <v>58</v>
      </c>
      <c r="I1353" s="11">
        <v>45427</v>
      </c>
      <c r="J1353" s="10" t="s">
        <v>30</v>
      </c>
      <c r="K1353" s="11">
        <v>45626</v>
      </c>
      <c r="L1353" s="10" t="s">
        <v>31</v>
      </c>
      <c r="M1353" s="12">
        <v>3875</v>
      </c>
      <c r="N1353" s="12">
        <v>8546</v>
      </c>
      <c r="O1353" s="10" t="s">
        <v>32</v>
      </c>
      <c r="P1353" s="10" t="s">
        <v>32</v>
      </c>
      <c r="Q1353" s="10" t="s">
        <v>94</v>
      </c>
      <c r="R1353" s="10" t="s">
        <v>33</v>
      </c>
      <c r="S1353" s="10" t="s">
        <v>34</v>
      </c>
      <c r="T1353" s="13">
        <v>0.45340000000000003</v>
      </c>
      <c r="U1353" s="14">
        <v>199</v>
      </c>
      <c r="V1353" s="14">
        <v>2024</v>
      </c>
      <c r="W1353" s="10" t="s">
        <v>61</v>
      </c>
    </row>
    <row r="1354" spans="1:23" s="9" customFormat="1" ht="15.75" hidden="1" customHeight="1" x14ac:dyDescent="0.25">
      <c r="A1354" s="4" t="s">
        <v>4120</v>
      </c>
      <c r="B1354" s="4" t="s">
        <v>4121</v>
      </c>
      <c r="C1354" s="4" t="s">
        <v>4122</v>
      </c>
      <c r="D1354" s="22" t="s">
        <v>6087</v>
      </c>
      <c r="E1354" s="4" t="s">
        <v>87</v>
      </c>
      <c r="F1354" s="21" t="s">
        <v>6092</v>
      </c>
      <c r="G1354" s="4" t="s">
        <v>5</v>
      </c>
      <c r="H1354" s="4" t="s">
        <v>58</v>
      </c>
      <c r="I1354" s="5">
        <v>45353</v>
      </c>
      <c r="J1354" s="4" t="s">
        <v>30</v>
      </c>
      <c r="K1354" s="5">
        <v>45403</v>
      </c>
      <c r="L1354" s="4" t="s">
        <v>31</v>
      </c>
      <c r="M1354" s="6">
        <v>39014</v>
      </c>
      <c r="N1354" s="6">
        <v>4061</v>
      </c>
      <c r="O1354" s="4" t="s">
        <v>32</v>
      </c>
      <c r="P1354" s="4" t="s">
        <v>32</v>
      </c>
      <c r="Q1354" s="4" t="s">
        <v>94</v>
      </c>
      <c r="R1354" s="4" t="s">
        <v>33</v>
      </c>
      <c r="S1354" s="4" t="s">
        <v>41</v>
      </c>
      <c r="T1354" s="7">
        <v>9.6069999999999993</v>
      </c>
      <c r="U1354" s="8">
        <v>50</v>
      </c>
      <c r="V1354" s="8">
        <v>2024</v>
      </c>
      <c r="W1354" s="4" t="s">
        <v>47</v>
      </c>
    </row>
    <row r="1355" spans="1:23" s="9" customFormat="1" ht="15.75" hidden="1" customHeight="1" x14ac:dyDescent="0.25">
      <c r="A1355" s="10" t="s">
        <v>4123</v>
      </c>
      <c r="B1355" s="10" t="s">
        <v>4124</v>
      </c>
      <c r="C1355" s="10" t="s">
        <v>4125</v>
      </c>
      <c r="D1355" s="22" t="s">
        <v>6087</v>
      </c>
      <c r="E1355" s="10" t="s">
        <v>26</v>
      </c>
      <c r="F1355" s="21" t="s">
        <v>6092</v>
      </c>
      <c r="G1355" s="10" t="s">
        <v>57</v>
      </c>
      <c r="H1355" s="10" t="s">
        <v>29</v>
      </c>
      <c r="I1355" s="11">
        <v>45254</v>
      </c>
      <c r="J1355" s="10" t="s">
        <v>30</v>
      </c>
      <c r="K1355" s="11">
        <v>45593</v>
      </c>
      <c r="L1355" s="10" t="s">
        <v>31</v>
      </c>
      <c r="M1355" s="12">
        <v>14148</v>
      </c>
      <c r="N1355" s="12">
        <v>1525</v>
      </c>
      <c r="O1355" s="10" t="s">
        <v>32</v>
      </c>
      <c r="P1355" s="10" t="s">
        <v>32</v>
      </c>
      <c r="Q1355" s="10" t="s">
        <v>33</v>
      </c>
      <c r="R1355" s="10" t="s">
        <v>33</v>
      </c>
      <c r="S1355" s="10" t="s">
        <v>34</v>
      </c>
      <c r="T1355" s="13">
        <v>9.2774000000000001</v>
      </c>
      <c r="U1355" s="14">
        <v>339</v>
      </c>
      <c r="V1355" s="14">
        <v>2024</v>
      </c>
      <c r="W1355" s="10" t="s">
        <v>95</v>
      </c>
    </row>
    <row r="1356" spans="1:23" s="9" customFormat="1" ht="15.75" hidden="1" customHeight="1" x14ac:dyDescent="0.25">
      <c r="A1356" s="4" t="s">
        <v>4126</v>
      </c>
      <c r="B1356" s="4" t="s">
        <v>4127</v>
      </c>
      <c r="C1356" s="4" t="s">
        <v>4128</v>
      </c>
      <c r="D1356" s="22" t="s">
        <v>6090</v>
      </c>
      <c r="E1356" s="4" t="s">
        <v>87</v>
      </c>
      <c r="F1356" s="4" t="s">
        <v>71</v>
      </c>
      <c r="G1356" s="4" t="s">
        <v>28</v>
      </c>
      <c r="H1356" s="4" t="s">
        <v>29</v>
      </c>
      <c r="I1356" s="5">
        <v>45394</v>
      </c>
      <c r="J1356" s="4" t="s">
        <v>40</v>
      </c>
      <c r="K1356" s="5">
        <v>45471</v>
      </c>
      <c r="L1356" s="4" t="s">
        <v>59</v>
      </c>
      <c r="M1356" s="6">
        <v>28781</v>
      </c>
      <c r="N1356" s="6">
        <v>4999</v>
      </c>
      <c r="O1356" s="4">
        <v>39</v>
      </c>
      <c r="P1356" s="5">
        <v>45510</v>
      </c>
      <c r="Q1356" s="4" t="s">
        <v>94</v>
      </c>
      <c r="R1356" s="4" t="s">
        <v>33</v>
      </c>
      <c r="S1356" s="4" t="s">
        <v>34</v>
      </c>
      <c r="T1356" s="7">
        <v>5.7573999999999996</v>
      </c>
      <c r="U1356" s="8">
        <v>77</v>
      </c>
      <c r="V1356" s="8">
        <v>2024</v>
      </c>
      <c r="W1356" s="4" t="s">
        <v>67</v>
      </c>
    </row>
    <row r="1357" spans="1:23" s="9" customFormat="1" ht="15.75" hidden="1" customHeight="1" x14ac:dyDescent="0.25">
      <c r="A1357" s="10" t="s">
        <v>4129</v>
      </c>
      <c r="B1357" s="10" t="s">
        <v>4130</v>
      </c>
      <c r="C1357" s="10" t="s">
        <v>4131</v>
      </c>
      <c r="D1357" s="22" t="s">
        <v>6087</v>
      </c>
      <c r="E1357" s="10" t="s">
        <v>26</v>
      </c>
      <c r="F1357" s="10" t="s">
        <v>56</v>
      </c>
      <c r="G1357" s="10" t="s">
        <v>57</v>
      </c>
      <c r="H1357" s="10" t="s">
        <v>39</v>
      </c>
      <c r="I1357" s="11">
        <v>45346</v>
      </c>
      <c r="J1357" s="10" t="s">
        <v>40</v>
      </c>
      <c r="K1357" s="11">
        <v>45630</v>
      </c>
      <c r="L1357" s="10" t="s">
        <v>31</v>
      </c>
      <c r="M1357" s="12">
        <v>11631</v>
      </c>
      <c r="N1357" s="12">
        <v>1467</v>
      </c>
      <c r="O1357" s="10" t="s">
        <v>32</v>
      </c>
      <c r="P1357" s="10" t="s">
        <v>32</v>
      </c>
      <c r="Q1357" s="10" t="s">
        <v>33</v>
      </c>
      <c r="R1357" s="10" t="s">
        <v>33</v>
      </c>
      <c r="S1357" s="10" t="s">
        <v>34</v>
      </c>
      <c r="T1357" s="13">
        <v>7.9283999999999999</v>
      </c>
      <c r="U1357" s="14">
        <v>284</v>
      </c>
      <c r="V1357" s="14">
        <v>2024</v>
      </c>
      <c r="W1357" s="10" t="s">
        <v>89</v>
      </c>
    </row>
    <row r="1358" spans="1:23" s="9" customFormat="1" ht="15.75" hidden="1" customHeight="1" x14ac:dyDescent="0.25">
      <c r="A1358" s="4" t="s">
        <v>4132</v>
      </c>
      <c r="B1358" s="4" t="s">
        <v>4133</v>
      </c>
      <c r="C1358" s="4" t="s">
        <v>4134</v>
      </c>
      <c r="D1358" s="22" t="s">
        <v>6087</v>
      </c>
      <c r="E1358" s="4" t="s">
        <v>26</v>
      </c>
      <c r="F1358" s="4" t="s">
        <v>65</v>
      </c>
      <c r="G1358" s="4" t="s">
        <v>57</v>
      </c>
      <c r="H1358" s="4" t="s">
        <v>39</v>
      </c>
      <c r="I1358" s="5">
        <v>45471</v>
      </c>
      <c r="J1358" s="4" t="s">
        <v>30</v>
      </c>
      <c r="K1358" s="5">
        <v>45502</v>
      </c>
      <c r="L1358" s="4" t="s">
        <v>66</v>
      </c>
      <c r="M1358" s="6">
        <v>23060</v>
      </c>
      <c r="N1358" s="6">
        <v>5318</v>
      </c>
      <c r="O1358" s="4" t="s">
        <v>32</v>
      </c>
      <c r="P1358" s="4" t="s">
        <v>32</v>
      </c>
      <c r="Q1358" s="4" t="s">
        <v>33</v>
      </c>
      <c r="R1358" s="4" t="s">
        <v>33</v>
      </c>
      <c r="S1358" s="4" t="s">
        <v>60</v>
      </c>
      <c r="T1358" s="7">
        <v>4.3361999999999998</v>
      </c>
      <c r="U1358" s="8">
        <v>31</v>
      </c>
      <c r="V1358" s="8">
        <v>2024</v>
      </c>
      <c r="W1358" s="4" t="s">
        <v>42</v>
      </c>
    </row>
    <row r="1359" spans="1:23" s="9" customFormat="1" ht="15.75" hidden="1" customHeight="1" x14ac:dyDescent="0.25">
      <c r="A1359" s="10" t="s">
        <v>4135</v>
      </c>
      <c r="B1359" s="10" t="s">
        <v>4136</v>
      </c>
      <c r="C1359" s="10" t="s">
        <v>4137</v>
      </c>
      <c r="D1359" s="21" t="s">
        <v>6086</v>
      </c>
      <c r="E1359" s="10" t="s">
        <v>87</v>
      </c>
      <c r="F1359" s="10" t="s">
        <v>65</v>
      </c>
      <c r="G1359" s="10" t="s">
        <v>28</v>
      </c>
      <c r="H1359" s="10" t="s">
        <v>39</v>
      </c>
      <c r="I1359" s="11">
        <v>45028</v>
      </c>
      <c r="J1359" s="10" t="s">
        <v>30</v>
      </c>
      <c r="K1359" s="11">
        <v>45393</v>
      </c>
      <c r="L1359" s="10" t="s">
        <v>31</v>
      </c>
      <c r="M1359" s="12">
        <v>67328</v>
      </c>
      <c r="N1359" s="12">
        <v>8280</v>
      </c>
      <c r="O1359" s="10" t="s">
        <v>32</v>
      </c>
      <c r="P1359" s="10" t="s">
        <v>32</v>
      </c>
      <c r="Q1359" s="10" t="s">
        <v>33</v>
      </c>
      <c r="R1359" s="10" t="s">
        <v>33</v>
      </c>
      <c r="S1359" s="10" t="s">
        <v>34</v>
      </c>
      <c r="T1359" s="13">
        <v>8.1313999999999993</v>
      </c>
      <c r="U1359" s="14">
        <v>365</v>
      </c>
      <c r="V1359" s="14">
        <v>2024</v>
      </c>
      <c r="W1359" s="10" t="s">
        <v>47</v>
      </c>
    </row>
    <row r="1360" spans="1:23" s="9" customFormat="1" ht="15.75" hidden="1" customHeight="1" x14ac:dyDescent="0.25">
      <c r="A1360" s="4" t="s">
        <v>4138</v>
      </c>
      <c r="B1360" s="4" t="s">
        <v>4139</v>
      </c>
      <c r="C1360" s="4" t="s">
        <v>4140</v>
      </c>
      <c r="D1360" s="22" t="s">
        <v>6087</v>
      </c>
      <c r="E1360" s="4" t="s">
        <v>26</v>
      </c>
      <c r="F1360" s="4" t="s">
        <v>46</v>
      </c>
      <c r="G1360" s="4" t="s">
        <v>5</v>
      </c>
      <c r="H1360" s="4" t="s">
        <v>118</v>
      </c>
      <c r="I1360" s="5">
        <v>45530</v>
      </c>
      <c r="J1360" s="4" t="s">
        <v>30</v>
      </c>
      <c r="K1360" s="5">
        <v>45576</v>
      </c>
      <c r="L1360" s="4" t="s">
        <v>59</v>
      </c>
      <c r="M1360" s="6">
        <v>12161</v>
      </c>
      <c r="N1360" s="6">
        <v>3272</v>
      </c>
      <c r="O1360" s="4">
        <v>5</v>
      </c>
      <c r="P1360" s="5">
        <v>45581</v>
      </c>
      <c r="Q1360" s="4" t="s">
        <v>94</v>
      </c>
      <c r="R1360" s="4" t="s">
        <v>33</v>
      </c>
      <c r="S1360" s="4" t="s">
        <v>60</v>
      </c>
      <c r="T1360" s="7">
        <v>3.7166999999999999</v>
      </c>
      <c r="U1360" s="8">
        <v>46</v>
      </c>
      <c r="V1360" s="8">
        <v>2024</v>
      </c>
      <c r="W1360" s="4" t="s">
        <v>95</v>
      </c>
    </row>
    <row r="1361" spans="1:23" s="9" customFormat="1" ht="15.75" hidden="1" customHeight="1" x14ac:dyDescent="0.25">
      <c r="A1361" s="10" t="s">
        <v>4141</v>
      </c>
      <c r="B1361" s="10" t="s">
        <v>4142</v>
      </c>
      <c r="C1361" s="10" t="s">
        <v>4143</v>
      </c>
      <c r="D1361" s="22" t="s">
        <v>6087</v>
      </c>
      <c r="E1361" s="10" t="s">
        <v>51</v>
      </c>
      <c r="F1361" s="10" t="s">
        <v>46</v>
      </c>
      <c r="G1361" s="10" t="s">
        <v>57</v>
      </c>
      <c r="H1361" s="10" t="s">
        <v>72</v>
      </c>
      <c r="I1361" s="11">
        <v>45299</v>
      </c>
      <c r="J1361" s="10" t="s">
        <v>40</v>
      </c>
      <c r="K1361" s="11">
        <v>45439</v>
      </c>
      <c r="L1361" s="10" t="s">
        <v>59</v>
      </c>
      <c r="M1361" s="12">
        <v>31473</v>
      </c>
      <c r="N1361" s="12">
        <v>2755</v>
      </c>
      <c r="O1361" s="10">
        <v>8</v>
      </c>
      <c r="P1361" s="11">
        <v>45447</v>
      </c>
      <c r="Q1361" s="10" t="s">
        <v>33</v>
      </c>
      <c r="R1361" s="10" t="s">
        <v>33</v>
      </c>
      <c r="S1361" s="10" t="s">
        <v>41</v>
      </c>
      <c r="T1361" s="13">
        <v>11.423999999999999</v>
      </c>
      <c r="U1361" s="14">
        <v>140</v>
      </c>
      <c r="V1361" s="14">
        <v>2024</v>
      </c>
      <c r="W1361" s="10" t="s">
        <v>52</v>
      </c>
    </row>
    <row r="1362" spans="1:23" s="9" customFormat="1" ht="15.75" hidden="1" customHeight="1" x14ac:dyDescent="0.25">
      <c r="A1362" s="4" t="s">
        <v>4144</v>
      </c>
      <c r="B1362" s="4" t="s">
        <v>4145</v>
      </c>
      <c r="C1362" s="4" t="s">
        <v>4146</v>
      </c>
      <c r="D1362" s="22" t="s">
        <v>6090</v>
      </c>
      <c r="E1362" s="4" t="s">
        <v>26</v>
      </c>
      <c r="F1362" s="4" t="s">
        <v>56</v>
      </c>
      <c r="G1362" s="4" t="s">
        <v>5</v>
      </c>
      <c r="H1362" s="4" t="s">
        <v>58</v>
      </c>
      <c r="I1362" s="5">
        <v>45340</v>
      </c>
      <c r="J1362" s="4" t="s">
        <v>30</v>
      </c>
      <c r="K1362" s="5">
        <v>45552</v>
      </c>
      <c r="L1362" s="4" t="s">
        <v>59</v>
      </c>
      <c r="M1362" s="6">
        <v>27984</v>
      </c>
      <c r="N1362" s="6">
        <v>4962</v>
      </c>
      <c r="O1362" s="4">
        <v>14</v>
      </c>
      <c r="P1362" s="5">
        <v>45566</v>
      </c>
      <c r="Q1362" s="4" t="s">
        <v>33</v>
      </c>
      <c r="R1362" s="4" t="s">
        <v>33</v>
      </c>
      <c r="S1362" s="4" t="s">
        <v>60</v>
      </c>
      <c r="T1362" s="7">
        <v>5.6397000000000004</v>
      </c>
      <c r="U1362" s="8">
        <v>212</v>
      </c>
      <c r="V1362" s="8">
        <v>2024</v>
      </c>
      <c r="W1362" s="4" t="s">
        <v>168</v>
      </c>
    </row>
    <row r="1363" spans="1:23" s="9" customFormat="1" ht="15.75" hidden="1" customHeight="1" x14ac:dyDescent="0.25">
      <c r="A1363" s="10" t="s">
        <v>4147</v>
      </c>
      <c r="B1363" s="10" t="s">
        <v>4148</v>
      </c>
      <c r="C1363" s="10" t="s">
        <v>4149</v>
      </c>
      <c r="D1363" s="22" t="s">
        <v>6087</v>
      </c>
      <c r="E1363" s="10" t="s">
        <v>26</v>
      </c>
      <c r="F1363" s="10" t="s">
        <v>46</v>
      </c>
      <c r="G1363" s="10" t="s">
        <v>5</v>
      </c>
      <c r="H1363" s="10" t="s">
        <v>29</v>
      </c>
      <c r="I1363" s="11">
        <v>45312</v>
      </c>
      <c r="J1363" s="10" t="s">
        <v>30</v>
      </c>
      <c r="K1363" s="11">
        <v>45505</v>
      </c>
      <c r="L1363" s="10" t="s">
        <v>59</v>
      </c>
      <c r="M1363" s="12">
        <v>14556</v>
      </c>
      <c r="N1363" s="12">
        <v>3779</v>
      </c>
      <c r="O1363" s="10">
        <v>44</v>
      </c>
      <c r="P1363" s="11">
        <v>45549</v>
      </c>
      <c r="Q1363" s="10" t="s">
        <v>33</v>
      </c>
      <c r="R1363" s="10" t="s">
        <v>33</v>
      </c>
      <c r="S1363" s="10" t="s">
        <v>60</v>
      </c>
      <c r="T1363" s="13">
        <v>3.8517999999999999</v>
      </c>
      <c r="U1363" s="14">
        <v>193</v>
      </c>
      <c r="V1363" s="14">
        <v>2024</v>
      </c>
      <c r="W1363" s="10" t="s">
        <v>114</v>
      </c>
    </row>
    <row r="1364" spans="1:23" s="9" customFormat="1" ht="15.75" hidden="1" customHeight="1" x14ac:dyDescent="0.25">
      <c r="A1364" s="4" t="s">
        <v>4150</v>
      </c>
      <c r="B1364" s="4" t="s">
        <v>4151</v>
      </c>
      <c r="C1364" s="4" t="s">
        <v>4152</v>
      </c>
      <c r="D1364" s="21" t="s">
        <v>6091</v>
      </c>
      <c r="E1364" s="4" t="s">
        <v>26</v>
      </c>
      <c r="F1364" s="4" t="s">
        <v>56</v>
      </c>
      <c r="G1364" s="4" t="s">
        <v>28</v>
      </c>
      <c r="H1364" s="4" t="s">
        <v>58</v>
      </c>
      <c r="I1364" s="5">
        <v>44953</v>
      </c>
      <c r="J1364" s="4" t="s">
        <v>30</v>
      </c>
      <c r="K1364" s="5">
        <v>45303</v>
      </c>
      <c r="L1364" s="4" t="s">
        <v>59</v>
      </c>
      <c r="M1364" s="6">
        <v>2114</v>
      </c>
      <c r="N1364" s="6">
        <v>2373</v>
      </c>
      <c r="O1364" s="4">
        <v>18</v>
      </c>
      <c r="P1364" s="5">
        <v>45321</v>
      </c>
      <c r="Q1364" s="4" t="s">
        <v>94</v>
      </c>
      <c r="R1364" s="4" t="s">
        <v>94</v>
      </c>
      <c r="S1364" s="4" t="s">
        <v>60</v>
      </c>
      <c r="T1364" s="7">
        <v>0.89090000000000003</v>
      </c>
      <c r="U1364" s="8">
        <v>350</v>
      </c>
      <c r="V1364" s="8">
        <v>2024</v>
      </c>
      <c r="W1364" s="4" t="s">
        <v>73</v>
      </c>
    </row>
    <row r="1365" spans="1:23" s="9" customFormat="1" ht="15.75" hidden="1" customHeight="1" x14ac:dyDescent="0.25">
      <c r="A1365" s="10" t="s">
        <v>4153</v>
      </c>
      <c r="B1365" s="10" t="s">
        <v>4154</v>
      </c>
      <c r="C1365" s="10" t="s">
        <v>4155</v>
      </c>
      <c r="D1365" s="21" t="s">
        <v>6091</v>
      </c>
      <c r="E1365" s="10" t="s">
        <v>87</v>
      </c>
      <c r="F1365" s="10" t="s">
        <v>27</v>
      </c>
      <c r="G1365" s="10" t="s">
        <v>28</v>
      </c>
      <c r="H1365" s="10" t="s">
        <v>58</v>
      </c>
      <c r="I1365" s="11">
        <v>45115</v>
      </c>
      <c r="J1365" s="10" t="s">
        <v>30</v>
      </c>
      <c r="K1365" s="11">
        <v>45450</v>
      </c>
      <c r="L1365" s="10" t="s">
        <v>59</v>
      </c>
      <c r="M1365" s="12">
        <v>3700</v>
      </c>
      <c r="N1365" s="12">
        <v>4660</v>
      </c>
      <c r="O1365" s="10">
        <v>15</v>
      </c>
      <c r="P1365" s="11">
        <v>45465</v>
      </c>
      <c r="Q1365" s="10" t="s">
        <v>33</v>
      </c>
      <c r="R1365" s="10" t="s">
        <v>33</v>
      </c>
      <c r="S1365" s="10" t="s">
        <v>60</v>
      </c>
      <c r="T1365" s="13">
        <v>0.79400000000000004</v>
      </c>
      <c r="U1365" s="14">
        <v>335</v>
      </c>
      <c r="V1365" s="14">
        <v>2024</v>
      </c>
      <c r="W1365" s="10" t="s">
        <v>67</v>
      </c>
    </row>
    <row r="1366" spans="1:23" s="9" customFormat="1" ht="15.75" hidden="1" customHeight="1" x14ac:dyDescent="0.25">
      <c r="A1366" s="4" t="s">
        <v>4156</v>
      </c>
      <c r="B1366" s="4" t="s">
        <v>4157</v>
      </c>
      <c r="C1366" s="4" t="s">
        <v>4158</v>
      </c>
      <c r="D1366" s="21" t="s">
        <v>6091</v>
      </c>
      <c r="E1366" s="4" t="s">
        <v>26</v>
      </c>
      <c r="F1366" s="4" t="s">
        <v>65</v>
      </c>
      <c r="G1366" s="4" t="s">
        <v>57</v>
      </c>
      <c r="H1366" s="4" t="s">
        <v>118</v>
      </c>
      <c r="I1366" s="5">
        <v>45420</v>
      </c>
      <c r="J1366" s="4" t="s">
        <v>40</v>
      </c>
      <c r="K1366" s="5">
        <v>45522</v>
      </c>
      <c r="L1366" s="4" t="s">
        <v>66</v>
      </c>
      <c r="M1366" s="6">
        <v>14006</v>
      </c>
      <c r="N1366" s="6">
        <v>513</v>
      </c>
      <c r="O1366" s="4" t="s">
        <v>32</v>
      </c>
      <c r="P1366" s="4" t="s">
        <v>32</v>
      </c>
      <c r="Q1366" s="4" t="s">
        <v>33</v>
      </c>
      <c r="R1366" s="4" t="s">
        <v>33</v>
      </c>
      <c r="S1366" s="4" t="s">
        <v>41</v>
      </c>
      <c r="T1366" s="7">
        <v>27.302099999999999</v>
      </c>
      <c r="U1366" s="8">
        <v>102</v>
      </c>
      <c r="V1366" s="8">
        <v>2024</v>
      </c>
      <c r="W1366" s="4" t="s">
        <v>114</v>
      </c>
    </row>
    <row r="1367" spans="1:23" s="9" customFormat="1" ht="15.75" hidden="1" customHeight="1" x14ac:dyDescent="0.25">
      <c r="A1367" s="10" t="s">
        <v>4159</v>
      </c>
      <c r="B1367" s="10" t="s">
        <v>4160</v>
      </c>
      <c r="C1367" s="10" t="s">
        <v>4161</v>
      </c>
      <c r="D1367" s="21" t="s">
        <v>6089</v>
      </c>
      <c r="E1367" s="10" t="s">
        <v>26</v>
      </c>
      <c r="F1367" s="10" t="s">
        <v>65</v>
      </c>
      <c r="G1367" s="10" t="s">
        <v>5</v>
      </c>
      <c r="H1367" s="10" t="s">
        <v>39</v>
      </c>
      <c r="I1367" s="11">
        <v>45431</v>
      </c>
      <c r="J1367" s="10" t="s">
        <v>30</v>
      </c>
      <c r="K1367" s="11">
        <v>45462</v>
      </c>
      <c r="L1367" s="10" t="s">
        <v>66</v>
      </c>
      <c r="M1367" s="12">
        <v>11197</v>
      </c>
      <c r="N1367" s="12">
        <v>6492</v>
      </c>
      <c r="O1367" s="10" t="s">
        <v>32</v>
      </c>
      <c r="P1367" s="10" t="s">
        <v>32</v>
      </c>
      <c r="Q1367" s="10" t="s">
        <v>94</v>
      </c>
      <c r="R1367" s="10" t="s">
        <v>33</v>
      </c>
      <c r="S1367" s="10" t="s">
        <v>60</v>
      </c>
      <c r="T1367" s="13">
        <v>1.7246999999999999</v>
      </c>
      <c r="U1367" s="14">
        <v>31</v>
      </c>
      <c r="V1367" s="14">
        <v>2024</v>
      </c>
      <c r="W1367" s="10" t="s">
        <v>67</v>
      </c>
    </row>
    <row r="1368" spans="1:23" s="9" customFormat="1" ht="15.75" hidden="1" customHeight="1" x14ac:dyDescent="0.25">
      <c r="A1368" s="4" t="s">
        <v>4162</v>
      </c>
      <c r="B1368" s="4" t="s">
        <v>4163</v>
      </c>
      <c r="C1368" s="4" t="s">
        <v>4164</v>
      </c>
      <c r="D1368" s="21" t="s">
        <v>6089</v>
      </c>
      <c r="E1368" s="4" t="s">
        <v>26</v>
      </c>
      <c r="F1368" s="4" t="s">
        <v>27</v>
      </c>
      <c r="G1368" s="4" t="s">
        <v>57</v>
      </c>
      <c r="H1368" s="4" t="s">
        <v>93</v>
      </c>
      <c r="I1368" s="5">
        <v>45208</v>
      </c>
      <c r="J1368" s="4" t="s">
        <v>40</v>
      </c>
      <c r="K1368" s="5">
        <v>45424</v>
      </c>
      <c r="L1368" s="4" t="s">
        <v>59</v>
      </c>
      <c r="M1368" s="6">
        <v>40372</v>
      </c>
      <c r="N1368" s="6">
        <v>3093</v>
      </c>
      <c r="O1368" s="4">
        <v>25</v>
      </c>
      <c r="P1368" s="5">
        <v>45449</v>
      </c>
      <c r="Q1368" s="4" t="s">
        <v>33</v>
      </c>
      <c r="R1368" s="4" t="s">
        <v>33</v>
      </c>
      <c r="S1368" s="4" t="s">
        <v>41</v>
      </c>
      <c r="T1368" s="7">
        <v>13.0527</v>
      </c>
      <c r="U1368" s="8">
        <v>216</v>
      </c>
      <c r="V1368" s="8">
        <v>2024</v>
      </c>
      <c r="W1368" s="4" t="s">
        <v>52</v>
      </c>
    </row>
    <row r="1369" spans="1:23" s="9" customFormat="1" ht="15.75" hidden="1" customHeight="1" x14ac:dyDescent="0.25">
      <c r="A1369" s="10" t="s">
        <v>4165</v>
      </c>
      <c r="B1369" s="10" t="s">
        <v>4166</v>
      </c>
      <c r="C1369" s="10" t="s">
        <v>4167</v>
      </c>
      <c r="D1369" s="21" t="s">
        <v>6088</v>
      </c>
      <c r="E1369" s="10" t="s">
        <v>51</v>
      </c>
      <c r="F1369" s="10" t="s">
        <v>46</v>
      </c>
      <c r="G1369" s="10" t="s">
        <v>5</v>
      </c>
      <c r="H1369" s="10" t="s">
        <v>72</v>
      </c>
      <c r="I1369" s="11">
        <v>45380</v>
      </c>
      <c r="J1369" s="10" t="s">
        <v>30</v>
      </c>
      <c r="K1369" s="11">
        <v>45496</v>
      </c>
      <c r="L1369" s="10" t="s">
        <v>66</v>
      </c>
      <c r="M1369" s="12">
        <v>62915</v>
      </c>
      <c r="N1369" s="12">
        <v>1721</v>
      </c>
      <c r="O1369" s="10" t="s">
        <v>32</v>
      </c>
      <c r="P1369" s="10" t="s">
        <v>32</v>
      </c>
      <c r="Q1369" s="10" t="s">
        <v>94</v>
      </c>
      <c r="R1369" s="10" t="s">
        <v>33</v>
      </c>
      <c r="S1369" s="10" t="s">
        <v>41</v>
      </c>
      <c r="T1369" s="13">
        <v>36.557200000000002</v>
      </c>
      <c r="U1369" s="14">
        <v>116</v>
      </c>
      <c r="V1369" s="14">
        <v>2024</v>
      </c>
      <c r="W1369" s="10" t="s">
        <v>42</v>
      </c>
    </row>
    <row r="1370" spans="1:23" s="9" customFormat="1" ht="15.75" hidden="1" customHeight="1" x14ac:dyDescent="0.25">
      <c r="A1370" s="4" t="s">
        <v>4168</v>
      </c>
      <c r="B1370" s="4" t="s">
        <v>4169</v>
      </c>
      <c r="C1370" s="4" t="s">
        <v>4170</v>
      </c>
      <c r="D1370" s="21" t="s">
        <v>6089</v>
      </c>
      <c r="E1370" s="4" t="s">
        <v>51</v>
      </c>
      <c r="F1370" s="4" t="s">
        <v>27</v>
      </c>
      <c r="G1370" s="4" t="s">
        <v>57</v>
      </c>
      <c r="H1370" s="4" t="s">
        <v>118</v>
      </c>
      <c r="I1370" s="5">
        <v>45072</v>
      </c>
      <c r="J1370" s="4" t="s">
        <v>30</v>
      </c>
      <c r="K1370" s="5">
        <v>45316</v>
      </c>
      <c r="L1370" s="4" t="s">
        <v>31</v>
      </c>
      <c r="M1370" s="6">
        <v>11213</v>
      </c>
      <c r="N1370" s="6">
        <v>5011</v>
      </c>
      <c r="O1370" s="4" t="s">
        <v>32</v>
      </c>
      <c r="P1370" s="4" t="s">
        <v>32</v>
      </c>
      <c r="Q1370" s="4" t="s">
        <v>33</v>
      </c>
      <c r="R1370" s="4" t="s">
        <v>33</v>
      </c>
      <c r="S1370" s="4" t="s">
        <v>60</v>
      </c>
      <c r="T1370" s="7">
        <v>2.2376999999999998</v>
      </c>
      <c r="U1370" s="8">
        <v>244</v>
      </c>
      <c r="V1370" s="8">
        <v>2024</v>
      </c>
      <c r="W1370" s="4" t="s">
        <v>73</v>
      </c>
    </row>
    <row r="1371" spans="1:23" s="9" customFormat="1" ht="15.75" hidden="1" customHeight="1" x14ac:dyDescent="0.25">
      <c r="A1371" s="10" t="s">
        <v>4171</v>
      </c>
      <c r="B1371" s="10" t="s">
        <v>4172</v>
      </c>
      <c r="C1371" s="10" t="s">
        <v>4173</v>
      </c>
      <c r="D1371" s="22" t="s">
        <v>6090</v>
      </c>
      <c r="E1371" s="10" t="s">
        <v>87</v>
      </c>
      <c r="F1371" s="10" t="s">
        <v>65</v>
      </c>
      <c r="G1371" s="10" t="s">
        <v>28</v>
      </c>
      <c r="H1371" s="10" t="s">
        <v>93</v>
      </c>
      <c r="I1371" s="11">
        <v>45238</v>
      </c>
      <c r="J1371" s="10" t="s">
        <v>40</v>
      </c>
      <c r="K1371" s="11">
        <v>45521</v>
      </c>
      <c r="L1371" s="10" t="s">
        <v>59</v>
      </c>
      <c r="M1371" s="12">
        <v>55498</v>
      </c>
      <c r="N1371" s="12">
        <v>6702</v>
      </c>
      <c r="O1371" s="10">
        <v>4</v>
      </c>
      <c r="P1371" s="11">
        <v>45525</v>
      </c>
      <c r="Q1371" s="10" t="s">
        <v>33</v>
      </c>
      <c r="R1371" s="10" t="s">
        <v>33</v>
      </c>
      <c r="S1371" s="10" t="s">
        <v>60</v>
      </c>
      <c r="T1371" s="13">
        <v>8.2807999999999993</v>
      </c>
      <c r="U1371" s="14">
        <v>283</v>
      </c>
      <c r="V1371" s="14">
        <v>2024</v>
      </c>
      <c r="W1371" s="10" t="s">
        <v>114</v>
      </c>
    </row>
    <row r="1372" spans="1:23" s="9" customFormat="1" ht="15.75" hidden="1" customHeight="1" x14ac:dyDescent="0.25">
      <c r="A1372" s="4" t="s">
        <v>4174</v>
      </c>
      <c r="B1372" s="4" t="s">
        <v>4175</v>
      </c>
      <c r="C1372" s="4" t="s">
        <v>4176</v>
      </c>
      <c r="D1372" s="21" t="s">
        <v>6086</v>
      </c>
      <c r="E1372" s="4" t="s">
        <v>51</v>
      </c>
      <c r="F1372" s="4" t="s">
        <v>56</v>
      </c>
      <c r="G1372" s="4" t="s">
        <v>57</v>
      </c>
      <c r="H1372" s="4" t="s">
        <v>72</v>
      </c>
      <c r="I1372" s="5">
        <v>45155</v>
      </c>
      <c r="J1372" s="4" t="s">
        <v>30</v>
      </c>
      <c r="K1372" s="5">
        <v>45431</v>
      </c>
      <c r="L1372" s="4" t="s">
        <v>59</v>
      </c>
      <c r="M1372" s="6">
        <v>64123</v>
      </c>
      <c r="N1372" s="6">
        <v>4923</v>
      </c>
      <c r="O1372" s="4">
        <v>24</v>
      </c>
      <c r="P1372" s="5">
        <v>45455</v>
      </c>
      <c r="Q1372" s="4" t="s">
        <v>33</v>
      </c>
      <c r="R1372" s="4" t="s">
        <v>33</v>
      </c>
      <c r="S1372" s="4" t="s">
        <v>60</v>
      </c>
      <c r="T1372" s="7">
        <v>13.0252</v>
      </c>
      <c r="U1372" s="8">
        <v>276</v>
      </c>
      <c r="V1372" s="8">
        <v>2024</v>
      </c>
      <c r="W1372" s="4" t="s">
        <v>52</v>
      </c>
    </row>
    <row r="1373" spans="1:23" s="9" customFormat="1" ht="15.75" hidden="1" customHeight="1" x14ac:dyDescent="0.25">
      <c r="A1373" s="10" t="s">
        <v>4177</v>
      </c>
      <c r="B1373" s="10" t="s">
        <v>4178</v>
      </c>
      <c r="C1373" s="10" t="s">
        <v>4179</v>
      </c>
      <c r="D1373" s="21" t="s">
        <v>6086</v>
      </c>
      <c r="E1373" s="10" t="s">
        <v>87</v>
      </c>
      <c r="F1373" s="10" t="s">
        <v>27</v>
      </c>
      <c r="G1373" s="10" t="s">
        <v>28</v>
      </c>
      <c r="H1373" s="10" t="s">
        <v>161</v>
      </c>
      <c r="I1373" s="11">
        <v>45434</v>
      </c>
      <c r="J1373" s="10" t="s">
        <v>40</v>
      </c>
      <c r="K1373" s="11">
        <v>45496</v>
      </c>
      <c r="L1373" s="10" t="s">
        <v>59</v>
      </c>
      <c r="M1373" s="12">
        <v>89996</v>
      </c>
      <c r="N1373" s="12">
        <v>6638</v>
      </c>
      <c r="O1373" s="10">
        <v>7</v>
      </c>
      <c r="P1373" s="11">
        <v>45503</v>
      </c>
      <c r="Q1373" s="10" t="s">
        <v>33</v>
      </c>
      <c r="R1373" s="10" t="s">
        <v>33</v>
      </c>
      <c r="S1373" s="10" t="s">
        <v>41</v>
      </c>
      <c r="T1373" s="13">
        <v>13.557700000000001</v>
      </c>
      <c r="U1373" s="14">
        <v>62</v>
      </c>
      <c r="V1373" s="14">
        <v>2024</v>
      </c>
      <c r="W1373" s="10" t="s">
        <v>42</v>
      </c>
    </row>
    <row r="1374" spans="1:23" s="9" customFormat="1" ht="15.75" hidden="1" customHeight="1" x14ac:dyDescent="0.25">
      <c r="A1374" s="4" t="s">
        <v>4180</v>
      </c>
      <c r="B1374" s="4" t="s">
        <v>4181</v>
      </c>
      <c r="C1374" s="4" t="s">
        <v>4182</v>
      </c>
      <c r="D1374" s="21" t="s">
        <v>6086</v>
      </c>
      <c r="E1374" s="4" t="s">
        <v>51</v>
      </c>
      <c r="F1374" s="4" t="s">
        <v>56</v>
      </c>
      <c r="G1374" s="4" t="s">
        <v>28</v>
      </c>
      <c r="H1374" s="4" t="s">
        <v>161</v>
      </c>
      <c r="I1374" s="5">
        <v>45342</v>
      </c>
      <c r="J1374" s="4" t="s">
        <v>30</v>
      </c>
      <c r="K1374" s="5">
        <v>45638</v>
      </c>
      <c r="L1374" s="4" t="s">
        <v>59</v>
      </c>
      <c r="M1374" s="6">
        <v>30720</v>
      </c>
      <c r="N1374" s="6">
        <v>5502</v>
      </c>
      <c r="O1374" s="4">
        <v>21</v>
      </c>
      <c r="P1374" s="5">
        <v>45659</v>
      </c>
      <c r="Q1374" s="4" t="s">
        <v>33</v>
      </c>
      <c r="R1374" s="4" t="s">
        <v>33</v>
      </c>
      <c r="S1374" s="4" t="s">
        <v>60</v>
      </c>
      <c r="T1374" s="7">
        <v>5.5834000000000001</v>
      </c>
      <c r="U1374" s="8">
        <v>296</v>
      </c>
      <c r="V1374" s="8">
        <v>2024</v>
      </c>
      <c r="W1374" s="4" t="s">
        <v>89</v>
      </c>
    </row>
    <row r="1375" spans="1:23" s="9" customFormat="1" ht="15.75" hidden="1" customHeight="1" x14ac:dyDescent="0.25">
      <c r="A1375" s="10" t="s">
        <v>4183</v>
      </c>
      <c r="B1375" s="10" t="s">
        <v>4184</v>
      </c>
      <c r="C1375" s="10" t="s">
        <v>4185</v>
      </c>
      <c r="D1375" s="21" t="s">
        <v>6088</v>
      </c>
      <c r="E1375" s="10" t="s">
        <v>87</v>
      </c>
      <c r="F1375" s="10" t="s">
        <v>56</v>
      </c>
      <c r="G1375" s="10" t="s">
        <v>28</v>
      </c>
      <c r="H1375" s="10" t="s">
        <v>88</v>
      </c>
      <c r="I1375" s="11">
        <v>45443</v>
      </c>
      <c r="J1375" s="10" t="s">
        <v>30</v>
      </c>
      <c r="K1375" s="11">
        <v>45500</v>
      </c>
      <c r="L1375" s="10" t="s">
        <v>59</v>
      </c>
      <c r="M1375" s="12">
        <v>70811</v>
      </c>
      <c r="N1375" s="12">
        <v>1041</v>
      </c>
      <c r="O1375" s="10">
        <v>43</v>
      </c>
      <c r="P1375" s="11">
        <v>45543</v>
      </c>
      <c r="Q1375" s="10" t="s">
        <v>33</v>
      </c>
      <c r="R1375" s="10" t="s">
        <v>33</v>
      </c>
      <c r="S1375" s="10" t="s">
        <v>41</v>
      </c>
      <c r="T1375" s="13">
        <v>68.022099999999995</v>
      </c>
      <c r="U1375" s="14">
        <v>57</v>
      </c>
      <c r="V1375" s="14">
        <v>2024</v>
      </c>
      <c r="W1375" s="10" t="s">
        <v>42</v>
      </c>
    </row>
    <row r="1376" spans="1:23" s="9" customFormat="1" ht="15.75" hidden="1" customHeight="1" x14ac:dyDescent="0.25">
      <c r="A1376" s="4" t="s">
        <v>4186</v>
      </c>
      <c r="B1376" s="4" t="s">
        <v>4187</v>
      </c>
      <c r="C1376" s="4" t="s">
        <v>4188</v>
      </c>
      <c r="D1376" s="22" t="s">
        <v>6090</v>
      </c>
      <c r="E1376" s="4" t="s">
        <v>26</v>
      </c>
      <c r="F1376" s="4" t="s">
        <v>56</v>
      </c>
      <c r="G1376" s="4" t="s">
        <v>28</v>
      </c>
      <c r="H1376" s="4" t="s">
        <v>118</v>
      </c>
      <c r="I1376" s="5">
        <v>45366</v>
      </c>
      <c r="J1376" s="4" t="s">
        <v>40</v>
      </c>
      <c r="K1376" s="5">
        <v>45478</v>
      </c>
      <c r="L1376" s="4" t="s">
        <v>59</v>
      </c>
      <c r="M1376" s="6">
        <v>55681</v>
      </c>
      <c r="N1376" s="6">
        <v>3757</v>
      </c>
      <c r="O1376" s="4">
        <v>4</v>
      </c>
      <c r="P1376" s="5">
        <v>45482</v>
      </c>
      <c r="Q1376" s="4" t="s">
        <v>94</v>
      </c>
      <c r="R1376" s="4" t="s">
        <v>94</v>
      </c>
      <c r="S1376" s="4" t="s">
        <v>60</v>
      </c>
      <c r="T1376" s="7">
        <v>14.820600000000001</v>
      </c>
      <c r="U1376" s="8">
        <v>112</v>
      </c>
      <c r="V1376" s="8">
        <v>2024</v>
      </c>
      <c r="W1376" s="4" t="s">
        <v>42</v>
      </c>
    </row>
    <row r="1377" spans="1:23" s="9" customFormat="1" ht="15.75" hidden="1" customHeight="1" x14ac:dyDescent="0.25">
      <c r="A1377" s="10" t="s">
        <v>4189</v>
      </c>
      <c r="B1377" s="10" t="s">
        <v>4190</v>
      </c>
      <c r="C1377" s="10" t="s">
        <v>4191</v>
      </c>
      <c r="D1377" s="22" t="s">
        <v>6090</v>
      </c>
      <c r="E1377" s="10" t="s">
        <v>87</v>
      </c>
      <c r="F1377" s="10" t="s">
        <v>65</v>
      </c>
      <c r="G1377" s="10" t="s">
        <v>5</v>
      </c>
      <c r="H1377" s="10" t="s">
        <v>161</v>
      </c>
      <c r="I1377" s="11">
        <v>45383</v>
      </c>
      <c r="J1377" s="10" t="s">
        <v>30</v>
      </c>
      <c r="K1377" s="11">
        <v>45534</v>
      </c>
      <c r="L1377" s="10" t="s">
        <v>59</v>
      </c>
      <c r="M1377" s="12">
        <v>53189</v>
      </c>
      <c r="N1377" s="12">
        <v>8993</v>
      </c>
      <c r="O1377" s="10">
        <v>44</v>
      </c>
      <c r="P1377" s="11">
        <v>45578</v>
      </c>
      <c r="Q1377" s="10" t="s">
        <v>33</v>
      </c>
      <c r="R1377" s="10" t="s">
        <v>33</v>
      </c>
      <c r="S1377" s="10" t="s">
        <v>41</v>
      </c>
      <c r="T1377" s="13">
        <v>5.9145000000000003</v>
      </c>
      <c r="U1377" s="14">
        <v>151</v>
      </c>
      <c r="V1377" s="14">
        <v>2024</v>
      </c>
      <c r="W1377" s="10" t="s">
        <v>114</v>
      </c>
    </row>
    <row r="1378" spans="1:23" s="9" customFormat="1" ht="15.75" hidden="1" customHeight="1" x14ac:dyDescent="0.25">
      <c r="A1378" s="4" t="s">
        <v>4192</v>
      </c>
      <c r="B1378" s="4" t="s">
        <v>4193</v>
      </c>
      <c r="C1378" s="4" t="s">
        <v>4194</v>
      </c>
      <c r="D1378" s="21" t="s">
        <v>6091</v>
      </c>
      <c r="E1378" s="4" t="s">
        <v>87</v>
      </c>
      <c r="F1378" s="4" t="s">
        <v>56</v>
      </c>
      <c r="G1378" s="4" t="s">
        <v>57</v>
      </c>
      <c r="H1378" s="4" t="s">
        <v>88</v>
      </c>
      <c r="I1378" s="5">
        <v>45302</v>
      </c>
      <c r="J1378" s="4" t="s">
        <v>30</v>
      </c>
      <c r="K1378" s="5">
        <v>45381</v>
      </c>
      <c r="L1378" s="4" t="s">
        <v>59</v>
      </c>
      <c r="M1378" s="6">
        <v>14075</v>
      </c>
      <c r="N1378" s="6">
        <v>3724</v>
      </c>
      <c r="O1378" s="4">
        <v>22</v>
      </c>
      <c r="P1378" s="5">
        <v>45403</v>
      </c>
      <c r="Q1378" s="4" t="s">
        <v>33</v>
      </c>
      <c r="R1378" s="4" t="s">
        <v>33</v>
      </c>
      <c r="S1378" s="4" t="s">
        <v>34</v>
      </c>
      <c r="T1378" s="7">
        <v>3.7795000000000001</v>
      </c>
      <c r="U1378" s="8">
        <v>79</v>
      </c>
      <c r="V1378" s="8">
        <v>2024</v>
      </c>
      <c r="W1378" s="4" t="s">
        <v>77</v>
      </c>
    </row>
    <row r="1379" spans="1:23" s="9" customFormat="1" ht="15.75" hidden="1" customHeight="1" x14ac:dyDescent="0.25">
      <c r="A1379" s="10" t="s">
        <v>4195</v>
      </c>
      <c r="B1379" s="10" t="s">
        <v>4196</v>
      </c>
      <c r="C1379" s="10" t="s">
        <v>4197</v>
      </c>
      <c r="D1379" s="22" t="s">
        <v>6087</v>
      </c>
      <c r="E1379" s="10" t="s">
        <v>51</v>
      </c>
      <c r="F1379" s="10" t="s">
        <v>56</v>
      </c>
      <c r="G1379" s="10" t="s">
        <v>28</v>
      </c>
      <c r="H1379" s="10" t="s">
        <v>161</v>
      </c>
      <c r="I1379" s="11">
        <v>45499</v>
      </c>
      <c r="J1379" s="10" t="s">
        <v>40</v>
      </c>
      <c r="K1379" s="11">
        <v>45621</v>
      </c>
      <c r="L1379" s="10" t="s">
        <v>59</v>
      </c>
      <c r="M1379" s="12">
        <v>35248</v>
      </c>
      <c r="N1379" s="12">
        <v>7843</v>
      </c>
      <c r="O1379" s="10">
        <v>42</v>
      </c>
      <c r="P1379" s="11">
        <v>45663</v>
      </c>
      <c r="Q1379" s="10" t="s">
        <v>94</v>
      </c>
      <c r="R1379" s="10" t="s">
        <v>33</v>
      </c>
      <c r="S1379" s="10" t="s">
        <v>60</v>
      </c>
      <c r="T1379" s="13">
        <v>4.4942000000000002</v>
      </c>
      <c r="U1379" s="14">
        <v>122</v>
      </c>
      <c r="V1379" s="14">
        <v>2024</v>
      </c>
      <c r="W1379" s="10" t="s">
        <v>61</v>
      </c>
    </row>
    <row r="1380" spans="1:23" s="9" customFormat="1" ht="15.75" hidden="1" customHeight="1" x14ac:dyDescent="0.25">
      <c r="A1380" s="4" t="s">
        <v>4198</v>
      </c>
      <c r="B1380" s="4" t="s">
        <v>4199</v>
      </c>
      <c r="C1380" s="4" t="s">
        <v>4200</v>
      </c>
      <c r="D1380" s="21" t="s">
        <v>6088</v>
      </c>
      <c r="E1380" s="4" t="s">
        <v>87</v>
      </c>
      <c r="F1380" s="4" t="s">
        <v>46</v>
      </c>
      <c r="G1380" s="4" t="s">
        <v>28</v>
      </c>
      <c r="H1380" s="4" t="s">
        <v>72</v>
      </c>
      <c r="I1380" s="5">
        <v>45566</v>
      </c>
      <c r="J1380" s="4" t="s">
        <v>30</v>
      </c>
      <c r="K1380" s="5">
        <v>45640</v>
      </c>
      <c r="L1380" s="4" t="s">
        <v>59</v>
      </c>
      <c r="M1380" s="6">
        <v>42638</v>
      </c>
      <c r="N1380" s="6">
        <v>1810</v>
      </c>
      <c r="O1380" s="4">
        <v>34</v>
      </c>
      <c r="P1380" s="5">
        <v>45674</v>
      </c>
      <c r="Q1380" s="4" t="s">
        <v>33</v>
      </c>
      <c r="R1380" s="4" t="s">
        <v>33</v>
      </c>
      <c r="S1380" s="4" t="s">
        <v>41</v>
      </c>
      <c r="T1380" s="7">
        <v>23.556899999999999</v>
      </c>
      <c r="U1380" s="8">
        <v>74</v>
      </c>
      <c r="V1380" s="8">
        <v>2024</v>
      </c>
      <c r="W1380" s="4" t="s">
        <v>89</v>
      </c>
    </row>
    <row r="1381" spans="1:23" s="9" customFormat="1" ht="15.75" hidden="1" customHeight="1" x14ac:dyDescent="0.25">
      <c r="A1381" s="10" t="s">
        <v>4201</v>
      </c>
      <c r="B1381" s="10" t="s">
        <v>4202</v>
      </c>
      <c r="C1381" s="10" t="s">
        <v>4203</v>
      </c>
      <c r="D1381" s="22" t="s">
        <v>6087</v>
      </c>
      <c r="E1381" s="10" t="s">
        <v>87</v>
      </c>
      <c r="F1381" s="10" t="s">
        <v>65</v>
      </c>
      <c r="G1381" s="10" t="s">
        <v>57</v>
      </c>
      <c r="H1381" s="10" t="s">
        <v>118</v>
      </c>
      <c r="I1381" s="11">
        <v>45522</v>
      </c>
      <c r="J1381" s="10" t="s">
        <v>40</v>
      </c>
      <c r="K1381" s="11">
        <v>45608</v>
      </c>
      <c r="L1381" s="10" t="s">
        <v>59</v>
      </c>
      <c r="M1381" s="12">
        <v>38239</v>
      </c>
      <c r="N1381" s="12">
        <v>8361</v>
      </c>
      <c r="O1381" s="10">
        <v>26</v>
      </c>
      <c r="P1381" s="11">
        <v>45634</v>
      </c>
      <c r="Q1381" s="10" t="s">
        <v>33</v>
      </c>
      <c r="R1381" s="10" t="s">
        <v>33</v>
      </c>
      <c r="S1381" s="10" t="s">
        <v>41</v>
      </c>
      <c r="T1381" s="13">
        <v>4.5735000000000001</v>
      </c>
      <c r="U1381" s="14">
        <v>86</v>
      </c>
      <c r="V1381" s="14">
        <v>2024</v>
      </c>
      <c r="W1381" s="10" t="s">
        <v>61</v>
      </c>
    </row>
    <row r="1382" spans="1:23" s="9" customFormat="1" ht="15.75" hidden="1" customHeight="1" x14ac:dyDescent="0.25">
      <c r="A1382" s="4" t="s">
        <v>4204</v>
      </c>
      <c r="B1382" s="4" t="s">
        <v>4205</v>
      </c>
      <c r="C1382" s="4" t="s">
        <v>4206</v>
      </c>
      <c r="D1382" s="21" t="s">
        <v>6089</v>
      </c>
      <c r="E1382" s="4" t="s">
        <v>26</v>
      </c>
      <c r="F1382" s="4" t="s">
        <v>27</v>
      </c>
      <c r="G1382" s="4" t="s">
        <v>57</v>
      </c>
      <c r="H1382" s="4" t="s">
        <v>72</v>
      </c>
      <c r="I1382" s="5">
        <v>45393</v>
      </c>
      <c r="J1382" s="4" t="s">
        <v>40</v>
      </c>
      <c r="K1382" s="5">
        <v>45428</v>
      </c>
      <c r="L1382" s="4" t="s">
        <v>59</v>
      </c>
      <c r="M1382" s="6">
        <v>27157</v>
      </c>
      <c r="N1382" s="6">
        <v>7503</v>
      </c>
      <c r="O1382" s="4">
        <v>36</v>
      </c>
      <c r="P1382" s="5">
        <v>45464</v>
      </c>
      <c r="Q1382" s="4" t="s">
        <v>33</v>
      </c>
      <c r="R1382" s="4" t="s">
        <v>33</v>
      </c>
      <c r="S1382" s="4" t="s">
        <v>60</v>
      </c>
      <c r="T1382" s="7">
        <v>3.6194999999999999</v>
      </c>
      <c r="U1382" s="8">
        <v>35</v>
      </c>
      <c r="V1382" s="8">
        <v>2024</v>
      </c>
      <c r="W1382" s="4" t="s">
        <v>52</v>
      </c>
    </row>
    <row r="1383" spans="1:23" s="9" customFormat="1" ht="15.75" hidden="1" customHeight="1" x14ac:dyDescent="0.25">
      <c r="A1383" s="10" t="s">
        <v>4207</v>
      </c>
      <c r="B1383" s="10" t="s">
        <v>4208</v>
      </c>
      <c r="C1383" s="10" t="s">
        <v>4209</v>
      </c>
      <c r="D1383" s="21" t="s">
        <v>6091</v>
      </c>
      <c r="E1383" s="10" t="s">
        <v>51</v>
      </c>
      <c r="F1383" s="10" t="s">
        <v>46</v>
      </c>
      <c r="G1383" s="10" t="s">
        <v>28</v>
      </c>
      <c r="H1383" s="10" t="s">
        <v>118</v>
      </c>
      <c r="I1383" s="11">
        <v>45439</v>
      </c>
      <c r="J1383" s="10" t="s">
        <v>40</v>
      </c>
      <c r="K1383" s="11">
        <v>45521</v>
      </c>
      <c r="L1383" s="10" t="s">
        <v>59</v>
      </c>
      <c r="M1383" s="12">
        <v>6109</v>
      </c>
      <c r="N1383" s="12">
        <v>4212</v>
      </c>
      <c r="O1383" s="10">
        <v>35</v>
      </c>
      <c r="P1383" s="11">
        <v>45556</v>
      </c>
      <c r="Q1383" s="10" t="s">
        <v>94</v>
      </c>
      <c r="R1383" s="10" t="s">
        <v>33</v>
      </c>
      <c r="S1383" s="10" t="s">
        <v>41</v>
      </c>
      <c r="T1383" s="13">
        <v>1.4503999999999999</v>
      </c>
      <c r="U1383" s="14">
        <v>82</v>
      </c>
      <c r="V1383" s="14">
        <v>2024</v>
      </c>
      <c r="W1383" s="10" t="s">
        <v>114</v>
      </c>
    </row>
    <row r="1384" spans="1:23" s="9" customFormat="1" ht="15.75" hidden="1" customHeight="1" x14ac:dyDescent="0.25">
      <c r="A1384" s="4" t="s">
        <v>4210</v>
      </c>
      <c r="B1384" s="4" t="s">
        <v>4211</v>
      </c>
      <c r="C1384" s="4" t="s">
        <v>4212</v>
      </c>
      <c r="D1384" s="21" t="s">
        <v>6086</v>
      </c>
      <c r="E1384" s="4" t="s">
        <v>26</v>
      </c>
      <c r="F1384" s="4" t="s">
        <v>71</v>
      </c>
      <c r="G1384" s="4" t="s">
        <v>28</v>
      </c>
      <c r="H1384" s="4" t="s">
        <v>118</v>
      </c>
      <c r="I1384" s="5">
        <v>45249</v>
      </c>
      <c r="J1384" s="4" t="s">
        <v>30</v>
      </c>
      <c r="K1384" s="5">
        <v>45412</v>
      </c>
      <c r="L1384" s="4" t="s">
        <v>59</v>
      </c>
      <c r="M1384" s="6">
        <v>98266</v>
      </c>
      <c r="N1384" s="6">
        <v>4167</v>
      </c>
      <c r="O1384" s="4">
        <v>21</v>
      </c>
      <c r="P1384" s="5">
        <v>45433</v>
      </c>
      <c r="Q1384" s="4" t="s">
        <v>33</v>
      </c>
      <c r="R1384" s="4" t="s">
        <v>33</v>
      </c>
      <c r="S1384" s="4" t="s">
        <v>34</v>
      </c>
      <c r="T1384" s="7">
        <v>23.582000000000001</v>
      </c>
      <c r="U1384" s="8">
        <v>163</v>
      </c>
      <c r="V1384" s="8">
        <v>2024</v>
      </c>
      <c r="W1384" s="4" t="s">
        <v>47</v>
      </c>
    </row>
    <row r="1385" spans="1:23" s="9" customFormat="1" ht="15.75" hidden="1" customHeight="1" x14ac:dyDescent="0.25">
      <c r="A1385" s="10" t="s">
        <v>4213</v>
      </c>
      <c r="B1385" s="10" t="s">
        <v>4214</v>
      </c>
      <c r="C1385" s="10" t="s">
        <v>4215</v>
      </c>
      <c r="D1385" s="22" t="s">
        <v>6087</v>
      </c>
      <c r="E1385" s="10" t="s">
        <v>51</v>
      </c>
      <c r="F1385" s="21" t="s">
        <v>6092</v>
      </c>
      <c r="G1385" s="10" t="s">
        <v>28</v>
      </c>
      <c r="H1385" s="10" t="s">
        <v>72</v>
      </c>
      <c r="I1385" s="11">
        <v>45037</v>
      </c>
      <c r="J1385" s="10" t="s">
        <v>40</v>
      </c>
      <c r="K1385" s="11">
        <v>45380</v>
      </c>
      <c r="L1385" s="10" t="s">
        <v>31</v>
      </c>
      <c r="M1385" s="12">
        <v>7475</v>
      </c>
      <c r="N1385" s="12">
        <v>1489</v>
      </c>
      <c r="O1385" s="10" t="s">
        <v>32</v>
      </c>
      <c r="P1385" s="10" t="s">
        <v>32</v>
      </c>
      <c r="Q1385" s="10" t="s">
        <v>33</v>
      </c>
      <c r="R1385" s="10" t="s">
        <v>33</v>
      </c>
      <c r="S1385" s="10" t="s">
        <v>41</v>
      </c>
      <c r="T1385" s="13">
        <v>5.0201000000000002</v>
      </c>
      <c r="U1385" s="14">
        <v>343</v>
      </c>
      <c r="V1385" s="14">
        <v>2024</v>
      </c>
      <c r="W1385" s="10" t="s">
        <v>77</v>
      </c>
    </row>
    <row r="1386" spans="1:23" s="9" customFormat="1" ht="15.75" hidden="1" customHeight="1" x14ac:dyDescent="0.25">
      <c r="A1386" s="4" t="s">
        <v>4216</v>
      </c>
      <c r="B1386" s="4" t="s">
        <v>4217</v>
      </c>
      <c r="C1386" s="4" t="s">
        <v>4218</v>
      </c>
      <c r="D1386" s="22" t="s">
        <v>6090</v>
      </c>
      <c r="E1386" s="4" t="s">
        <v>87</v>
      </c>
      <c r="F1386" s="4" t="s">
        <v>27</v>
      </c>
      <c r="G1386" s="4" t="s">
        <v>28</v>
      </c>
      <c r="H1386" s="4" t="s">
        <v>72</v>
      </c>
      <c r="I1386" s="5">
        <v>45198</v>
      </c>
      <c r="J1386" s="4" t="s">
        <v>30</v>
      </c>
      <c r="K1386" s="5">
        <v>45432</v>
      </c>
      <c r="L1386" s="4" t="s">
        <v>59</v>
      </c>
      <c r="M1386" s="6">
        <v>3768</v>
      </c>
      <c r="N1386" s="6">
        <v>8341</v>
      </c>
      <c r="O1386" s="4">
        <v>31</v>
      </c>
      <c r="P1386" s="5">
        <v>45463</v>
      </c>
      <c r="Q1386" s="4" t="s">
        <v>33</v>
      </c>
      <c r="R1386" s="4" t="s">
        <v>33</v>
      </c>
      <c r="S1386" s="4" t="s">
        <v>34</v>
      </c>
      <c r="T1386" s="7">
        <v>0.45169999999999999</v>
      </c>
      <c r="U1386" s="8">
        <v>234</v>
      </c>
      <c r="V1386" s="8">
        <v>2024</v>
      </c>
      <c r="W1386" s="4" t="s">
        <v>52</v>
      </c>
    </row>
    <row r="1387" spans="1:23" s="9" customFormat="1" ht="15.75" hidden="1" customHeight="1" x14ac:dyDescent="0.25">
      <c r="A1387" s="10" t="s">
        <v>4219</v>
      </c>
      <c r="B1387" s="10" t="s">
        <v>4220</v>
      </c>
      <c r="C1387" s="10" t="s">
        <v>4221</v>
      </c>
      <c r="D1387" s="21" t="s">
        <v>6086</v>
      </c>
      <c r="E1387" s="10" t="s">
        <v>51</v>
      </c>
      <c r="F1387" s="10" t="s">
        <v>27</v>
      </c>
      <c r="G1387" s="10" t="s">
        <v>5</v>
      </c>
      <c r="H1387" s="10" t="s">
        <v>58</v>
      </c>
      <c r="I1387" s="11">
        <v>45224</v>
      </c>
      <c r="J1387" s="10" t="s">
        <v>40</v>
      </c>
      <c r="K1387" s="11">
        <v>45321</v>
      </c>
      <c r="L1387" s="10" t="s">
        <v>59</v>
      </c>
      <c r="M1387" s="12">
        <v>25728</v>
      </c>
      <c r="N1387" s="12">
        <v>5692</v>
      </c>
      <c r="O1387" s="10">
        <v>6</v>
      </c>
      <c r="P1387" s="11">
        <v>45327</v>
      </c>
      <c r="Q1387" s="10" t="s">
        <v>33</v>
      </c>
      <c r="R1387" s="10" t="s">
        <v>33</v>
      </c>
      <c r="S1387" s="10" t="s">
        <v>34</v>
      </c>
      <c r="T1387" s="13">
        <v>4.5199999999999996</v>
      </c>
      <c r="U1387" s="14">
        <v>97</v>
      </c>
      <c r="V1387" s="14">
        <v>2024</v>
      </c>
      <c r="W1387" s="10" t="s">
        <v>73</v>
      </c>
    </row>
    <row r="1388" spans="1:23" s="9" customFormat="1" ht="15.75" hidden="1" customHeight="1" x14ac:dyDescent="0.25">
      <c r="A1388" s="4" t="s">
        <v>4222</v>
      </c>
      <c r="B1388" s="4" t="s">
        <v>4223</v>
      </c>
      <c r="C1388" s="4" t="s">
        <v>4224</v>
      </c>
      <c r="D1388" s="21" t="s">
        <v>6089</v>
      </c>
      <c r="E1388" s="4" t="s">
        <v>51</v>
      </c>
      <c r="F1388" s="4" t="s">
        <v>71</v>
      </c>
      <c r="G1388" s="4" t="s">
        <v>57</v>
      </c>
      <c r="H1388" s="4" t="s">
        <v>93</v>
      </c>
      <c r="I1388" s="5">
        <v>45112</v>
      </c>
      <c r="J1388" s="4" t="s">
        <v>30</v>
      </c>
      <c r="K1388" s="5">
        <v>45383</v>
      </c>
      <c r="L1388" s="4" t="s">
        <v>31</v>
      </c>
      <c r="M1388" s="6">
        <v>60024</v>
      </c>
      <c r="N1388" s="6">
        <v>8526</v>
      </c>
      <c r="O1388" s="4" t="s">
        <v>32</v>
      </c>
      <c r="P1388" s="4" t="s">
        <v>32</v>
      </c>
      <c r="Q1388" s="4" t="s">
        <v>33</v>
      </c>
      <c r="R1388" s="4" t="s">
        <v>33</v>
      </c>
      <c r="S1388" s="4" t="s">
        <v>41</v>
      </c>
      <c r="T1388" s="7">
        <v>7.0400999999999998</v>
      </c>
      <c r="U1388" s="8">
        <v>271</v>
      </c>
      <c r="V1388" s="8">
        <v>2024</v>
      </c>
      <c r="W1388" s="4" t="s">
        <v>47</v>
      </c>
    </row>
    <row r="1389" spans="1:23" s="9" customFormat="1" ht="15.75" hidden="1" customHeight="1" x14ac:dyDescent="0.25">
      <c r="A1389" s="10" t="s">
        <v>4225</v>
      </c>
      <c r="B1389" s="10" t="s">
        <v>4226</v>
      </c>
      <c r="C1389" s="10" t="s">
        <v>4227</v>
      </c>
      <c r="D1389" s="21" t="s">
        <v>6088</v>
      </c>
      <c r="E1389" s="10" t="s">
        <v>26</v>
      </c>
      <c r="F1389" s="10" t="s">
        <v>46</v>
      </c>
      <c r="G1389" s="10" t="s">
        <v>28</v>
      </c>
      <c r="H1389" s="10" t="s">
        <v>72</v>
      </c>
      <c r="I1389" s="11">
        <v>45054</v>
      </c>
      <c r="J1389" s="10" t="s">
        <v>30</v>
      </c>
      <c r="K1389" s="11">
        <v>45347</v>
      </c>
      <c r="L1389" s="10" t="s">
        <v>66</v>
      </c>
      <c r="M1389" s="12">
        <v>33614</v>
      </c>
      <c r="N1389" s="12">
        <v>8029</v>
      </c>
      <c r="O1389" s="10" t="s">
        <v>32</v>
      </c>
      <c r="P1389" s="10" t="s">
        <v>32</v>
      </c>
      <c r="Q1389" s="10" t="s">
        <v>33</v>
      </c>
      <c r="R1389" s="10" t="s">
        <v>33</v>
      </c>
      <c r="S1389" s="10" t="s">
        <v>60</v>
      </c>
      <c r="T1389" s="13">
        <v>4.1866000000000003</v>
      </c>
      <c r="U1389" s="14">
        <v>293</v>
      </c>
      <c r="V1389" s="14">
        <v>2024</v>
      </c>
      <c r="W1389" s="10" t="s">
        <v>35</v>
      </c>
    </row>
    <row r="1390" spans="1:23" s="9" customFormat="1" ht="15.75" hidden="1" customHeight="1" x14ac:dyDescent="0.25">
      <c r="A1390" s="4" t="s">
        <v>4228</v>
      </c>
      <c r="B1390" s="4" t="s">
        <v>4229</v>
      </c>
      <c r="C1390" s="4" t="s">
        <v>4230</v>
      </c>
      <c r="D1390" s="22" t="s">
        <v>6090</v>
      </c>
      <c r="E1390" s="4" t="s">
        <v>51</v>
      </c>
      <c r="F1390" s="4" t="s">
        <v>65</v>
      </c>
      <c r="G1390" s="4" t="s">
        <v>57</v>
      </c>
      <c r="H1390" s="4" t="s">
        <v>161</v>
      </c>
      <c r="I1390" s="5">
        <v>45392</v>
      </c>
      <c r="J1390" s="4" t="s">
        <v>30</v>
      </c>
      <c r="K1390" s="5">
        <v>45441</v>
      </c>
      <c r="L1390" s="4" t="s">
        <v>59</v>
      </c>
      <c r="M1390" s="6">
        <v>25068</v>
      </c>
      <c r="N1390" s="6">
        <v>8141</v>
      </c>
      <c r="O1390" s="4">
        <v>35</v>
      </c>
      <c r="P1390" s="5">
        <v>45476</v>
      </c>
      <c r="Q1390" s="4" t="s">
        <v>33</v>
      </c>
      <c r="R1390" s="4" t="s">
        <v>33</v>
      </c>
      <c r="S1390" s="4" t="s">
        <v>34</v>
      </c>
      <c r="T1390" s="7">
        <v>3.0792000000000002</v>
      </c>
      <c r="U1390" s="8">
        <v>49</v>
      </c>
      <c r="V1390" s="8">
        <v>2024</v>
      </c>
      <c r="W1390" s="4" t="s">
        <v>52</v>
      </c>
    </row>
    <row r="1391" spans="1:23" s="9" customFormat="1" ht="15.75" hidden="1" customHeight="1" x14ac:dyDescent="0.25">
      <c r="A1391" s="10" t="s">
        <v>4231</v>
      </c>
      <c r="B1391" s="10" t="s">
        <v>4232</v>
      </c>
      <c r="C1391" s="10" t="s">
        <v>4233</v>
      </c>
      <c r="D1391" s="22" t="s">
        <v>6090</v>
      </c>
      <c r="E1391" s="10" t="s">
        <v>51</v>
      </c>
      <c r="F1391" s="21" t="s">
        <v>6092</v>
      </c>
      <c r="G1391" s="10" t="s">
        <v>5</v>
      </c>
      <c r="H1391" s="10" t="s">
        <v>161</v>
      </c>
      <c r="I1391" s="11">
        <v>45180</v>
      </c>
      <c r="J1391" s="10" t="s">
        <v>40</v>
      </c>
      <c r="K1391" s="11">
        <v>45336</v>
      </c>
      <c r="L1391" s="10" t="s">
        <v>59</v>
      </c>
      <c r="M1391" s="12">
        <v>43614</v>
      </c>
      <c r="N1391" s="12">
        <v>6566</v>
      </c>
      <c r="O1391" s="10">
        <v>31</v>
      </c>
      <c r="P1391" s="11">
        <v>45367</v>
      </c>
      <c r="Q1391" s="10" t="s">
        <v>33</v>
      </c>
      <c r="R1391" s="10" t="s">
        <v>33</v>
      </c>
      <c r="S1391" s="10" t="s">
        <v>34</v>
      </c>
      <c r="T1391" s="13">
        <v>6.6424000000000003</v>
      </c>
      <c r="U1391" s="14">
        <v>156</v>
      </c>
      <c r="V1391" s="14">
        <v>2024</v>
      </c>
      <c r="W1391" s="10" t="s">
        <v>35</v>
      </c>
    </row>
    <row r="1392" spans="1:23" s="9" customFormat="1" ht="15.75" hidden="1" customHeight="1" x14ac:dyDescent="0.25">
      <c r="A1392" s="4" t="s">
        <v>4234</v>
      </c>
      <c r="B1392" s="4" t="s">
        <v>4235</v>
      </c>
      <c r="C1392" s="4" t="s">
        <v>4236</v>
      </c>
      <c r="D1392" s="21" t="s">
        <v>6091</v>
      </c>
      <c r="E1392" s="4" t="s">
        <v>26</v>
      </c>
      <c r="F1392" s="4" t="s">
        <v>46</v>
      </c>
      <c r="G1392" s="4" t="s">
        <v>5</v>
      </c>
      <c r="H1392" s="4" t="s">
        <v>58</v>
      </c>
      <c r="I1392" s="5">
        <v>45333</v>
      </c>
      <c r="J1392" s="4" t="s">
        <v>30</v>
      </c>
      <c r="K1392" s="5">
        <v>45633</v>
      </c>
      <c r="L1392" s="4" t="s">
        <v>66</v>
      </c>
      <c r="M1392" s="6">
        <v>16957</v>
      </c>
      <c r="N1392" s="6">
        <v>668</v>
      </c>
      <c r="O1392" s="4" t="s">
        <v>32</v>
      </c>
      <c r="P1392" s="4" t="s">
        <v>32</v>
      </c>
      <c r="Q1392" s="4" t="s">
        <v>33</v>
      </c>
      <c r="R1392" s="4" t="s">
        <v>33</v>
      </c>
      <c r="S1392" s="4" t="s">
        <v>41</v>
      </c>
      <c r="T1392" s="7">
        <v>25.384699999999999</v>
      </c>
      <c r="U1392" s="8">
        <v>300</v>
      </c>
      <c r="V1392" s="8">
        <v>2024</v>
      </c>
      <c r="W1392" s="4" t="s">
        <v>89</v>
      </c>
    </row>
    <row r="1393" spans="1:23" s="9" customFormat="1" ht="15.75" hidden="1" customHeight="1" x14ac:dyDescent="0.25">
      <c r="A1393" s="10" t="s">
        <v>4237</v>
      </c>
      <c r="B1393" s="10" t="s">
        <v>4238</v>
      </c>
      <c r="C1393" s="10" t="s">
        <v>4239</v>
      </c>
      <c r="D1393" s="22" t="s">
        <v>6087</v>
      </c>
      <c r="E1393" s="10" t="s">
        <v>51</v>
      </c>
      <c r="F1393" s="21" t="s">
        <v>6092</v>
      </c>
      <c r="G1393" s="10" t="s">
        <v>28</v>
      </c>
      <c r="H1393" s="10" t="s">
        <v>88</v>
      </c>
      <c r="I1393" s="11">
        <v>45365</v>
      </c>
      <c r="J1393" s="10" t="s">
        <v>30</v>
      </c>
      <c r="K1393" s="11">
        <v>45518</v>
      </c>
      <c r="L1393" s="10" t="s">
        <v>59</v>
      </c>
      <c r="M1393" s="12">
        <v>4795</v>
      </c>
      <c r="N1393" s="12">
        <v>8125</v>
      </c>
      <c r="O1393" s="10">
        <v>31</v>
      </c>
      <c r="P1393" s="11">
        <v>45549</v>
      </c>
      <c r="Q1393" s="10" t="s">
        <v>33</v>
      </c>
      <c r="R1393" s="10" t="s">
        <v>33</v>
      </c>
      <c r="S1393" s="10" t="s">
        <v>34</v>
      </c>
      <c r="T1393" s="13">
        <v>0.59019999999999995</v>
      </c>
      <c r="U1393" s="14">
        <v>153</v>
      </c>
      <c r="V1393" s="14">
        <v>2024</v>
      </c>
      <c r="W1393" s="10" t="s">
        <v>114</v>
      </c>
    </row>
    <row r="1394" spans="1:23" s="9" customFormat="1" ht="15.75" hidden="1" customHeight="1" x14ac:dyDescent="0.25">
      <c r="A1394" s="4" t="s">
        <v>4240</v>
      </c>
      <c r="B1394" s="4" t="s">
        <v>4241</v>
      </c>
      <c r="C1394" s="4" t="s">
        <v>4242</v>
      </c>
      <c r="D1394" s="22" t="s">
        <v>6087</v>
      </c>
      <c r="E1394" s="4" t="s">
        <v>51</v>
      </c>
      <c r="F1394" s="4" t="s">
        <v>46</v>
      </c>
      <c r="G1394" s="4" t="s">
        <v>28</v>
      </c>
      <c r="H1394" s="4" t="s">
        <v>118</v>
      </c>
      <c r="I1394" s="5">
        <v>45127</v>
      </c>
      <c r="J1394" s="4" t="s">
        <v>30</v>
      </c>
      <c r="K1394" s="5">
        <v>45300</v>
      </c>
      <c r="L1394" s="4" t="s">
        <v>59</v>
      </c>
      <c r="M1394" s="6">
        <v>35265</v>
      </c>
      <c r="N1394" s="6">
        <v>5243</v>
      </c>
      <c r="O1394" s="4">
        <v>12</v>
      </c>
      <c r="P1394" s="5">
        <v>45312</v>
      </c>
      <c r="Q1394" s="4" t="s">
        <v>33</v>
      </c>
      <c r="R1394" s="4" t="s">
        <v>33</v>
      </c>
      <c r="S1394" s="4" t="s">
        <v>41</v>
      </c>
      <c r="T1394" s="7">
        <v>6.7260999999999997</v>
      </c>
      <c r="U1394" s="8">
        <v>173</v>
      </c>
      <c r="V1394" s="8">
        <v>2024</v>
      </c>
      <c r="W1394" s="4" t="s">
        <v>73</v>
      </c>
    </row>
    <row r="1395" spans="1:23" s="9" customFormat="1" ht="15.75" hidden="1" customHeight="1" x14ac:dyDescent="0.25">
      <c r="A1395" s="10" t="s">
        <v>4243</v>
      </c>
      <c r="B1395" s="10" t="s">
        <v>4244</v>
      </c>
      <c r="C1395" s="10" t="s">
        <v>4245</v>
      </c>
      <c r="D1395" s="22" t="s">
        <v>6090</v>
      </c>
      <c r="E1395" s="10" t="s">
        <v>51</v>
      </c>
      <c r="F1395" s="10" t="s">
        <v>56</v>
      </c>
      <c r="G1395" s="10" t="s">
        <v>5</v>
      </c>
      <c r="H1395" s="10" t="s">
        <v>72</v>
      </c>
      <c r="I1395" s="11">
        <v>45269</v>
      </c>
      <c r="J1395" s="10" t="s">
        <v>30</v>
      </c>
      <c r="K1395" s="11">
        <v>45367</v>
      </c>
      <c r="L1395" s="10" t="s">
        <v>31</v>
      </c>
      <c r="M1395" s="12">
        <v>6253</v>
      </c>
      <c r="N1395" s="12">
        <v>4433</v>
      </c>
      <c r="O1395" s="10" t="s">
        <v>32</v>
      </c>
      <c r="P1395" s="10" t="s">
        <v>32</v>
      </c>
      <c r="Q1395" s="10" t="s">
        <v>33</v>
      </c>
      <c r="R1395" s="10" t="s">
        <v>33</v>
      </c>
      <c r="S1395" s="10" t="s">
        <v>41</v>
      </c>
      <c r="T1395" s="13">
        <v>1.4106000000000001</v>
      </c>
      <c r="U1395" s="14">
        <v>98</v>
      </c>
      <c r="V1395" s="14">
        <v>2024</v>
      </c>
      <c r="W1395" s="10" t="s">
        <v>77</v>
      </c>
    </row>
    <row r="1396" spans="1:23" s="9" customFormat="1" ht="15.75" hidden="1" customHeight="1" x14ac:dyDescent="0.25">
      <c r="A1396" s="4" t="s">
        <v>4246</v>
      </c>
      <c r="B1396" s="4" t="s">
        <v>4247</v>
      </c>
      <c r="C1396" s="4" t="s">
        <v>4248</v>
      </c>
      <c r="D1396" s="22" t="s">
        <v>6087</v>
      </c>
      <c r="E1396" s="4" t="s">
        <v>87</v>
      </c>
      <c r="F1396" s="4" t="s">
        <v>46</v>
      </c>
      <c r="G1396" s="4" t="s">
        <v>5</v>
      </c>
      <c r="H1396" s="4" t="s">
        <v>58</v>
      </c>
      <c r="I1396" s="5">
        <v>45285</v>
      </c>
      <c r="J1396" s="4" t="s">
        <v>30</v>
      </c>
      <c r="K1396" s="5">
        <v>45458</v>
      </c>
      <c r="L1396" s="4" t="s">
        <v>59</v>
      </c>
      <c r="M1396" s="6">
        <v>32031</v>
      </c>
      <c r="N1396" s="6">
        <v>7084</v>
      </c>
      <c r="O1396" s="4">
        <v>19</v>
      </c>
      <c r="P1396" s="5">
        <v>45477</v>
      </c>
      <c r="Q1396" s="4" t="s">
        <v>33</v>
      </c>
      <c r="R1396" s="4" t="s">
        <v>33</v>
      </c>
      <c r="S1396" s="4" t="s">
        <v>60</v>
      </c>
      <c r="T1396" s="7">
        <v>4.5216000000000003</v>
      </c>
      <c r="U1396" s="8">
        <v>173</v>
      </c>
      <c r="V1396" s="8">
        <v>2024</v>
      </c>
      <c r="W1396" s="4" t="s">
        <v>67</v>
      </c>
    </row>
    <row r="1397" spans="1:23" s="9" customFormat="1" ht="15.75" hidden="1" customHeight="1" x14ac:dyDescent="0.25">
      <c r="A1397" s="10" t="s">
        <v>4249</v>
      </c>
      <c r="B1397" s="10" t="s">
        <v>4250</v>
      </c>
      <c r="C1397" s="10" t="s">
        <v>4251</v>
      </c>
      <c r="D1397" s="21" t="s">
        <v>6088</v>
      </c>
      <c r="E1397" s="10" t="s">
        <v>51</v>
      </c>
      <c r="F1397" s="10" t="s">
        <v>65</v>
      </c>
      <c r="G1397" s="10" t="s">
        <v>5</v>
      </c>
      <c r="H1397" s="10" t="s">
        <v>93</v>
      </c>
      <c r="I1397" s="11">
        <v>45505</v>
      </c>
      <c r="J1397" s="10" t="s">
        <v>40</v>
      </c>
      <c r="K1397" s="11">
        <v>45589</v>
      </c>
      <c r="L1397" s="10" t="s">
        <v>59</v>
      </c>
      <c r="M1397" s="12">
        <v>62883</v>
      </c>
      <c r="N1397" s="12">
        <v>6155</v>
      </c>
      <c r="O1397" s="10">
        <v>10</v>
      </c>
      <c r="P1397" s="11">
        <v>45599</v>
      </c>
      <c r="Q1397" s="10" t="s">
        <v>94</v>
      </c>
      <c r="R1397" s="10" t="s">
        <v>33</v>
      </c>
      <c r="S1397" s="10" t="s">
        <v>41</v>
      </c>
      <c r="T1397" s="13">
        <v>10.2166</v>
      </c>
      <c r="U1397" s="14">
        <v>84</v>
      </c>
      <c r="V1397" s="14">
        <v>2024</v>
      </c>
      <c r="W1397" s="10" t="s">
        <v>95</v>
      </c>
    </row>
    <row r="1398" spans="1:23" s="9" customFormat="1" ht="15.75" hidden="1" customHeight="1" x14ac:dyDescent="0.25">
      <c r="A1398" s="4" t="s">
        <v>4252</v>
      </c>
      <c r="B1398" s="4" t="s">
        <v>4253</v>
      </c>
      <c r="C1398" s="4" t="s">
        <v>4254</v>
      </c>
      <c r="D1398" s="21" t="s">
        <v>6091</v>
      </c>
      <c r="E1398" s="4" t="s">
        <v>51</v>
      </c>
      <c r="F1398" s="4" t="s">
        <v>56</v>
      </c>
      <c r="G1398" s="4" t="s">
        <v>28</v>
      </c>
      <c r="H1398" s="4" t="s">
        <v>39</v>
      </c>
      <c r="I1398" s="5">
        <v>45330</v>
      </c>
      <c r="J1398" s="4" t="s">
        <v>30</v>
      </c>
      <c r="K1398" s="5">
        <v>45366</v>
      </c>
      <c r="L1398" s="4" t="s">
        <v>31</v>
      </c>
      <c r="M1398" s="6">
        <v>8981</v>
      </c>
      <c r="N1398" s="6">
        <v>2932</v>
      </c>
      <c r="O1398" s="4" t="s">
        <v>32</v>
      </c>
      <c r="P1398" s="4" t="s">
        <v>32</v>
      </c>
      <c r="Q1398" s="4" t="s">
        <v>33</v>
      </c>
      <c r="R1398" s="4" t="s">
        <v>33</v>
      </c>
      <c r="S1398" s="4" t="s">
        <v>60</v>
      </c>
      <c r="T1398" s="7">
        <v>3.0630999999999999</v>
      </c>
      <c r="U1398" s="8">
        <v>36</v>
      </c>
      <c r="V1398" s="8">
        <v>2024</v>
      </c>
      <c r="W1398" s="4" t="s">
        <v>77</v>
      </c>
    </row>
    <row r="1399" spans="1:23" s="9" customFormat="1" ht="15.75" hidden="1" customHeight="1" x14ac:dyDescent="0.25">
      <c r="A1399" s="10" t="s">
        <v>4255</v>
      </c>
      <c r="B1399" s="10" t="s">
        <v>4256</v>
      </c>
      <c r="C1399" s="10" t="s">
        <v>4257</v>
      </c>
      <c r="D1399" s="21" t="s">
        <v>6089</v>
      </c>
      <c r="E1399" s="10" t="s">
        <v>87</v>
      </c>
      <c r="F1399" s="21" t="s">
        <v>6092</v>
      </c>
      <c r="G1399" s="10" t="s">
        <v>57</v>
      </c>
      <c r="H1399" s="10" t="s">
        <v>88</v>
      </c>
      <c r="I1399" s="11">
        <v>45384</v>
      </c>
      <c r="J1399" s="10" t="s">
        <v>30</v>
      </c>
      <c r="K1399" s="11">
        <v>45475</v>
      </c>
      <c r="L1399" s="10" t="s">
        <v>59</v>
      </c>
      <c r="M1399" s="12">
        <v>55653</v>
      </c>
      <c r="N1399" s="12">
        <v>7991</v>
      </c>
      <c r="O1399" s="10">
        <v>8</v>
      </c>
      <c r="P1399" s="11">
        <v>45483</v>
      </c>
      <c r="Q1399" s="10" t="s">
        <v>33</v>
      </c>
      <c r="R1399" s="10" t="s">
        <v>33</v>
      </c>
      <c r="S1399" s="10" t="s">
        <v>60</v>
      </c>
      <c r="T1399" s="13">
        <v>6.9645000000000001</v>
      </c>
      <c r="U1399" s="14">
        <v>91</v>
      </c>
      <c r="V1399" s="14">
        <v>2024</v>
      </c>
      <c r="W1399" s="10" t="s">
        <v>42</v>
      </c>
    </row>
    <row r="1400" spans="1:23" s="9" customFormat="1" ht="15.75" hidden="1" customHeight="1" x14ac:dyDescent="0.25">
      <c r="A1400" s="4" t="s">
        <v>4258</v>
      </c>
      <c r="B1400" s="4" t="s">
        <v>4259</v>
      </c>
      <c r="C1400" s="4" t="s">
        <v>4260</v>
      </c>
      <c r="D1400" s="21" t="s">
        <v>6086</v>
      </c>
      <c r="E1400" s="4" t="s">
        <v>26</v>
      </c>
      <c r="F1400" s="4" t="s">
        <v>46</v>
      </c>
      <c r="G1400" s="4" t="s">
        <v>5</v>
      </c>
      <c r="H1400" s="4" t="s">
        <v>88</v>
      </c>
      <c r="I1400" s="5">
        <v>45019</v>
      </c>
      <c r="J1400" s="4" t="s">
        <v>30</v>
      </c>
      <c r="K1400" s="5">
        <v>45307</v>
      </c>
      <c r="L1400" s="4" t="s">
        <v>59</v>
      </c>
      <c r="M1400" s="6">
        <v>20787</v>
      </c>
      <c r="N1400" s="6">
        <v>6731</v>
      </c>
      <c r="O1400" s="4">
        <v>29</v>
      </c>
      <c r="P1400" s="5">
        <v>45336</v>
      </c>
      <c r="Q1400" s="4" t="s">
        <v>33</v>
      </c>
      <c r="R1400" s="4" t="s">
        <v>33</v>
      </c>
      <c r="S1400" s="4" t="s">
        <v>60</v>
      </c>
      <c r="T1400" s="7">
        <v>3.0882000000000001</v>
      </c>
      <c r="U1400" s="8">
        <v>288</v>
      </c>
      <c r="V1400" s="8">
        <v>2024</v>
      </c>
      <c r="W1400" s="4" t="s">
        <v>73</v>
      </c>
    </row>
    <row r="1401" spans="1:23" s="9" customFormat="1" ht="15.75" hidden="1" customHeight="1" x14ac:dyDescent="0.25">
      <c r="A1401" s="10" t="s">
        <v>4261</v>
      </c>
      <c r="B1401" s="10" t="s">
        <v>4262</v>
      </c>
      <c r="C1401" s="10" t="s">
        <v>4263</v>
      </c>
      <c r="D1401" s="22" t="s">
        <v>6087</v>
      </c>
      <c r="E1401" s="10" t="s">
        <v>51</v>
      </c>
      <c r="F1401" s="10" t="s">
        <v>56</v>
      </c>
      <c r="G1401" s="10" t="s">
        <v>28</v>
      </c>
      <c r="H1401" s="10" t="s">
        <v>29</v>
      </c>
      <c r="I1401" s="11">
        <v>45294</v>
      </c>
      <c r="J1401" s="10" t="s">
        <v>40</v>
      </c>
      <c r="K1401" s="11">
        <v>45389</v>
      </c>
      <c r="L1401" s="10" t="s">
        <v>59</v>
      </c>
      <c r="M1401" s="12">
        <v>29862</v>
      </c>
      <c r="N1401" s="12">
        <v>5364</v>
      </c>
      <c r="O1401" s="10">
        <v>30</v>
      </c>
      <c r="P1401" s="11">
        <v>45419</v>
      </c>
      <c r="Q1401" s="10" t="s">
        <v>94</v>
      </c>
      <c r="R1401" s="10" t="s">
        <v>33</v>
      </c>
      <c r="S1401" s="10" t="s">
        <v>41</v>
      </c>
      <c r="T1401" s="13">
        <v>5.5670999999999999</v>
      </c>
      <c r="U1401" s="14">
        <v>95</v>
      </c>
      <c r="V1401" s="14">
        <v>2024</v>
      </c>
      <c r="W1401" s="10" t="s">
        <v>47</v>
      </c>
    </row>
    <row r="1402" spans="1:23" s="9" customFormat="1" ht="15.75" hidden="1" customHeight="1" x14ac:dyDescent="0.25">
      <c r="A1402" s="4" t="s">
        <v>4264</v>
      </c>
      <c r="B1402" s="4" t="s">
        <v>4265</v>
      </c>
      <c r="C1402" s="4" t="s">
        <v>4266</v>
      </c>
      <c r="D1402" s="22" t="s">
        <v>6087</v>
      </c>
      <c r="E1402" s="4" t="s">
        <v>87</v>
      </c>
      <c r="F1402" s="4" t="s">
        <v>56</v>
      </c>
      <c r="G1402" s="4" t="s">
        <v>5</v>
      </c>
      <c r="H1402" s="4" t="s">
        <v>161</v>
      </c>
      <c r="I1402" s="5">
        <v>45504</v>
      </c>
      <c r="J1402" s="4" t="s">
        <v>30</v>
      </c>
      <c r="K1402" s="5">
        <v>45534</v>
      </c>
      <c r="L1402" s="4" t="s">
        <v>66</v>
      </c>
      <c r="M1402" s="6">
        <v>9018</v>
      </c>
      <c r="N1402" s="6">
        <v>2124</v>
      </c>
      <c r="O1402" s="4" t="s">
        <v>32</v>
      </c>
      <c r="P1402" s="4" t="s">
        <v>32</v>
      </c>
      <c r="Q1402" s="4" t="s">
        <v>33</v>
      </c>
      <c r="R1402" s="4" t="s">
        <v>33</v>
      </c>
      <c r="S1402" s="4" t="s">
        <v>60</v>
      </c>
      <c r="T1402" s="7">
        <v>4.2458</v>
      </c>
      <c r="U1402" s="8">
        <v>30</v>
      </c>
      <c r="V1402" s="8">
        <v>2024</v>
      </c>
      <c r="W1402" s="4" t="s">
        <v>114</v>
      </c>
    </row>
    <row r="1403" spans="1:23" s="9" customFormat="1" ht="15.75" hidden="1" customHeight="1" x14ac:dyDescent="0.25">
      <c r="A1403" s="10" t="s">
        <v>4267</v>
      </c>
      <c r="B1403" s="10" t="s">
        <v>4268</v>
      </c>
      <c r="C1403" s="10" t="s">
        <v>4269</v>
      </c>
      <c r="D1403" s="21" t="s">
        <v>6088</v>
      </c>
      <c r="E1403" s="10" t="s">
        <v>87</v>
      </c>
      <c r="F1403" s="10" t="s">
        <v>46</v>
      </c>
      <c r="G1403" s="10" t="s">
        <v>57</v>
      </c>
      <c r="H1403" s="10" t="s">
        <v>39</v>
      </c>
      <c r="I1403" s="11">
        <v>45027</v>
      </c>
      <c r="J1403" s="10" t="s">
        <v>40</v>
      </c>
      <c r="K1403" s="11">
        <v>45359</v>
      </c>
      <c r="L1403" s="10" t="s">
        <v>59</v>
      </c>
      <c r="M1403" s="12">
        <v>40124</v>
      </c>
      <c r="N1403" s="12">
        <v>6700</v>
      </c>
      <c r="O1403" s="10">
        <v>12</v>
      </c>
      <c r="P1403" s="11">
        <v>45371</v>
      </c>
      <c r="Q1403" s="10" t="s">
        <v>33</v>
      </c>
      <c r="R1403" s="10" t="s">
        <v>33</v>
      </c>
      <c r="S1403" s="10" t="s">
        <v>60</v>
      </c>
      <c r="T1403" s="13">
        <v>5.9886999999999997</v>
      </c>
      <c r="U1403" s="14">
        <v>332</v>
      </c>
      <c r="V1403" s="14">
        <v>2024</v>
      </c>
      <c r="W1403" s="10" t="s">
        <v>77</v>
      </c>
    </row>
    <row r="1404" spans="1:23" s="9" customFormat="1" ht="15.75" hidden="1" customHeight="1" x14ac:dyDescent="0.25">
      <c r="A1404" s="4" t="s">
        <v>4270</v>
      </c>
      <c r="B1404" s="4" t="s">
        <v>4271</v>
      </c>
      <c r="C1404" s="4" t="s">
        <v>4272</v>
      </c>
      <c r="D1404" s="21" t="s">
        <v>6086</v>
      </c>
      <c r="E1404" s="4" t="s">
        <v>87</v>
      </c>
      <c r="F1404" s="4" t="s">
        <v>71</v>
      </c>
      <c r="G1404" s="4" t="s">
        <v>28</v>
      </c>
      <c r="H1404" s="4" t="s">
        <v>72</v>
      </c>
      <c r="I1404" s="5">
        <v>45163</v>
      </c>
      <c r="J1404" s="4" t="s">
        <v>40</v>
      </c>
      <c r="K1404" s="5">
        <v>45476</v>
      </c>
      <c r="L1404" s="4" t="s">
        <v>59</v>
      </c>
      <c r="M1404" s="6">
        <v>51448</v>
      </c>
      <c r="N1404" s="6">
        <v>5191</v>
      </c>
      <c r="O1404" s="4">
        <v>29</v>
      </c>
      <c r="P1404" s="5">
        <v>45505</v>
      </c>
      <c r="Q1404" s="4" t="s">
        <v>33</v>
      </c>
      <c r="R1404" s="4" t="s">
        <v>33</v>
      </c>
      <c r="S1404" s="4" t="s">
        <v>34</v>
      </c>
      <c r="T1404" s="7">
        <v>9.9109999999999996</v>
      </c>
      <c r="U1404" s="8">
        <v>313</v>
      </c>
      <c r="V1404" s="8">
        <v>2024</v>
      </c>
      <c r="W1404" s="4" t="s">
        <v>42</v>
      </c>
    </row>
    <row r="1405" spans="1:23" s="9" customFormat="1" ht="15.75" hidden="1" customHeight="1" x14ac:dyDescent="0.25">
      <c r="A1405" s="10" t="s">
        <v>4273</v>
      </c>
      <c r="B1405" s="10" t="s">
        <v>4274</v>
      </c>
      <c r="C1405" s="10" t="s">
        <v>4275</v>
      </c>
      <c r="D1405" s="22" t="s">
        <v>6087</v>
      </c>
      <c r="E1405" s="10" t="s">
        <v>87</v>
      </c>
      <c r="F1405" s="10" t="s">
        <v>71</v>
      </c>
      <c r="G1405" s="10" t="s">
        <v>57</v>
      </c>
      <c r="H1405" s="10" t="s">
        <v>118</v>
      </c>
      <c r="I1405" s="11">
        <v>45135</v>
      </c>
      <c r="J1405" s="10" t="s">
        <v>30</v>
      </c>
      <c r="K1405" s="11">
        <v>45423</v>
      </c>
      <c r="L1405" s="10" t="s">
        <v>66</v>
      </c>
      <c r="M1405" s="12">
        <v>37351</v>
      </c>
      <c r="N1405" s="12">
        <v>905</v>
      </c>
      <c r="O1405" s="10" t="s">
        <v>32</v>
      </c>
      <c r="P1405" s="10" t="s">
        <v>32</v>
      </c>
      <c r="Q1405" s="10" t="s">
        <v>33</v>
      </c>
      <c r="R1405" s="10" t="s">
        <v>33</v>
      </c>
      <c r="S1405" s="10" t="s">
        <v>34</v>
      </c>
      <c r="T1405" s="13">
        <v>41.271799999999999</v>
      </c>
      <c r="U1405" s="14">
        <v>288</v>
      </c>
      <c r="V1405" s="14">
        <v>2024</v>
      </c>
      <c r="W1405" s="10" t="s">
        <v>52</v>
      </c>
    </row>
    <row r="1406" spans="1:23" s="9" customFormat="1" ht="15.75" hidden="1" customHeight="1" x14ac:dyDescent="0.25">
      <c r="A1406" s="4" t="s">
        <v>4276</v>
      </c>
      <c r="B1406" s="4" t="s">
        <v>4277</v>
      </c>
      <c r="C1406" s="4" t="s">
        <v>4278</v>
      </c>
      <c r="D1406" s="21" t="s">
        <v>6089</v>
      </c>
      <c r="E1406" s="4" t="s">
        <v>87</v>
      </c>
      <c r="F1406" s="4" t="s">
        <v>56</v>
      </c>
      <c r="G1406" s="4" t="s">
        <v>5</v>
      </c>
      <c r="H1406" s="4" t="s">
        <v>72</v>
      </c>
      <c r="I1406" s="5">
        <v>45125</v>
      </c>
      <c r="J1406" s="4" t="s">
        <v>40</v>
      </c>
      <c r="K1406" s="5">
        <v>45296</v>
      </c>
      <c r="L1406" s="4" t="s">
        <v>59</v>
      </c>
      <c r="M1406" s="6">
        <v>60483</v>
      </c>
      <c r="N1406" s="6">
        <v>2743</v>
      </c>
      <c r="O1406" s="4">
        <v>41</v>
      </c>
      <c r="P1406" s="5">
        <v>45337</v>
      </c>
      <c r="Q1406" s="4" t="s">
        <v>94</v>
      </c>
      <c r="R1406" s="4" t="s">
        <v>94</v>
      </c>
      <c r="S1406" s="4" t="s">
        <v>34</v>
      </c>
      <c r="T1406" s="7">
        <v>22.049900000000001</v>
      </c>
      <c r="U1406" s="8">
        <v>171</v>
      </c>
      <c r="V1406" s="8">
        <v>2024</v>
      </c>
      <c r="W1406" s="4" t="s">
        <v>73</v>
      </c>
    </row>
    <row r="1407" spans="1:23" s="9" customFormat="1" ht="15.75" hidden="1" customHeight="1" x14ac:dyDescent="0.25">
      <c r="A1407" s="10" t="s">
        <v>4279</v>
      </c>
      <c r="B1407" s="10" t="s">
        <v>4280</v>
      </c>
      <c r="C1407" s="10" t="s">
        <v>4281</v>
      </c>
      <c r="D1407" s="22" t="s">
        <v>6090</v>
      </c>
      <c r="E1407" s="10" t="s">
        <v>51</v>
      </c>
      <c r="F1407" s="10" t="s">
        <v>71</v>
      </c>
      <c r="G1407" s="10" t="s">
        <v>5</v>
      </c>
      <c r="H1407" s="10" t="s">
        <v>58</v>
      </c>
      <c r="I1407" s="11">
        <v>45051</v>
      </c>
      <c r="J1407" s="10" t="s">
        <v>40</v>
      </c>
      <c r="K1407" s="11">
        <v>45394</v>
      </c>
      <c r="L1407" s="10" t="s">
        <v>59</v>
      </c>
      <c r="M1407" s="12">
        <v>15315</v>
      </c>
      <c r="N1407" s="12">
        <v>1312</v>
      </c>
      <c r="O1407" s="10">
        <v>21</v>
      </c>
      <c r="P1407" s="11">
        <v>45415</v>
      </c>
      <c r="Q1407" s="10" t="s">
        <v>33</v>
      </c>
      <c r="R1407" s="10" t="s">
        <v>33</v>
      </c>
      <c r="S1407" s="10" t="s">
        <v>34</v>
      </c>
      <c r="T1407" s="13">
        <v>11.673</v>
      </c>
      <c r="U1407" s="14">
        <v>343</v>
      </c>
      <c r="V1407" s="14">
        <v>2024</v>
      </c>
      <c r="W1407" s="10" t="s">
        <v>47</v>
      </c>
    </row>
    <row r="1408" spans="1:23" s="9" customFormat="1" ht="15.75" hidden="1" customHeight="1" x14ac:dyDescent="0.25">
      <c r="A1408" s="4" t="s">
        <v>4282</v>
      </c>
      <c r="B1408" s="4" t="s">
        <v>4283</v>
      </c>
      <c r="C1408" s="4" t="s">
        <v>4284</v>
      </c>
      <c r="D1408" s="22" t="s">
        <v>6087</v>
      </c>
      <c r="E1408" s="4" t="s">
        <v>26</v>
      </c>
      <c r="F1408" s="4" t="s">
        <v>65</v>
      </c>
      <c r="G1408" s="4" t="s">
        <v>5</v>
      </c>
      <c r="H1408" s="4" t="s">
        <v>118</v>
      </c>
      <c r="I1408" s="5">
        <v>45379</v>
      </c>
      <c r="J1408" s="4" t="s">
        <v>30</v>
      </c>
      <c r="K1408" s="5">
        <v>45450</v>
      </c>
      <c r="L1408" s="4" t="s">
        <v>59</v>
      </c>
      <c r="M1408" s="6">
        <v>4919</v>
      </c>
      <c r="N1408" s="6">
        <v>5165</v>
      </c>
      <c r="O1408" s="4">
        <v>22</v>
      </c>
      <c r="P1408" s="5">
        <v>45472</v>
      </c>
      <c r="Q1408" s="4" t="s">
        <v>33</v>
      </c>
      <c r="R1408" s="4" t="s">
        <v>33</v>
      </c>
      <c r="S1408" s="4" t="s">
        <v>60</v>
      </c>
      <c r="T1408" s="7">
        <v>0.95240000000000002</v>
      </c>
      <c r="U1408" s="8">
        <v>71</v>
      </c>
      <c r="V1408" s="8">
        <v>2024</v>
      </c>
      <c r="W1408" s="4" t="s">
        <v>67</v>
      </c>
    </row>
    <row r="1409" spans="1:23" s="9" customFormat="1" ht="15.75" hidden="1" customHeight="1" x14ac:dyDescent="0.25">
      <c r="A1409" s="10" t="s">
        <v>4285</v>
      </c>
      <c r="B1409" s="10" t="s">
        <v>4286</v>
      </c>
      <c r="C1409" s="10" t="s">
        <v>4287</v>
      </c>
      <c r="D1409" s="22" t="s">
        <v>6090</v>
      </c>
      <c r="E1409" s="10" t="s">
        <v>26</v>
      </c>
      <c r="F1409" s="10" t="s">
        <v>56</v>
      </c>
      <c r="G1409" s="10" t="s">
        <v>5</v>
      </c>
      <c r="H1409" s="10" t="s">
        <v>39</v>
      </c>
      <c r="I1409" s="11">
        <v>45354</v>
      </c>
      <c r="J1409" s="10" t="s">
        <v>40</v>
      </c>
      <c r="K1409" s="11">
        <v>45640</v>
      </c>
      <c r="L1409" s="10" t="s">
        <v>66</v>
      </c>
      <c r="M1409" s="12">
        <v>54963</v>
      </c>
      <c r="N1409" s="12">
        <v>4757</v>
      </c>
      <c r="O1409" s="10" t="s">
        <v>32</v>
      </c>
      <c r="P1409" s="10" t="s">
        <v>32</v>
      </c>
      <c r="Q1409" s="10" t="s">
        <v>94</v>
      </c>
      <c r="R1409" s="10" t="s">
        <v>94</v>
      </c>
      <c r="S1409" s="10" t="s">
        <v>60</v>
      </c>
      <c r="T1409" s="13">
        <v>11.5541</v>
      </c>
      <c r="U1409" s="14">
        <v>286</v>
      </c>
      <c r="V1409" s="14">
        <v>2024</v>
      </c>
      <c r="W1409" s="10" t="s">
        <v>89</v>
      </c>
    </row>
    <row r="1410" spans="1:23" s="9" customFormat="1" ht="15.75" hidden="1" customHeight="1" x14ac:dyDescent="0.25">
      <c r="A1410" s="4" t="s">
        <v>4288</v>
      </c>
      <c r="B1410" s="4" t="s">
        <v>4289</v>
      </c>
      <c r="C1410" s="4" t="s">
        <v>4290</v>
      </c>
      <c r="D1410" s="22" t="s">
        <v>6087</v>
      </c>
      <c r="E1410" s="4" t="s">
        <v>87</v>
      </c>
      <c r="F1410" s="4" t="s">
        <v>27</v>
      </c>
      <c r="G1410" s="4" t="s">
        <v>28</v>
      </c>
      <c r="H1410" s="4" t="s">
        <v>58</v>
      </c>
      <c r="I1410" s="5">
        <v>45036</v>
      </c>
      <c r="J1410" s="4" t="s">
        <v>40</v>
      </c>
      <c r="K1410" s="5">
        <v>45392</v>
      </c>
      <c r="L1410" s="4" t="s">
        <v>31</v>
      </c>
      <c r="M1410" s="6">
        <v>8484</v>
      </c>
      <c r="N1410" s="6">
        <v>7091</v>
      </c>
      <c r="O1410" s="4" t="s">
        <v>32</v>
      </c>
      <c r="P1410" s="4" t="s">
        <v>32</v>
      </c>
      <c r="Q1410" s="4" t="s">
        <v>33</v>
      </c>
      <c r="R1410" s="4" t="s">
        <v>33</v>
      </c>
      <c r="S1410" s="4" t="s">
        <v>60</v>
      </c>
      <c r="T1410" s="7">
        <v>1.1963999999999999</v>
      </c>
      <c r="U1410" s="8">
        <v>356</v>
      </c>
      <c r="V1410" s="8">
        <v>2024</v>
      </c>
      <c r="W1410" s="4" t="s">
        <v>47</v>
      </c>
    </row>
    <row r="1411" spans="1:23" s="9" customFormat="1" ht="15.75" hidden="1" customHeight="1" x14ac:dyDescent="0.25">
      <c r="A1411" s="10" t="s">
        <v>4291</v>
      </c>
      <c r="B1411" s="10" t="s">
        <v>4292</v>
      </c>
      <c r="C1411" s="10" t="s">
        <v>4293</v>
      </c>
      <c r="D1411" s="22" t="s">
        <v>6087</v>
      </c>
      <c r="E1411" s="10" t="s">
        <v>26</v>
      </c>
      <c r="F1411" s="10" t="s">
        <v>27</v>
      </c>
      <c r="G1411" s="10" t="s">
        <v>5</v>
      </c>
      <c r="H1411" s="10" t="s">
        <v>161</v>
      </c>
      <c r="I1411" s="11">
        <v>45109</v>
      </c>
      <c r="J1411" s="10" t="s">
        <v>40</v>
      </c>
      <c r="K1411" s="11">
        <v>45309</v>
      </c>
      <c r="L1411" s="10" t="s">
        <v>59</v>
      </c>
      <c r="M1411" s="12">
        <v>3997</v>
      </c>
      <c r="N1411" s="12">
        <v>4169</v>
      </c>
      <c r="O1411" s="10">
        <v>2</v>
      </c>
      <c r="P1411" s="11">
        <v>45311</v>
      </c>
      <c r="Q1411" s="10" t="s">
        <v>33</v>
      </c>
      <c r="R1411" s="10" t="s">
        <v>33</v>
      </c>
      <c r="S1411" s="10" t="s">
        <v>60</v>
      </c>
      <c r="T1411" s="13">
        <v>0.9587</v>
      </c>
      <c r="U1411" s="14">
        <v>200</v>
      </c>
      <c r="V1411" s="14">
        <v>2024</v>
      </c>
      <c r="W1411" s="10" t="s">
        <v>73</v>
      </c>
    </row>
    <row r="1412" spans="1:23" s="9" customFormat="1" ht="15.75" hidden="1" customHeight="1" x14ac:dyDescent="0.25">
      <c r="A1412" s="4" t="s">
        <v>4294</v>
      </c>
      <c r="B1412" s="4" t="s">
        <v>4295</v>
      </c>
      <c r="C1412" s="4" t="s">
        <v>4296</v>
      </c>
      <c r="D1412" s="22" t="s">
        <v>6087</v>
      </c>
      <c r="E1412" s="4" t="s">
        <v>87</v>
      </c>
      <c r="F1412" s="4" t="s">
        <v>27</v>
      </c>
      <c r="G1412" s="4" t="s">
        <v>5</v>
      </c>
      <c r="H1412" s="4" t="s">
        <v>118</v>
      </c>
      <c r="I1412" s="5">
        <v>45053</v>
      </c>
      <c r="J1412" s="4" t="s">
        <v>40</v>
      </c>
      <c r="K1412" s="5">
        <v>45329</v>
      </c>
      <c r="L1412" s="4" t="s">
        <v>59</v>
      </c>
      <c r="M1412" s="6">
        <v>4616</v>
      </c>
      <c r="N1412" s="6">
        <v>4564</v>
      </c>
      <c r="O1412" s="4">
        <v>22</v>
      </c>
      <c r="P1412" s="5">
        <v>45351</v>
      </c>
      <c r="Q1412" s="4" t="s">
        <v>33</v>
      </c>
      <c r="R1412" s="4" t="s">
        <v>33</v>
      </c>
      <c r="S1412" s="4" t="s">
        <v>41</v>
      </c>
      <c r="T1412" s="7">
        <v>1.0114000000000001</v>
      </c>
      <c r="U1412" s="8">
        <v>276</v>
      </c>
      <c r="V1412" s="8">
        <v>2024</v>
      </c>
      <c r="W1412" s="4" t="s">
        <v>35</v>
      </c>
    </row>
    <row r="1413" spans="1:23" s="9" customFormat="1" ht="15.75" hidden="1" customHeight="1" x14ac:dyDescent="0.25">
      <c r="A1413" s="10" t="s">
        <v>4297</v>
      </c>
      <c r="B1413" s="10" t="s">
        <v>4298</v>
      </c>
      <c r="C1413" s="10" t="s">
        <v>4299</v>
      </c>
      <c r="D1413" s="21" t="s">
        <v>6091</v>
      </c>
      <c r="E1413" s="10" t="s">
        <v>87</v>
      </c>
      <c r="F1413" s="10" t="s">
        <v>65</v>
      </c>
      <c r="G1413" s="10" t="s">
        <v>5</v>
      </c>
      <c r="H1413" s="10" t="s">
        <v>29</v>
      </c>
      <c r="I1413" s="11">
        <v>45240</v>
      </c>
      <c r="J1413" s="10" t="s">
        <v>30</v>
      </c>
      <c r="K1413" s="11">
        <v>45466</v>
      </c>
      <c r="L1413" s="10" t="s">
        <v>59</v>
      </c>
      <c r="M1413" s="12">
        <v>16111</v>
      </c>
      <c r="N1413" s="12">
        <v>8466</v>
      </c>
      <c r="O1413" s="10">
        <v>44</v>
      </c>
      <c r="P1413" s="11">
        <v>45510</v>
      </c>
      <c r="Q1413" s="10" t="s">
        <v>33</v>
      </c>
      <c r="R1413" s="10" t="s">
        <v>33</v>
      </c>
      <c r="S1413" s="10" t="s">
        <v>34</v>
      </c>
      <c r="T1413" s="13">
        <v>1.903</v>
      </c>
      <c r="U1413" s="14">
        <v>226</v>
      </c>
      <c r="V1413" s="14">
        <v>2024</v>
      </c>
      <c r="W1413" s="10" t="s">
        <v>67</v>
      </c>
    </row>
    <row r="1414" spans="1:23" s="9" customFormat="1" ht="15.75" hidden="1" customHeight="1" x14ac:dyDescent="0.25">
      <c r="A1414" s="4" t="s">
        <v>4300</v>
      </c>
      <c r="B1414" s="4" t="s">
        <v>4301</v>
      </c>
      <c r="C1414" s="4" t="s">
        <v>4302</v>
      </c>
      <c r="D1414" s="22" t="s">
        <v>6090</v>
      </c>
      <c r="E1414" s="4" t="s">
        <v>87</v>
      </c>
      <c r="F1414" s="4" t="s">
        <v>27</v>
      </c>
      <c r="G1414" s="4" t="s">
        <v>57</v>
      </c>
      <c r="H1414" s="4" t="s">
        <v>39</v>
      </c>
      <c r="I1414" s="5">
        <v>45221</v>
      </c>
      <c r="J1414" s="4" t="s">
        <v>40</v>
      </c>
      <c r="K1414" s="5">
        <v>45553</v>
      </c>
      <c r="L1414" s="4" t="s">
        <v>59</v>
      </c>
      <c r="M1414" s="6">
        <v>57663</v>
      </c>
      <c r="N1414" s="6">
        <v>7475</v>
      </c>
      <c r="O1414" s="4">
        <v>11</v>
      </c>
      <c r="P1414" s="5">
        <v>45564</v>
      </c>
      <c r="Q1414" s="4" t="s">
        <v>33</v>
      </c>
      <c r="R1414" s="4" t="s">
        <v>33</v>
      </c>
      <c r="S1414" s="4" t="s">
        <v>60</v>
      </c>
      <c r="T1414" s="7">
        <v>7.7141000000000002</v>
      </c>
      <c r="U1414" s="8">
        <v>332</v>
      </c>
      <c r="V1414" s="8">
        <v>2024</v>
      </c>
      <c r="W1414" s="4" t="s">
        <v>168</v>
      </c>
    </row>
    <row r="1415" spans="1:23" s="9" customFormat="1" ht="15.75" hidden="1" customHeight="1" x14ac:dyDescent="0.25">
      <c r="A1415" s="10" t="s">
        <v>4303</v>
      </c>
      <c r="B1415" s="10" t="s">
        <v>4304</v>
      </c>
      <c r="C1415" s="10" t="s">
        <v>4305</v>
      </c>
      <c r="D1415" s="21" t="s">
        <v>6086</v>
      </c>
      <c r="E1415" s="10" t="s">
        <v>51</v>
      </c>
      <c r="F1415" s="21" t="s">
        <v>6092</v>
      </c>
      <c r="G1415" s="10" t="s">
        <v>57</v>
      </c>
      <c r="H1415" s="10" t="s">
        <v>88</v>
      </c>
      <c r="I1415" s="11">
        <v>45350</v>
      </c>
      <c r="J1415" s="10" t="s">
        <v>40</v>
      </c>
      <c r="K1415" s="11">
        <v>45591</v>
      </c>
      <c r="L1415" s="10" t="s">
        <v>59</v>
      </c>
      <c r="M1415" s="12">
        <v>27461</v>
      </c>
      <c r="N1415" s="12">
        <v>3728</v>
      </c>
      <c r="O1415" s="10">
        <v>18</v>
      </c>
      <c r="P1415" s="11">
        <v>45609</v>
      </c>
      <c r="Q1415" s="10" t="s">
        <v>33</v>
      </c>
      <c r="R1415" s="10" t="s">
        <v>33</v>
      </c>
      <c r="S1415" s="10" t="s">
        <v>34</v>
      </c>
      <c r="T1415" s="13">
        <v>7.3661000000000003</v>
      </c>
      <c r="U1415" s="14">
        <v>241</v>
      </c>
      <c r="V1415" s="14">
        <v>2024</v>
      </c>
      <c r="W1415" s="10" t="s">
        <v>95</v>
      </c>
    </row>
    <row r="1416" spans="1:23" s="9" customFormat="1" ht="15.75" hidden="1" customHeight="1" x14ac:dyDescent="0.25">
      <c r="A1416" s="4" t="s">
        <v>4306</v>
      </c>
      <c r="B1416" s="4" t="s">
        <v>4307</v>
      </c>
      <c r="C1416" s="4" t="s">
        <v>4308</v>
      </c>
      <c r="D1416" s="21" t="s">
        <v>6086</v>
      </c>
      <c r="E1416" s="4" t="s">
        <v>51</v>
      </c>
      <c r="F1416" s="4" t="s">
        <v>27</v>
      </c>
      <c r="G1416" s="4" t="s">
        <v>28</v>
      </c>
      <c r="H1416" s="4" t="s">
        <v>58</v>
      </c>
      <c r="I1416" s="5">
        <v>44982</v>
      </c>
      <c r="J1416" s="4" t="s">
        <v>40</v>
      </c>
      <c r="K1416" s="5">
        <v>45302</v>
      </c>
      <c r="L1416" s="4" t="s">
        <v>59</v>
      </c>
      <c r="M1416" s="6">
        <v>87839</v>
      </c>
      <c r="N1416" s="6">
        <v>2053</v>
      </c>
      <c r="O1416" s="4">
        <v>30</v>
      </c>
      <c r="P1416" s="5">
        <v>45332</v>
      </c>
      <c r="Q1416" s="4" t="s">
        <v>33</v>
      </c>
      <c r="R1416" s="4" t="s">
        <v>33</v>
      </c>
      <c r="S1416" s="4" t="s">
        <v>60</v>
      </c>
      <c r="T1416" s="7">
        <v>42.785699999999999</v>
      </c>
      <c r="U1416" s="8">
        <v>320</v>
      </c>
      <c r="V1416" s="8">
        <v>2024</v>
      </c>
      <c r="W1416" s="4" t="s">
        <v>73</v>
      </c>
    </row>
    <row r="1417" spans="1:23" s="9" customFormat="1" ht="15.75" hidden="1" customHeight="1" x14ac:dyDescent="0.25">
      <c r="A1417" s="10" t="s">
        <v>4309</v>
      </c>
      <c r="B1417" s="10" t="s">
        <v>4310</v>
      </c>
      <c r="C1417" s="10" t="s">
        <v>4311</v>
      </c>
      <c r="D1417" s="21" t="s">
        <v>6086</v>
      </c>
      <c r="E1417" s="10" t="s">
        <v>51</v>
      </c>
      <c r="F1417" s="21" t="s">
        <v>6092</v>
      </c>
      <c r="G1417" s="10" t="s">
        <v>57</v>
      </c>
      <c r="H1417" s="10" t="s">
        <v>88</v>
      </c>
      <c r="I1417" s="11">
        <v>45117</v>
      </c>
      <c r="J1417" s="10" t="s">
        <v>30</v>
      </c>
      <c r="K1417" s="11">
        <v>45399</v>
      </c>
      <c r="L1417" s="10" t="s">
        <v>59</v>
      </c>
      <c r="M1417" s="12">
        <v>54224</v>
      </c>
      <c r="N1417" s="12">
        <v>2604</v>
      </c>
      <c r="O1417" s="10">
        <v>2</v>
      </c>
      <c r="P1417" s="11">
        <v>45401</v>
      </c>
      <c r="Q1417" s="10" t="s">
        <v>33</v>
      </c>
      <c r="R1417" s="10" t="s">
        <v>33</v>
      </c>
      <c r="S1417" s="10" t="s">
        <v>41</v>
      </c>
      <c r="T1417" s="13">
        <v>20.8233</v>
      </c>
      <c r="U1417" s="14">
        <v>282</v>
      </c>
      <c r="V1417" s="14">
        <v>2024</v>
      </c>
      <c r="W1417" s="10" t="s">
        <v>47</v>
      </c>
    </row>
    <row r="1418" spans="1:23" s="9" customFormat="1" ht="15.75" hidden="1" customHeight="1" x14ac:dyDescent="0.25">
      <c r="A1418" s="4" t="s">
        <v>4312</v>
      </c>
      <c r="B1418" s="4" t="s">
        <v>4313</v>
      </c>
      <c r="C1418" s="4" t="s">
        <v>4314</v>
      </c>
      <c r="D1418" s="22" t="s">
        <v>6090</v>
      </c>
      <c r="E1418" s="4" t="s">
        <v>51</v>
      </c>
      <c r="F1418" s="21" t="s">
        <v>6092</v>
      </c>
      <c r="G1418" s="4" t="s">
        <v>28</v>
      </c>
      <c r="H1418" s="4" t="s">
        <v>88</v>
      </c>
      <c r="I1418" s="5">
        <v>45119</v>
      </c>
      <c r="J1418" s="4" t="s">
        <v>40</v>
      </c>
      <c r="K1418" s="5">
        <v>45430</v>
      </c>
      <c r="L1418" s="4" t="s">
        <v>59</v>
      </c>
      <c r="M1418" s="6">
        <v>47865</v>
      </c>
      <c r="N1418" s="6">
        <v>5708</v>
      </c>
      <c r="O1418" s="4">
        <v>24</v>
      </c>
      <c r="P1418" s="5">
        <v>45454</v>
      </c>
      <c r="Q1418" s="4" t="s">
        <v>33</v>
      </c>
      <c r="R1418" s="4" t="s">
        <v>33</v>
      </c>
      <c r="S1418" s="4" t="s">
        <v>41</v>
      </c>
      <c r="T1418" s="7">
        <v>8.3856000000000002</v>
      </c>
      <c r="U1418" s="8">
        <v>311</v>
      </c>
      <c r="V1418" s="8">
        <v>2024</v>
      </c>
      <c r="W1418" s="4" t="s">
        <v>52</v>
      </c>
    </row>
    <row r="1419" spans="1:23" s="9" customFormat="1" ht="15.75" hidden="1" customHeight="1" x14ac:dyDescent="0.25">
      <c r="A1419" s="10" t="s">
        <v>4315</v>
      </c>
      <c r="B1419" s="10" t="s">
        <v>4316</v>
      </c>
      <c r="C1419" s="10" t="s">
        <v>4317</v>
      </c>
      <c r="D1419" s="22" t="s">
        <v>6090</v>
      </c>
      <c r="E1419" s="10" t="s">
        <v>87</v>
      </c>
      <c r="F1419" s="10" t="s">
        <v>71</v>
      </c>
      <c r="G1419" s="10" t="s">
        <v>28</v>
      </c>
      <c r="H1419" s="10" t="s">
        <v>39</v>
      </c>
      <c r="I1419" s="11">
        <v>45197</v>
      </c>
      <c r="J1419" s="10" t="s">
        <v>30</v>
      </c>
      <c r="K1419" s="11">
        <v>45295</v>
      </c>
      <c r="L1419" s="10" t="s">
        <v>59</v>
      </c>
      <c r="M1419" s="12">
        <v>11098</v>
      </c>
      <c r="N1419" s="12">
        <v>5383</v>
      </c>
      <c r="O1419" s="10">
        <v>34</v>
      </c>
      <c r="P1419" s="11">
        <v>45329</v>
      </c>
      <c r="Q1419" s="10" t="s">
        <v>33</v>
      </c>
      <c r="R1419" s="10" t="s">
        <v>33</v>
      </c>
      <c r="S1419" s="10" t="s">
        <v>41</v>
      </c>
      <c r="T1419" s="13">
        <v>2.0617000000000001</v>
      </c>
      <c r="U1419" s="14">
        <v>98</v>
      </c>
      <c r="V1419" s="14">
        <v>2024</v>
      </c>
      <c r="W1419" s="10" t="s">
        <v>73</v>
      </c>
    </row>
    <row r="1420" spans="1:23" s="9" customFormat="1" ht="15.75" hidden="1" customHeight="1" x14ac:dyDescent="0.25">
      <c r="A1420" s="4" t="s">
        <v>4318</v>
      </c>
      <c r="B1420" s="4" t="s">
        <v>4319</v>
      </c>
      <c r="C1420" s="4" t="s">
        <v>4320</v>
      </c>
      <c r="D1420" s="21" t="s">
        <v>6088</v>
      </c>
      <c r="E1420" s="4" t="s">
        <v>26</v>
      </c>
      <c r="F1420" s="4" t="s">
        <v>56</v>
      </c>
      <c r="G1420" s="4" t="s">
        <v>5</v>
      </c>
      <c r="H1420" s="4" t="s">
        <v>29</v>
      </c>
      <c r="I1420" s="5">
        <v>45435</v>
      </c>
      <c r="J1420" s="4" t="s">
        <v>40</v>
      </c>
      <c r="K1420" s="5">
        <v>45594</v>
      </c>
      <c r="L1420" s="4" t="s">
        <v>59</v>
      </c>
      <c r="M1420" s="6">
        <v>34420</v>
      </c>
      <c r="N1420" s="6">
        <v>3689</v>
      </c>
      <c r="O1420" s="4">
        <v>6</v>
      </c>
      <c r="P1420" s="5">
        <v>45600</v>
      </c>
      <c r="Q1420" s="4" t="s">
        <v>33</v>
      </c>
      <c r="R1420" s="4" t="s">
        <v>33</v>
      </c>
      <c r="S1420" s="4" t="s">
        <v>34</v>
      </c>
      <c r="T1420" s="7">
        <v>9.3303999999999991</v>
      </c>
      <c r="U1420" s="8">
        <v>159</v>
      </c>
      <c r="V1420" s="8">
        <v>2024</v>
      </c>
      <c r="W1420" s="4" t="s">
        <v>95</v>
      </c>
    </row>
    <row r="1421" spans="1:23" s="9" customFormat="1" ht="15.75" hidden="1" customHeight="1" x14ac:dyDescent="0.25">
      <c r="A1421" s="10" t="s">
        <v>4321</v>
      </c>
      <c r="B1421" s="10" t="s">
        <v>4322</v>
      </c>
      <c r="C1421" s="10" t="s">
        <v>4323</v>
      </c>
      <c r="D1421" s="22" t="s">
        <v>6090</v>
      </c>
      <c r="E1421" s="10" t="s">
        <v>26</v>
      </c>
      <c r="F1421" s="10" t="s">
        <v>56</v>
      </c>
      <c r="G1421" s="10" t="s">
        <v>57</v>
      </c>
      <c r="H1421" s="10" t="s">
        <v>58</v>
      </c>
      <c r="I1421" s="11">
        <v>45597</v>
      </c>
      <c r="J1421" s="10" t="s">
        <v>30</v>
      </c>
      <c r="K1421" s="11">
        <v>45657</v>
      </c>
      <c r="L1421" s="10" t="s">
        <v>66</v>
      </c>
      <c r="M1421" s="12">
        <v>50430</v>
      </c>
      <c r="N1421" s="12">
        <v>6493</v>
      </c>
      <c r="O1421" s="10" t="s">
        <v>32</v>
      </c>
      <c r="P1421" s="10" t="s">
        <v>32</v>
      </c>
      <c r="Q1421" s="10" t="s">
        <v>33</v>
      </c>
      <c r="R1421" s="10" t="s">
        <v>33</v>
      </c>
      <c r="S1421" s="10" t="s">
        <v>34</v>
      </c>
      <c r="T1421" s="13">
        <v>7.7667999999999999</v>
      </c>
      <c r="U1421" s="14">
        <v>60</v>
      </c>
      <c r="V1421" s="14">
        <v>2024</v>
      </c>
      <c r="W1421" s="10" t="s">
        <v>89</v>
      </c>
    </row>
    <row r="1422" spans="1:23" s="9" customFormat="1" ht="15.75" hidden="1" customHeight="1" x14ac:dyDescent="0.25">
      <c r="A1422" s="4" t="s">
        <v>4324</v>
      </c>
      <c r="B1422" s="4" t="s">
        <v>4325</v>
      </c>
      <c r="C1422" s="4" t="s">
        <v>4326</v>
      </c>
      <c r="D1422" s="21" t="s">
        <v>6086</v>
      </c>
      <c r="E1422" s="4" t="s">
        <v>26</v>
      </c>
      <c r="F1422" s="4" t="s">
        <v>56</v>
      </c>
      <c r="G1422" s="4" t="s">
        <v>57</v>
      </c>
      <c r="H1422" s="4" t="s">
        <v>118</v>
      </c>
      <c r="I1422" s="5">
        <v>45226</v>
      </c>
      <c r="J1422" s="4" t="s">
        <v>40</v>
      </c>
      <c r="K1422" s="5">
        <v>45378</v>
      </c>
      <c r="L1422" s="4" t="s">
        <v>59</v>
      </c>
      <c r="M1422" s="6">
        <v>98961</v>
      </c>
      <c r="N1422" s="6">
        <v>6437</v>
      </c>
      <c r="O1422" s="4">
        <v>7</v>
      </c>
      <c r="P1422" s="5">
        <v>45385</v>
      </c>
      <c r="Q1422" s="4" t="s">
        <v>33</v>
      </c>
      <c r="R1422" s="4" t="s">
        <v>33</v>
      </c>
      <c r="S1422" s="4" t="s">
        <v>34</v>
      </c>
      <c r="T1422" s="7">
        <v>15.373799999999999</v>
      </c>
      <c r="U1422" s="8">
        <v>152</v>
      </c>
      <c r="V1422" s="8">
        <v>2024</v>
      </c>
      <c r="W1422" s="4" t="s">
        <v>77</v>
      </c>
    </row>
    <row r="1423" spans="1:23" s="9" customFormat="1" ht="15.75" hidden="1" customHeight="1" x14ac:dyDescent="0.25">
      <c r="A1423" s="10" t="s">
        <v>4327</v>
      </c>
      <c r="B1423" s="10" t="s">
        <v>4328</v>
      </c>
      <c r="C1423" s="10" t="s">
        <v>4329</v>
      </c>
      <c r="D1423" s="21" t="s">
        <v>6091</v>
      </c>
      <c r="E1423" s="10" t="s">
        <v>51</v>
      </c>
      <c r="F1423" s="10" t="s">
        <v>46</v>
      </c>
      <c r="G1423" s="10" t="s">
        <v>28</v>
      </c>
      <c r="H1423" s="10" t="s">
        <v>161</v>
      </c>
      <c r="I1423" s="11">
        <v>45190</v>
      </c>
      <c r="J1423" s="10" t="s">
        <v>40</v>
      </c>
      <c r="K1423" s="11">
        <v>45526</v>
      </c>
      <c r="L1423" s="10" t="s">
        <v>59</v>
      </c>
      <c r="M1423" s="12">
        <v>8382</v>
      </c>
      <c r="N1423" s="12">
        <v>1050</v>
      </c>
      <c r="O1423" s="10">
        <v>22</v>
      </c>
      <c r="P1423" s="11">
        <v>45548</v>
      </c>
      <c r="Q1423" s="10" t="s">
        <v>94</v>
      </c>
      <c r="R1423" s="10" t="s">
        <v>33</v>
      </c>
      <c r="S1423" s="10" t="s">
        <v>34</v>
      </c>
      <c r="T1423" s="13">
        <v>7.9828999999999999</v>
      </c>
      <c r="U1423" s="14">
        <v>336</v>
      </c>
      <c r="V1423" s="14">
        <v>2024</v>
      </c>
      <c r="W1423" s="10" t="s">
        <v>114</v>
      </c>
    </row>
    <row r="1424" spans="1:23" s="9" customFormat="1" ht="15.75" hidden="1" customHeight="1" x14ac:dyDescent="0.25">
      <c r="A1424" s="4" t="s">
        <v>4330</v>
      </c>
      <c r="B1424" s="4" t="s">
        <v>4331</v>
      </c>
      <c r="C1424" s="4" t="s">
        <v>4332</v>
      </c>
      <c r="D1424" s="21" t="s">
        <v>6086</v>
      </c>
      <c r="E1424" s="4" t="s">
        <v>87</v>
      </c>
      <c r="F1424" s="4" t="s">
        <v>46</v>
      </c>
      <c r="G1424" s="4" t="s">
        <v>28</v>
      </c>
      <c r="H1424" s="4" t="s">
        <v>72</v>
      </c>
      <c r="I1424" s="5">
        <v>45073</v>
      </c>
      <c r="J1424" s="4" t="s">
        <v>40</v>
      </c>
      <c r="K1424" s="5">
        <v>45295</v>
      </c>
      <c r="L1424" s="4" t="s">
        <v>59</v>
      </c>
      <c r="M1424" s="6">
        <v>52637</v>
      </c>
      <c r="N1424" s="6">
        <v>2335</v>
      </c>
      <c r="O1424" s="4">
        <v>34</v>
      </c>
      <c r="P1424" s="5">
        <v>45329</v>
      </c>
      <c r="Q1424" s="4" t="s">
        <v>33</v>
      </c>
      <c r="R1424" s="4" t="s">
        <v>33</v>
      </c>
      <c r="S1424" s="4" t="s">
        <v>41</v>
      </c>
      <c r="T1424" s="7">
        <v>22.5426</v>
      </c>
      <c r="U1424" s="8">
        <v>222</v>
      </c>
      <c r="V1424" s="8">
        <v>2024</v>
      </c>
      <c r="W1424" s="4" t="s">
        <v>73</v>
      </c>
    </row>
    <row r="1425" spans="1:23" s="9" customFormat="1" ht="15.75" hidden="1" customHeight="1" x14ac:dyDescent="0.25">
      <c r="A1425" s="10" t="s">
        <v>4333</v>
      </c>
      <c r="B1425" s="10" t="s">
        <v>4334</v>
      </c>
      <c r="C1425" s="10" t="s">
        <v>4335</v>
      </c>
      <c r="D1425" s="21" t="s">
        <v>6088</v>
      </c>
      <c r="E1425" s="10" t="s">
        <v>51</v>
      </c>
      <c r="F1425" s="10" t="s">
        <v>27</v>
      </c>
      <c r="G1425" s="10" t="s">
        <v>5</v>
      </c>
      <c r="H1425" s="10" t="s">
        <v>39</v>
      </c>
      <c r="I1425" s="11">
        <v>45536</v>
      </c>
      <c r="J1425" s="10" t="s">
        <v>40</v>
      </c>
      <c r="K1425" s="11">
        <v>45650</v>
      </c>
      <c r="L1425" s="10" t="s">
        <v>59</v>
      </c>
      <c r="M1425" s="12">
        <v>74459</v>
      </c>
      <c r="N1425" s="12">
        <v>556</v>
      </c>
      <c r="O1425" s="10">
        <v>28</v>
      </c>
      <c r="P1425" s="11">
        <v>45678</v>
      </c>
      <c r="Q1425" s="10" t="s">
        <v>33</v>
      </c>
      <c r="R1425" s="10" t="s">
        <v>33</v>
      </c>
      <c r="S1425" s="10" t="s">
        <v>34</v>
      </c>
      <c r="T1425" s="13">
        <v>133.91909999999999</v>
      </c>
      <c r="U1425" s="14">
        <v>114</v>
      </c>
      <c r="V1425" s="14">
        <v>2024</v>
      </c>
      <c r="W1425" s="10" t="s">
        <v>89</v>
      </c>
    </row>
    <row r="1426" spans="1:23" s="9" customFormat="1" ht="15.75" hidden="1" customHeight="1" x14ac:dyDescent="0.25">
      <c r="A1426" s="4" t="s">
        <v>4336</v>
      </c>
      <c r="B1426" s="4" t="s">
        <v>4337</v>
      </c>
      <c r="C1426" s="4" t="s">
        <v>4338</v>
      </c>
      <c r="D1426" s="22" t="s">
        <v>6090</v>
      </c>
      <c r="E1426" s="4" t="s">
        <v>26</v>
      </c>
      <c r="F1426" s="4" t="s">
        <v>56</v>
      </c>
      <c r="G1426" s="4" t="s">
        <v>57</v>
      </c>
      <c r="H1426" s="4" t="s">
        <v>29</v>
      </c>
      <c r="I1426" s="5">
        <v>45070</v>
      </c>
      <c r="J1426" s="4" t="s">
        <v>30</v>
      </c>
      <c r="K1426" s="5">
        <v>45401</v>
      </c>
      <c r="L1426" s="4" t="s">
        <v>59</v>
      </c>
      <c r="M1426" s="6">
        <v>46828</v>
      </c>
      <c r="N1426" s="6">
        <v>1285</v>
      </c>
      <c r="O1426" s="4">
        <v>19</v>
      </c>
      <c r="P1426" s="5">
        <v>45420</v>
      </c>
      <c r="Q1426" s="4" t="s">
        <v>33</v>
      </c>
      <c r="R1426" s="4" t="s">
        <v>33</v>
      </c>
      <c r="S1426" s="4" t="s">
        <v>60</v>
      </c>
      <c r="T1426" s="7">
        <v>36.442</v>
      </c>
      <c r="U1426" s="8">
        <v>331</v>
      </c>
      <c r="V1426" s="8">
        <v>2024</v>
      </c>
      <c r="W1426" s="4" t="s">
        <v>47</v>
      </c>
    </row>
    <row r="1427" spans="1:23" s="9" customFormat="1" ht="15.75" hidden="1" customHeight="1" x14ac:dyDescent="0.25">
      <c r="A1427" s="10" t="s">
        <v>4339</v>
      </c>
      <c r="B1427" s="10" t="s">
        <v>4340</v>
      </c>
      <c r="C1427" s="10" t="s">
        <v>4341</v>
      </c>
      <c r="D1427" s="21" t="s">
        <v>6086</v>
      </c>
      <c r="E1427" s="10" t="s">
        <v>26</v>
      </c>
      <c r="F1427" s="10" t="s">
        <v>46</v>
      </c>
      <c r="G1427" s="10" t="s">
        <v>57</v>
      </c>
      <c r="H1427" s="10" t="s">
        <v>72</v>
      </c>
      <c r="I1427" s="11">
        <v>45113</v>
      </c>
      <c r="J1427" s="10" t="s">
        <v>40</v>
      </c>
      <c r="K1427" s="11">
        <v>45421</v>
      </c>
      <c r="L1427" s="10" t="s">
        <v>59</v>
      </c>
      <c r="M1427" s="12">
        <v>24573</v>
      </c>
      <c r="N1427" s="12">
        <v>734</v>
      </c>
      <c r="O1427" s="10">
        <v>31</v>
      </c>
      <c r="P1427" s="11">
        <v>45452</v>
      </c>
      <c r="Q1427" s="10" t="s">
        <v>94</v>
      </c>
      <c r="R1427" s="10" t="s">
        <v>33</v>
      </c>
      <c r="S1427" s="10" t="s">
        <v>41</v>
      </c>
      <c r="T1427" s="13">
        <v>33.478200000000001</v>
      </c>
      <c r="U1427" s="14">
        <v>308</v>
      </c>
      <c r="V1427" s="14">
        <v>2024</v>
      </c>
      <c r="W1427" s="10" t="s">
        <v>52</v>
      </c>
    </row>
    <row r="1428" spans="1:23" s="9" customFormat="1" ht="15.75" hidden="1" customHeight="1" x14ac:dyDescent="0.25">
      <c r="A1428" s="4" t="s">
        <v>4342</v>
      </c>
      <c r="B1428" s="4" t="s">
        <v>4343</v>
      </c>
      <c r="C1428" s="4" t="s">
        <v>4344</v>
      </c>
      <c r="D1428" s="22" t="s">
        <v>6087</v>
      </c>
      <c r="E1428" s="4" t="s">
        <v>26</v>
      </c>
      <c r="F1428" s="4" t="s">
        <v>27</v>
      </c>
      <c r="G1428" s="4" t="s">
        <v>57</v>
      </c>
      <c r="H1428" s="4" t="s">
        <v>72</v>
      </c>
      <c r="I1428" s="5">
        <v>45439</v>
      </c>
      <c r="J1428" s="4" t="s">
        <v>40</v>
      </c>
      <c r="K1428" s="5">
        <v>45639</v>
      </c>
      <c r="L1428" s="4" t="s">
        <v>66</v>
      </c>
      <c r="M1428" s="6">
        <v>15439</v>
      </c>
      <c r="N1428" s="6">
        <v>1048</v>
      </c>
      <c r="O1428" s="4" t="s">
        <v>32</v>
      </c>
      <c r="P1428" s="4" t="s">
        <v>32</v>
      </c>
      <c r="Q1428" s="4" t="s">
        <v>33</v>
      </c>
      <c r="R1428" s="4" t="s">
        <v>33</v>
      </c>
      <c r="S1428" s="4" t="s">
        <v>41</v>
      </c>
      <c r="T1428" s="7">
        <v>14.7319</v>
      </c>
      <c r="U1428" s="8">
        <v>200</v>
      </c>
      <c r="V1428" s="8">
        <v>2024</v>
      </c>
      <c r="W1428" s="4" t="s">
        <v>89</v>
      </c>
    </row>
    <row r="1429" spans="1:23" s="9" customFormat="1" ht="15.75" hidden="1" customHeight="1" x14ac:dyDescent="0.25">
      <c r="A1429" s="10" t="s">
        <v>4345</v>
      </c>
      <c r="B1429" s="10" t="s">
        <v>4346</v>
      </c>
      <c r="C1429" s="10" t="s">
        <v>4347</v>
      </c>
      <c r="D1429" s="21" t="s">
        <v>6091</v>
      </c>
      <c r="E1429" s="10" t="s">
        <v>87</v>
      </c>
      <c r="F1429" s="21" t="s">
        <v>6092</v>
      </c>
      <c r="G1429" s="10" t="s">
        <v>28</v>
      </c>
      <c r="H1429" s="10" t="s">
        <v>58</v>
      </c>
      <c r="I1429" s="11">
        <v>45219</v>
      </c>
      <c r="J1429" s="10" t="s">
        <v>40</v>
      </c>
      <c r="K1429" s="11">
        <v>45332</v>
      </c>
      <c r="L1429" s="10" t="s">
        <v>59</v>
      </c>
      <c r="M1429" s="12">
        <v>18004</v>
      </c>
      <c r="N1429" s="12">
        <v>931</v>
      </c>
      <c r="O1429" s="10">
        <v>45</v>
      </c>
      <c r="P1429" s="11">
        <v>45377</v>
      </c>
      <c r="Q1429" s="10" t="s">
        <v>33</v>
      </c>
      <c r="R1429" s="10" t="s">
        <v>33</v>
      </c>
      <c r="S1429" s="10" t="s">
        <v>60</v>
      </c>
      <c r="T1429" s="13">
        <v>19.3383</v>
      </c>
      <c r="U1429" s="14">
        <v>113</v>
      </c>
      <c r="V1429" s="14">
        <v>2024</v>
      </c>
      <c r="W1429" s="10" t="s">
        <v>35</v>
      </c>
    </row>
    <row r="1430" spans="1:23" s="9" customFormat="1" ht="15.75" hidden="1" customHeight="1" x14ac:dyDescent="0.25">
      <c r="A1430" s="4" t="s">
        <v>4348</v>
      </c>
      <c r="B1430" s="4" t="s">
        <v>4349</v>
      </c>
      <c r="C1430" s="4" t="s">
        <v>4350</v>
      </c>
      <c r="D1430" s="21" t="s">
        <v>6089</v>
      </c>
      <c r="E1430" s="4" t="s">
        <v>51</v>
      </c>
      <c r="F1430" s="4" t="s">
        <v>27</v>
      </c>
      <c r="G1430" s="4" t="s">
        <v>5</v>
      </c>
      <c r="H1430" s="4" t="s">
        <v>118</v>
      </c>
      <c r="I1430" s="5">
        <v>45404</v>
      </c>
      <c r="J1430" s="4" t="s">
        <v>40</v>
      </c>
      <c r="K1430" s="5">
        <v>45487</v>
      </c>
      <c r="L1430" s="4" t="s">
        <v>66</v>
      </c>
      <c r="M1430" s="6">
        <v>20133</v>
      </c>
      <c r="N1430" s="6">
        <v>3873</v>
      </c>
      <c r="O1430" s="4" t="s">
        <v>32</v>
      </c>
      <c r="P1430" s="4" t="s">
        <v>32</v>
      </c>
      <c r="Q1430" s="4" t="s">
        <v>33</v>
      </c>
      <c r="R1430" s="4" t="s">
        <v>33</v>
      </c>
      <c r="S1430" s="4" t="s">
        <v>41</v>
      </c>
      <c r="T1430" s="7">
        <v>5.1982999999999997</v>
      </c>
      <c r="U1430" s="8">
        <v>83</v>
      </c>
      <c r="V1430" s="8">
        <v>2024</v>
      </c>
      <c r="W1430" s="4" t="s">
        <v>42</v>
      </c>
    </row>
    <row r="1431" spans="1:23" s="9" customFormat="1" ht="15.75" hidden="1" customHeight="1" x14ac:dyDescent="0.25">
      <c r="A1431" s="10" t="s">
        <v>4351</v>
      </c>
      <c r="B1431" s="10" t="s">
        <v>4352</v>
      </c>
      <c r="C1431" s="10" t="s">
        <v>4353</v>
      </c>
      <c r="D1431" s="21" t="s">
        <v>6086</v>
      </c>
      <c r="E1431" s="10" t="s">
        <v>51</v>
      </c>
      <c r="F1431" s="10" t="s">
        <v>56</v>
      </c>
      <c r="G1431" s="10" t="s">
        <v>5</v>
      </c>
      <c r="H1431" s="10" t="s">
        <v>29</v>
      </c>
      <c r="I1431" s="11">
        <v>45498</v>
      </c>
      <c r="J1431" s="10" t="s">
        <v>40</v>
      </c>
      <c r="K1431" s="11">
        <v>45558</v>
      </c>
      <c r="L1431" s="10" t="s">
        <v>31</v>
      </c>
      <c r="M1431" s="12">
        <v>39545</v>
      </c>
      <c r="N1431" s="12">
        <v>4512</v>
      </c>
      <c r="O1431" s="10" t="s">
        <v>32</v>
      </c>
      <c r="P1431" s="10" t="s">
        <v>32</v>
      </c>
      <c r="Q1431" s="10" t="s">
        <v>33</v>
      </c>
      <c r="R1431" s="10" t="s">
        <v>33</v>
      </c>
      <c r="S1431" s="10" t="s">
        <v>34</v>
      </c>
      <c r="T1431" s="13">
        <v>8.7644000000000002</v>
      </c>
      <c r="U1431" s="14">
        <v>60</v>
      </c>
      <c r="V1431" s="14">
        <v>2024</v>
      </c>
      <c r="W1431" s="10" t="s">
        <v>168</v>
      </c>
    </row>
    <row r="1432" spans="1:23" s="9" customFormat="1" ht="15.75" hidden="1" customHeight="1" x14ac:dyDescent="0.25">
      <c r="A1432" s="4" t="s">
        <v>4354</v>
      </c>
      <c r="B1432" s="4" t="s">
        <v>4355</v>
      </c>
      <c r="C1432" s="4" t="s">
        <v>4356</v>
      </c>
      <c r="D1432" s="22" t="s">
        <v>6090</v>
      </c>
      <c r="E1432" s="4" t="s">
        <v>51</v>
      </c>
      <c r="F1432" s="21" t="s">
        <v>6092</v>
      </c>
      <c r="G1432" s="4" t="s">
        <v>57</v>
      </c>
      <c r="H1432" s="4" t="s">
        <v>29</v>
      </c>
      <c r="I1432" s="5">
        <v>45390</v>
      </c>
      <c r="J1432" s="4" t="s">
        <v>30</v>
      </c>
      <c r="K1432" s="5">
        <v>45533</v>
      </c>
      <c r="L1432" s="4" t="s">
        <v>59</v>
      </c>
      <c r="M1432" s="6">
        <v>30720</v>
      </c>
      <c r="N1432" s="6">
        <v>1546</v>
      </c>
      <c r="O1432" s="4">
        <v>18</v>
      </c>
      <c r="P1432" s="5">
        <v>45551</v>
      </c>
      <c r="Q1432" s="4" t="s">
        <v>33</v>
      </c>
      <c r="R1432" s="4" t="s">
        <v>33</v>
      </c>
      <c r="S1432" s="4" t="s">
        <v>41</v>
      </c>
      <c r="T1432" s="7">
        <v>19.8706</v>
      </c>
      <c r="U1432" s="8">
        <v>143</v>
      </c>
      <c r="V1432" s="8">
        <v>2024</v>
      </c>
      <c r="W1432" s="4" t="s">
        <v>114</v>
      </c>
    </row>
    <row r="1433" spans="1:23" s="9" customFormat="1" ht="15.75" hidden="1" customHeight="1" x14ac:dyDescent="0.25">
      <c r="A1433" s="10" t="s">
        <v>4357</v>
      </c>
      <c r="B1433" s="10" t="s">
        <v>4358</v>
      </c>
      <c r="C1433" s="10" t="s">
        <v>4359</v>
      </c>
      <c r="D1433" s="21" t="s">
        <v>6091</v>
      </c>
      <c r="E1433" s="10" t="s">
        <v>26</v>
      </c>
      <c r="F1433" s="10" t="s">
        <v>56</v>
      </c>
      <c r="G1433" s="10" t="s">
        <v>57</v>
      </c>
      <c r="H1433" s="10" t="s">
        <v>29</v>
      </c>
      <c r="I1433" s="11">
        <v>45354</v>
      </c>
      <c r="J1433" s="10" t="s">
        <v>40</v>
      </c>
      <c r="K1433" s="11">
        <v>45524</v>
      </c>
      <c r="L1433" s="10" t="s">
        <v>59</v>
      </c>
      <c r="M1433" s="12">
        <v>18850</v>
      </c>
      <c r="N1433" s="12">
        <v>8538</v>
      </c>
      <c r="O1433" s="10">
        <v>2</v>
      </c>
      <c r="P1433" s="11">
        <v>45526</v>
      </c>
      <c r="Q1433" s="10" t="s">
        <v>33</v>
      </c>
      <c r="R1433" s="10" t="s">
        <v>33</v>
      </c>
      <c r="S1433" s="10" t="s">
        <v>60</v>
      </c>
      <c r="T1433" s="13">
        <v>2.2078000000000002</v>
      </c>
      <c r="U1433" s="14">
        <v>170</v>
      </c>
      <c r="V1433" s="14">
        <v>2024</v>
      </c>
      <c r="W1433" s="10" t="s">
        <v>114</v>
      </c>
    </row>
    <row r="1434" spans="1:23" s="9" customFormat="1" ht="15.75" hidden="1" customHeight="1" x14ac:dyDescent="0.25">
      <c r="A1434" s="4" t="s">
        <v>4360</v>
      </c>
      <c r="B1434" s="4" t="s">
        <v>4361</v>
      </c>
      <c r="C1434" s="4" t="s">
        <v>4362</v>
      </c>
      <c r="D1434" s="21" t="s">
        <v>6086</v>
      </c>
      <c r="E1434" s="4" t="s">
        <v>51</v>
      </c>
      <c r="F1434" s="4" t="s">
        <v>46</v>
      </c>
      <c r="G1434" s="4" t="s">
        <v>57</v>
      </c>
      <c r="H1434" s="4" t="s">
        <v>39</v>
      </c>
      <c r="I1434" s="5">
        <v>45158</v>
      </c>
      <c r="J1434" s="4" t="s">
        <v>40</v>
      </c>
      <c r="K1434" s="5">
        <v>45318</v>
      </c>
      <c r="L1434" s="4" t="s">
        <v>59</v>
      </c>
      <c r="M1434" s="6">
        <v>21249</v>
      </c>
      <c r="N1434" s="6">
        <v>3336</v>
      </c>
      <c r="O1434" s="4">
        <v>33</v>
      </c>
      <c r="P1434" s="5">
        <v>45351</v>
      </c>
      <c r="Q1434" s="4" t="s">
        <v>33</v>
      </c>
      <c r="R1434" s="4" t="s">
        <v>33</v>
      </c>
      <c r="S1434" s="4" t="s">
        <v>34</v>
      </c>
      <c r="T1434" s="7">
        <v>6.3696000000000002</v>
      </c>
      <c r="U1434" s="8">
        <v>160</v>
      </c>
      <c r="V1434" s="8">
        <v>2024</v>
      </c>
      <c r="W1434" s="4" t="s">
        <v>73</v>
      </c>
    </row>
    <row r="1435" spans="1:23" s="9" customFormat="1" ht="15.75" hidden="1" customHeight="1" x14ac:dyDescent="0.25">
      <c r="A1435" s="10" t="s">
        <v>4363</v>
      </c>
      <c r="B1435" s="10" t="s">
        <v>4364</v>
      </c>
      <c r="C1435" s="10" t="s">
        <v>4365</v>
      </c>
      <c r="D1435" s="22" t="s">
        <v>6090</v>
      </c>
      <c r="E1435" s="10" t="s">
        <v>87</v>
      </c>
      <c r="F1435" s="10" t="s">
        <v>46</v>
      </c>
      <c r="G1435" s="10" t="s">
        <v>57</v>
      </c>
      <c r="H1435" s="10" t="s">
        <v>118</v>
      </c>
      <c r="I1435" s="11">
        <v>45382</v>
      </c>
      <c r="J1435" s="10" t="s">
        <v>40</v>
      </c>
      <c r="K1435" s="11">
        <v>45535</v>
      </c>
      <c r="L1435" s="10" t="s">
        <v>59</v>
      </c>
      <c r="M1435" s="12">
        <v>37627</v>
      </c>
      <c r="N1435" s="12">
        <v>5537</v>
      </c>
      <c r="O1435" s="10">
        <v>43</v>
      </c>
      <c r="P1435" s="11">
        <v>45578</v>
      </c>
      <c r="Q1435" s="10" t="s">
        <v>94</v>
      </c>
      <c r="R1435" s="10" t="s">
        <v>94</v>
      </c>
      <c r="S1435" s="10" t="s">
        <v>34</v>
      </c>
      <c r="T1435" s="13">
        <v>6.7956000000000003</v>
      </c>
      <c r="U1435" s="14">
        <v>153</v>
      </c>
      <c r="V1435" s="14">
        <v>2024</v>
      </c>
      <c r="W1435" s="10" t="s">
        <v>114</v>
      </c>
    </row>
    <row r="1436" spans="1:23" s="9" customFormat="1" ht="15.75" hidden="1" customHeight="1" x14ac:dyDescent="0.25">
      <c r="A1436" s="4" t="s">
        <v>4366</v>
      </c>
      <c r="B1436" s="4" t="s">
        <v>4367</v>
      </c>
      <c r="C1436" s="4" t="s">
        <v>4368</v>
      </c>
      <c r="D1436" s="22" t="s">
        <v>6087</v>
      </c>
      <c r="E1436" s="4" t="s">
        <v>26</v>
      </c>
      <c r="F1436" s="4" t="s">
        <v>71</v>
      </c>
      <c r="G1436" s="4" t="s">
        <v>5</v>
      </c>
      <c r="H1436" s="4" t="s">
        <v>161</v>
      </c>
      <c r="I1436" s="5">
        <v>45319</v>
      </c>
      <c r="J1436" s="4" t="s">
        <v>30</v>
      </c>
      <c r="K1436" s="5">
        <v>45588</v>
      </c>
      <c r="L1436" s="4" t="s">
        <v>59</v>
      </c>
      <c r="M1436" s="6">
        <v>38943</v>
      </c>
      <c r="N1436" s="6">
        <v>530</v>
      </c>
      <c r="O1436" s="4">
        <v>38</v>
      </c>
      <c r="P1436" s="5">
        <v>45626</v>
      </c>
      <c r="Q1436" s="4" t="s">
        <v>33</v>
      </c>
      <c r="R1436" s="4" t="s">
        <v>33</v>
      </c>
      <c r="S1436" s="4" t="s">
        <v>41</v>
      </c>
      <c r="T1436" s="7">
        <v>73.477400000000003</v>
      </c>
      <c r="U1436" s="8">
        <v>269</v>
      </c>
      <c r="V1436" s="8">
        <v>2024</v>
      </c>
      <c r="W1436" s="4" t="s">
        <v>95</v>
      </c>
    </row>
    <row r="1437" spans="1:23" s="9" customFormat="1" ht="15.75" hidden="1" customHeight="1" x14ac:dyDescent="0.25">
      <c r="A1437" s="10" t="s">
        <v>4369</v>
      </c>
      <c r="B1437" s="10" t="s">
        <v>4370</v>
      </c>
      <c r="C1437" s="10" t="s">
        <v>4371</v>
      </c>
      <c r="D1437" s="21" t="s">
        <v>6088</v>
      </c>
      <c r="E1437" s="10" t="s">
        <v>26</v>
      </c>
      <c r="F1437" s="10" t="s">
        <v>27</v>
      </c>
      <c r="G1437" s="10" t="s">
        <v>57</v>
      </c>
      <c r="H1437" s="10" t="s">
        <v>58</v>
      </c>
      <c r="I1437" s="11">
        <v>45253</v>
      </c>
      <c r="J1437" s="10" t="s">
        <v>40</v>
      </c>
      <c r="K1437" s="11">
        <v>45458</v>
      </c>
      <c r="L1437" s="10" t="s">
        <v>59</v>
      </c>
      <c r="M1437" s="12">
        <v>12864</v>
      </c>
      <c r="N1437" s="12">
        <v>3854</v>
      </c>
      <c r="O1437" s="10">
        <v>39</v>
      </c>
      <c r="P1437" s="11">
        <v>45497</v>
      </c>
      <c r="Q1437" s="10" t="s">
        <v>33</v>
      </c>
      <c r="R1437" s="10" t="s">
        <v>33</v>
      </c>
      <c r="S1437" s="10" t="s">
        <v>60</v>
      </c>
      <c r="T1437" s="13">
        <v>3.3378000000000001</v>
      </c>
      <c r="U1437" s="14">
        <v>205</v>
      </c>
      <c r="V1437" s="14">
        <v>2024</v>
      </c>
      <c r="W1437" s="10" t="s">
        <v>67</v>
      </c>
    </row>
    <row r="1438" spans="1:23" s="9" customFormat="1" ht="15.75" hidden="1" customHeight="1" x14ac:dyDescent="0.25">
      <c r="A1438" s="4" t="s">
        <v>4372</v>
      </c>
      <c r="B1438" s="4" t="s">
        <v>4373</v>
      </c>
      <c r="C1438" s="4" t="s">
        <v>4374</v>
      </c>
      <c r="D1438" s="21" t="s">
        <v>6089</v>
      </c>
      <c r="E1438" s="4" t="s">
        <v>51</v>
      </c>
      <c r="F1438" s="4" t="s">
        <v>46</v>
      </c>
      <c r="G1438" s="4" t="s">
        <v>57</v>
      </c>
      <c r="H1438" s="4" t="s">
        <v>118</v>
      </c>
      <c r="I1438" s="5">
        <v>45159</v>
      </c>
      <c r="J1438" s="4" t="s">
        <v>40</v>
      </c>
      <c r="K1438" s="5">
        <v>45321</v>
      </c>
      <c r="L1438" s="4" t="s">
        <v>59</v>
      </c>
      <c r="M1438" s="6">
        <v>54734</v>
      </c>
      <c r="N1438" s="6">
        <v>6310</v>
      </c>
      <c r="O1438" s="4">
        <v>2</v>
      </c>
      <c r="P1438" s="5">
        <v>45323</v>
      </c>
      <c r="Q1438" s="4" t="s">
        <v>33</v>
      </c>
      <c r="R1438" s="4" t="s">
        <v>33</v>
      </c>
      <c r="S1438" s="4" t="s">
        <v>34</v>
      </c>
      <c r="T1438" s="7">
        <v>8.6742000000000008</v>
      </c>
      <c r="U1438" s="8">
        <v>162</v>
      </c>
      <c r="V1438" s="8">
        <v>2024</v>
      </c>
      <c r="W1438" s="4" t="s">
        <v>73</v>
      </c>
    </row>
    <row r="1439" spans="1:23" s="9" customFormat="1" ht="15.75" hidden="1" customHeight="1" x14ac:dyDescent="0.25">
      <c r="A1439" s="10" t="s">
        <v>4375</v>
      </c>
      <c r="B1439" s="10" t="s">
        <v>4376</v>
      </c>
      <c r="C1439" s="10" t="s">
        <v>4377</v>
      </c>
      <c r="D1439" s="21" t="s">
        <v>6089</v>
      </c>
      <c r="E1439" s="10" t="s">
        <v>87</v>
      </c>
      <c r="F1439" s="10" t="s">
        <v>46</v>
      </c>
      <c r="G1439" s="10" t="s">
        <v>5</v>
      </c>
      <c r="H1439" s="10" t="s">
        <v>93</v>
      </c>
      <c r="I1439" s="11">
        <v>45231</v>
      </c>
      <c r="J1439" s="10" t="s">
        <v>30</v>
      </c>
      <c r="K1439" s="11">
        <v>45488</v>
      </c>
      <c r="L1439" s="10" t="s">
        <v>59</v>
      </c>
      <c r="M1439" s="12">
        <v>59138</v>
      </c>
      <c r="N1439" s="12">
        <v>2348</v>
      </c>
      <c r="O1439" s="10">
        <v>21</v>
      </c>
      <c r="P1439" s="11">
        <v>45509</v>
      </c>
      <c r="Q1439" s="10" t="s">
        <v>33</v>
      </c>
      <c r="R1439" s="10" t="s">
        <v>33</v>
      </c>
      <c r="S1439" s="10" t="s">
        <v>41</v>
      </c>
      <c r="T1439" s="13">
        <v>25.186499999999999</v>
      </c>
      <c r="U1439" s="14">
        <v>257</v>
      </c>
      <c r="V1439" s="14">
        <v>2024</v>
      </c>
      <c r="W1439" s="10" t="s">
        <v>42</v>
      </c>
    </row>
    <row r="1440" spans="1:23" s="9" customFormat="1" ht="15.75" hidden="1" customHeight="1" x14ac:dyDescent="0.25">
      <c r="A1440" s="4" t="s">
        <v>4378</v>
      </c>
      <c r="B1440" s="4" t="s">
        <v>4379</v>
      </c>
      <c r="C1440" s="4" t="s">
        <v>4380</v>
      </c>
      <c r="D1440" s="22" t="s">
        <v>6087</v>
      </c>
      <c r="E1440" s="4" t="s">
        <v>51</v>
      </c>
      <c r="F1440" s="4" t="s">
        <v>65</v>
      </c>
      <c r="G1440" s="4" t="s">
        <v>28</v>
      </c>
      <c r="H1440" s="4" t="s">
        <v>72</v>
      </c>
      <c r="I1440" s="5">
        <v>45106</v>
      </c>
      <c r="J1440" s="4" t="s">
        <v>40</v>
      </c>
      <c r="K1440" s="5">
        <v>45392</v>
      </c>
      <c r="L1440" s="4" t="s">
        <v>31</v>
      </c>
      <c r="M1440" s="6">
        <v>13741</v>
      </c>
      <c r="N1440" s="6">
        <v>4772</v>
      </c>
      <c r="O1440" s="4" t="s">
        <v>32</v>
      </c>
      <c r="P1440" s="4" t="s">
        <v>32</v>
      </c>
      <c r="Q1440" s="4" t="s">
        <v>94</v>
      </c>
      <c r="R1440" s="4" t="s">
        <v>94</v>
      </c>
      <c r="S1440" s="4" t="s">
        <v>60</v>
      </c>
      <c r="T1440" s="7">
        <v>2.8795000000000002</v>
      </c>
      <c r="U1440" s="8">
        <v>286</v>
      </c>
      <c r="V1440" s="8">
        <v>2024</v>
      </c>
      <c r="W1440" s="4" t="s">
        <v>47</v>
      </c>
    </row>
    <row r="1441" spans="1:23" s="9" customFormat="1" ht="15.75" hidden="1" customHeight="1" x14ac:dyDescent="0.25">
      <c r="A1441" s="10" t="s">
        <v>4381</v>
      </c>
      <c r="B1441" s="10" t="s">
        <v>4382</v>
      </c>
      <c r="C1441" s="10" t="s">
        <v>4383</v>
      </c>
      <c r="D1441" s="21" t="s">
        <v>6091</v>
      </c>
      <c r="E1441" s="10" t="s">
        <v>51</v>
      </c>
      <c r="F1441" s="10" t="s">
        <v>71</v>
      </c>
      <c r="G1441" s="10" t="s">
        <v>57</v>
      </c>
      <c r="H1441" s="10" t="s">
        <v>72</v>
      </c>
      <c r="I1441" s="11">
        <v>45274</v>
      </c>
      <c r="J1441" s="10" t="s">
        <v>30</v>
      </c>
      <c r="K1441" s="11">
        <v>45379</v>
      </c>
      <c r="L1441" s="10" t="s">
        <v>59</v>
      </c>
      <c r="M1441" s="12">
        <v>5072</v>
      </c>
      <c r="N1441" s="12">
        <v>2350</v>
      </c>
      <c r="O1441" s="10">
        <v>31</v>
      </c>
      <c r="P1441" s="11">
        <v>45410</v>
      </c>
      <c r="Q1441" s="10" t="s">
        <v>33</v>
      </c>
      <c r="R1441" s="10" t="s">
        <v>33</v>
      </c>
      <c r="S1441" s="10" t="s">
        <v>60</v>
      </c>
      <c r="T1441" s="13">
        <v>2.1583000000000001</v>
      </c>
      <c r="U1441" s="14">
        <v>105</v>
      </c>
      <c r="V1441" s="14">
        <v>2024</v>
      </c>
      <c r="W1441" s="10" t="s">
        <v>77</v>
      </c>
    </row>
    <row r="1442" spans="1:23" s="9" customFormat="1" ht="15.75" hidden="1" customHeight="1" x14ac:dyDescent="0.25">
      <c r="A1442" s="4" t="s">
        <v>4384</v>
      </c>
      <c r="B1442" s="4" t="s">
        <v>4385</v>
      </c>
      <c r="C1442" s="4" t="s">
        <v>4386</v>
      </c>
      <c r="D1442" s="21" t="s">
        <v>6086</v>
      </c>
      <c r="E1442" s="4" t="s">
        <v>51</v>
      </c>
      <c r="F1442" s="4" t="s">
        <v>27</v>
      </c>
      <c r="G1442" s="4" t="s">
        <v>5</v>
      </c>
      <c r="H1442" s="4" t="s">
        <v>88</v>
      </c>
      <c r="I1442" s="5">
        <v>44969</v>
      </c>
      <c r="J1442" s="4" t="s">
        <v>40</v>
      </c>
      <c r="K1442" s="5">
        <v>45296</v>
      </c>
      <c r="L1442" s="4" t="s">
        <v>59</v>
      </c>
      <c r="M1442" s="6">
        <v>38552</v>
      </c>
      <c r="N1442" s="6">
        <v>6691</v>
      </c>
      <c r="O1442" s="4">
        <v>25</v>
      </c>
      <c r="P1442" s="5">
        <v>45321</v>
      </c>
      <c r="Q1442" s="4" t="s">
        <v>33</v>
      </c>
      <c r="R1442" s="4" t="s">
        <v>33</v>
      </c>
      <c r="S1442" s="4" t="s">
        <v>60</v>
      </c>
      <c r="T1442" s="7">
        <v>5.7618</v>
      </c>
      <c r="U1442" s="8">
        <v>327</v>
      </c>
      <c r="V1442" s="8">
        <v>2024</v>
      </c>
      <c r="W1442" s="4" t="s">
        <v>73</v>
      </c>
    </row>
    <row r="1443" spans="1:23" s="9" customFormat="1" ht="15.75" hidden="1" customHeight="1" x14ac:dyDescent="0.25">
      <c r="A1443" s="10" t="s">
        <v>4387</v>
      </c>
      <c r="B1443" s="10" t="s">
        <v>4388</v>
      </c>
      <c r="C1443" s="10" t="s">
        <v>4389</v>
      </c>
      <c r="D1443" s="21" t="s">
        <v>6086</v>
      </c>
      <c r="E1443" s="10" t="s">
        <v>26</v>
      </c>
      <c r="F1443" s="10" t="s">
        <v>27</v>
      </c>
      <c r="G1443" s="10" t="s">
        <v>5</v>
      </c>
      <c r="H1443" s="10" t="s">
        <v>161</v>
      </c>
      <c r="I1443" s="11">
        <v>45197</v>
      </c>
      <c r="J1443" s="10" t="s">
        <v>40</v>
      </c>
      <c r="K1443" s="11">
        <v>45549</v>
      </c>
      <c r="L1443" s="10" t="s">
        <v>59</v>
      </c>
      <c r="M1443" s="12">
        <v>98197</v>
      </c>
      <c r="N1443" s="12">
        <v>3191</v>
      </c>
      <c r="O1443" s="10">
        <v>20</v>
      </c>
      <c r="P1443" s="11">
        <v>45569</v>
      </c>
      <c r="Q1443" s="10" t="s">
        <v>33</v>
      </c>
      <c r="R1443" s="10" t="s">
        <v>33</v>
      </c>
      <c r="S1443" s="10" t="s">
        <v>41</v>
      </c>
      <c r="T1443" s="13">
        <v>30.773099999999999</v>
      </c>
      <c r="U1443" s="14">
        <v>352</v>
      </c>
      <c r="V1443" s="14">
        <v>2024</v>
      </c>
      <c r="W1443" s="10" t="s">
        <v>168</v>
      </c>
    </row>
    <row r="1444" spans="1:23" s="9" customFormat="1" ht="15.75" hidden="1" customHeight="1" x14ac:dyDescent="0.25">
      <c r="A1444" s="4" t="s">
        <v>4390</v>
      </c>
      <c r="B1444" s="4" t="s">
        <v>4391</v>
      </c>
      <c r="C1444" s="4" t="s">
        <v>4392</v>
      </c>
      <c r="D1444" s="22" t="s">
        <v>6087</v>
      </c>
      <c r="E1444" s="4" t="s">
        <v>26</v>
      </c>
      <c r="F1444" s="21" t="s">
        <v>6092</v>
      </c>
      <c r="G1444" s="4" t="s">
        <v>28</v>
      </c>
      <c r="H1444" s="4" t="s">
        <v>88</v>
      </c>
      <c r="I1444" s="5">
        <v>45020</v>
      </c>
      <c r="J1444" s="4" t="s">
        <v>30</v>
      </c>
      <c r="K1444" s="5">
        <v>45315</v>
      </c>
      <c r="L1444" s="4" t="s">
        <v>59</v>
      </c>
      <c r="M1444" s="6">
        <v>32101</v>
      </c>
      <c r="N1444" s="6">
        <v>5473</v>
      </c>
      <c r="O1444" s="4">
        <v>32</v>
      </c>
      <c r="P1444" s="5">
        <v>45347</v>
      </c>
      <c r="Q1444" s="4" t="s">
        <v>94</v>
      </c>
      <c r="R1444" s="4" t="s">
        <v>33</v>
      </c>
      <c r="S1444" s="4" t="s">
        <v>60</v>
      </c>
      <c r="T1444" s="7">
        <v>5.8653000000000004</v>
      </c>
      <c r="U1444" s="8">
        <v>295</v>
      </c>
      <c r="V1444" s="8">
        <v>2024</v>
      </c>
      <c r="W1444" s="4" t="s">
        <v>73</v>
      </c>
    </row>
    <row r="1445" spans="1:23" s="9" customFormat="1" ht="15.75" hidden="1" customHeight="1" x14ac:dyDescent="0.25">
      <c r="A1445" s="10" t="s">
        <v>4393</v>
      </c>
      <c r="B1445" s="10" t="s">
        <v>4394</v>
      </c>
      <c r="C1445" s="10" t="s">
        <v>4395</v>
      </c>
      <c r="D1445" s="21" t="s">
        <v>6088</v>
      </c>
      <c r="E1445" s="10" t="s">
        <v>26</v>
      </c>
      <c r="F1445" s="10" t="s">
        <v>71</v>
      </c>
      <c r="G1445" s="10" t="s">
        <v>28</v>
      </c>
      <c r="H1445" s="10" t="s">
        <v>93</v>
      </c>
      <c r="I1445" s="11">
        <v>45261</v>
      </c>
      <c r="J1445" s="10" t="s">
        <v>30</v>
      </c>
      <c r="K1445" s="11">
        <v>45566</v>
      </c>
      <c r="L1445" s="10" t="s">
        <v>66</v>
      </c>
      <c r="M1445" s="12">
        <v>39067</v>
      </c>
      <c r="N1445" s="12">
        <v>3591</v>
      </c>
      <c r="O1445" s="10" t="s">
        <v>32</v>
      </c>
      <c r="P1445" s="10" t="s">
        <v>32</v>
      </c>
      <c r="Q1445" s="10" t="s">
        <v>33</v>
      </c>
      <c r="R1445" s="10" t="s">
        <v>33</v>
      </c>
      <c r="S1445" s="10" t="s">
        <v>60</v>
      </c>
      <c r="T1445" s="13">
        <v>10.879099999999999</v>
      </c>
      <c r="U1445" s="14">
        <v>305</v>
      </c>
      <c r="V1445" s="14">
        <v>2024</v>
      </c>
      <c r="W1445" s="10" t="s">
        <v>95</v>
      </c>
    </row>
    <row r="1446" spans="1:23" s="9" customFormat="1" ht="15.75" hidden="1" customHeight="1" x14ac:dyDescent="0.25">
      <c r="A1446" s="4" t="s">
        <v>4396</v>
      </c>
      <c r="B1446" s="4" t="s">
        <v>4397</v>
      </c>
      <c r="C1446" s="4" t="s">
        <v>4398</v>
      </c>
      <c r="D1446" s="22" t="s">
        <v>6090</v>
      </c>
      <c r="E1446" s="4" t="s">
        <v>51</v>
      </c>
      <c r="F1446" s="21" t="s">
        <v>6092</v>
      </c>
      <c r="G1446" s="4" t="s">
        <v>28</v>
      </c>
      <c r="H1446" s="4" t="s">
        <v>72</v>
      </c>
      <c r="I1446" s="5">
        <v>45241</v>
      </c>
      <c r="J1446" s="4" t="s">
        <v>40</v>
      </c>
      <c r="K1446" s="5">
        <v>45525</v>
      </c>
      <c r="L1446" s="4" t="s">
        <v>31</v>
      </c>
      <c r="M1446" s="6">
        <v>53732</v>
      </c>
      <c r="N1446" s="6">
        <v>3102</v>
      </c>
      <c r="O1446" s="4" t="s">
        <v>32</v>
      </c>
      <c r="P1446" s="4" t="s">
        <v>32</v>
      </c>
      <c r="Q1446" s="4" t="s">
        <v>33</v>
      </c>
      <c r="R1446" s="4" t="s">
        <v>33</v>
      </c>
      <c r="S1446" s="4" t="s">
        <v>60</v>
      </c>
      <c r="T1446" s="7">
        <v>17.3217</v>
      </c>
      <c r="U1446" s="8">
        <v>284</v>
      </c>
      <c r="V1446" s="8">
        <v>2024</v>
      </c>
      <c r="W1446" s="4" t="s">
        <v>114</v>
      </c>
    </row>
    <row r="1447" spans="1:23" s="9" customFormat="1" ht="15.75" hidden="1" customHeight="1" x14ac:dyDescent="0.25">
      <c r="A1447" s="10" t="s">
        <v>4399</v>
      </c>
      <c r="B1447" s="10" t="s">
        <v>4400</v>
      </c>
      <c r="C1447" s="10" t="s">
        <v>4401</v>
      </c>
      <c r="D1447" s="22" t="s">
        <v>6090</v>
      </c>
      <c r="E1447" s="10" t="s">
        <v>26</v>
      </c>
      <c r="F1447" s="21" t="s">
        <v>6092</v>
      </c>
      <c r="G1447" s="10" t="s">
        <v>28</v>
      </c>
      <c r="H1447" s="10" t="s">
        <v>118</v>
      </c>
      <c r="I1447" s="11">
        <v>45274</v>
      </c>
      <c r="J1447" s="10" t="s">
        <v>30</v>
      </c>
      <c r="K1447" s="11">
        <v>45437</v>
      </c>
      <c r="L1447" s="10" t="s">
        <v>31</v>
      </c>
      <c r="M1447" s="12">
        <v>4156</v>
      </c>
      <c r="N1447" s="12">
        <v>5795</v>
      </c>
      <c r="O1447" s="10" t="s">
        <v>32</v>
      </c>
      <c r="P1447" s="10" t="s">
        <v>32</v>
      </c>
      <c r="Q1447" s="10" t="s">
        <v>33</v>
      </c>
      <c r="R1447" s="10" t="s">
        <v>33</v>
      </c>
      <c r="S1447" s="10" t="s">
        <v>60</v>
      </c>
      <c r="T1447" s="13">
        <v>0.71719999999999995</v>
      </c>
      <c r="U1447" s="14">
        <v>163</v>
      </c>
      <c r="V1447" s="14">
        <v>2024</v>
      </c>
      <c r="W1447" s="10" t="s">
        <v>52</v>
      </c>
    </row>
    <row r="1448" spans="1:23" s="9" customFormat="1" ht="15.75" hidden="1" customHeight="1" x14ac:dyDescent="0.25">
      <c r="A1448" s="4" t="s">
        <v>4402</v>
      </c>
      <c r="B1448" s="4" t="s">
        <v>4403</v>
      </c>
      <c r="C1448" s="4" t="s">
        <v>4404</v>
      </c>
      <c r="D1448" s="21" t="s">
        <v>6089</v>
      </c>
      <c r="E1448" s="4" t="s">
        <v>26</v>
      </c>
      <c r="F1448" s="4" t="s">
        <v>46</v>
      </c>
      <c r="G1448" s="4" t="s">
        <v>57</v>
      </c>
      <c r="H1448" s="4" t="s">
        <v>39</v>
      </c>
      <c r="I1448" s="5">
        <v>45310</v>
      </c>
      <c r="J1448" s="4" t="s">
        <v>30</v>
      </c>
      <c r="K1448" s="5">
        <v>45641</v>
      </c>
      <c r="L1448" s="4" t="s">
        <v>59</v>
      </c>
      <c r="M1448" s="6">
        <v>24139</v>
      </c>
      <c r="N1448" s="6">
        <v>1247</v>
      </c>
      <c r="O1448" s="4">
        <v>27</v>
      </c>
      <c r="P1448" s="5">
        <v>45668</v>
      </c>
      <c r="Q1448" s="4" t="s">
        <v>94</v>
      </c>
      <c r="R1448" s="4" t="s">
        <v>94</v>
      </c>
      <c r="S1448" s="4" t="s">
        <v>34</v>
      </c>
      <c r="T1448" s="7">
        <v>19.357700000000001</v>
      </c>
      <c r="U1448" s="8">
        <v>331</v>
      </c>
      <c r="V1448" s="8">
        <v>2024</v>
      </c>
      <c r="W1448" s="4" t="s">
        <v>89</v>
      </c>
    </row>
    <row r="1449" spans="1:23" s="9" customFormat="1" ht="15.75" hidden="1" customHeight="1" x14ac:dyDescent="0.25">
      <c r="A1449" s="10" t="s">
        <v>4405</v>
      </c>
      <c r="B1449" s="10" t="s">
        <v>4406</v>
      </c>
      <c r="C1449" s="10" t="s">
        <v>4407</v>
      </c>
      <c r="D1449" s="22" t="s">
        <v>6090</v>
      </c>
      <c r="E1449" s="10" t="s">
        <v>26</v>
      </c>
      <c r="F1449" s="21" t="s">
        <v>6092</v>
      </c>
      <c r="G1449" s="10" t="s">
        <v>57</v>
      </c>
      <c r="H1449" s="10" t="s">
        <v>39</v>
      </c>
      <c r="I1449" s="11">
        <v>45472</v>
      </c>
      <c r="J1449" s="10" t="s">
        <v>40</v>
      </c>
      <c r="K1449" s="11">
        <v>45653</v>
      </c>
      <c r="L1449" s="10" t="s">
        <v>59</v>
      </c>
      <c r="M1449" s="12">
        <v>16999</v>
      </c>
      <c r="N1449" s="12">
        <v>4834</v>
      </c>
      <c r="O1449" s="10">
        <v>7</v>
      </c>
      <c r="P1449" s="11">
        <v>45660</v>
      </c>
      <c r="Q1449" s="10" t="s">
        <v>33</v>
      </c>
      <c r="R1449" s="10" t="s">
        <v>33</v>
      </c>
      <c r="S1449" s="10" t="s">
        <v>60</v>
      </c>
      <c r="T1449" s="13">
        <v>3.5165000000000002</v>
      </c>
      <c r="U1449" s="14">
        <v>181</v>
      </c>
      <c r="V1449" s="14">
        <v>2024</v>
      </c>
      <c r="W1449" s="10" t="s">
        <v>89</v>
      </c>
    </row>
    <row r="1450" spans="1:23" s="9" customFormat="1" ht="15.75" hidden="1" customHeight="1" x14ac:dyDescent="0.25">
      <c r="A1450" s="4" t="s">
        <v>4408</v>
      </c>
      <c r="B1450" s="4" t="s">
        <v>4409</v>
      </c>
      <c r="C1450" s="4" t="s">
        <v>4410</v>
      </c>
      <c r="D1450" s="21" t="s">
        <v>6091</v>
      </c>
      <c r="E1450" s="4" t="s">
        <v>26</v>
      </c>
      <c r="F1450" s="4" t="s">
        <v>56</v>
      </c>
      <c r="G1450" s="4" t="s">
        <v>5</v>
      </c>
      <c r="H1450" s="4" t="s">
        <v>93</v>
      </c>
      <c r="I1450" s="5">
        <v>44970</v>
      </c>
      <c r="J1450" s="4" t="s">
        <v>40</v>
      </c>
      <c r="K1450" s="5">
        <v>45301</v>
      </c>
      <c r="L1450" s="4" t="s">
        <v>66</v>
      </c>
      <c r="M1450" s="6">
        <v>16965</v>
      </c>
      <c r="N1450" s="6">
        <v>5716</v>
      </c>
      <c r="O1450" s="4" t="s">
        <v>32</v>
      </c>
      <c r="P1450" s="4" t="s">
        <v>32</v>
      </c>
      <c r="Q1450" s="4" t="s">
        <v>33</v>
      </c>
      <c r="R1450" s="4" t="s">
        <v>33</v>
      </c>
      <c r="S1450" s="4" t="s">
        <v>41</v>
      </c>
      <c r="T1450" s="7">
        <v>2.968</v>
      </c>
      <c r="U1450" s="8">
        <v>331</v>
      </c>
      <c r="V1450" s="8">
        <v>2024</v>
      </c>
      <c r="W1450" s="4" t="s">
        <v>73</v>
      </c>
    </row>
    <row r="1451" spans="1:23" s="9" customFormat="1" ht="15.75" hidden="1" customHeight="1" x14ac:dyDescent="0.25">
      <c r="A1451" s="10" t="s">
        <v>4411</v>
      </c>
      <c r="B1451" s="10" t="s">
        <v>4412</v>
      </c>
      <c r="C1451" s="10" t="s">
        <v>4413</v>
      </c>
      <c r="D1451" s="21" t="s">
        <v>6088</v>
      </c>
      <c r="E1451" s="10" t="s">
        <v>87</v>
      </c>
      <c r="F1451" s="10" t="s">
        <v>65</v>
      </c>
      <c r="G1451" s="10" t="s">
        <v>57</v>
      </c>
      <c r="H1451" s="10" t="s">
        <v>88</v>
      </c>
      <c r="I1451" s="11">
        <v>45302</v>
      </c>
      <c r="J1451" s="10" t="s">
        <v>30</v>
      </c>
      <c r="K1451" s="11">
        <v>45428</v>
      </c>
      <c r="L1451" s="10" t="s">
        <v>31</v>
      </c>
      <c r="M1451" s="12">
        <v>45087</v>
      </c>
      <c r="N1451" s="12">
        <v>8303</v>
      </c>
      <c r="O1451" s="10" t="s">
        <v>32</v>
      </c>
      <c r="P1451" s="10" t="s">
        <v>32</v>
      </c>
      <c r="Q1451" s="10" t="s">
        <v>94</v>
      </c>
      <c r="R1451" s="10" t="s">
        <v>33</v>
      </c>
      <c r="S1451" s="10" t="s">
        <v>34</v>
      </c>
      <c r="T1451" s="13">
        <v>5.4302000000000001</v>
      </c>
      <c r="U1451" s="14">
        <v>126</v>
      </c>
      <c r="V1451" s="14">
        <v>2024</v>
      </c>
      <c r="W1451" s="10" t="s">
        <v>52</v>
      </c>
    </row>
    <row r="1452" spans="1:23" s="9" customFormat="1" ht="15.75" hidden="1" customHeight="1" x14ac:dyDescent="0.25">
      <c r="A1452" s="4" t="s">
        <v>4414</v>
      </c>
      <c r="B1452" s="4" t="s">
        <v>4415</v>
      </c>
      <c r="C1452" s="4" t="s">
        <v>4416</v>
      </c>
      <c r="D1452" s="21" t="s">
        <v>6086</v>
      </c>
      <c r="E1452" s="4" t="s">
        <v>26</v>
      </c>
      <c r="F1452" s="4" t="s">
        <v>71</v>
      </c>
      <c r="G1452" s="4" t="s">
        <v>57</v>
      </c>
      <c r="H1452" s="4" t="s">
        <v>29</v>
      </c>
      <c r="I1452" s="5">
        <v>45426</v>
      </c>
      <c r="J1452" s="4" t="s">
        <v>40</v>
      </c>
      <c r="K1452" s="5">
        <v>45651</v>
      </c>
      <c r="L1452" s="4" t="s">
        <v>59</v>
      </c>
      <c r="M1452" s="6">
        <v>25781</v>
      </c>
      <c r="N1452" s="6">
        <v>3027</v>
      </c>
      <c r="O1452" s="4">
        <v>10</v>
      </c>
      <c r="P1452" s="5">
        <v>45661</v>
      </c>
      <c r="Q1452" s="4" t="s">
        <v>33</v>
      </c>
      <c r="R1452" s="4" t="s">
        <v>33</v>
      </c>
      <c r="S1452" s="4" t="s">
        <v>34</v>
      </c>
      <c r="T1452" s="7">
        <v>8.5169999999999995</v>
      </c>
      <c r="U1452" s="8">
        <v>225</v>
      </c>
      <c r="V1452" s="8">
        <v>2024</v>
      </c>
      <c r="W1452" s="4" t="s">
        <v>89</v>
      </c>
    </row>
    <row r="1453" spans="1:23" s="9" customFormat="1" ht="15.75" hidden="1" customHeight="1" x14ac:dyDescent="0.25">
      <c r="A1453" s="10" t="s">
        <v>4417</v>
      </c>
      <c r="B1453" s="10" t="s">
        <v>4418</v>
      </c>
      <c r="C1453" s="10" t="s">
        <v>4419</v>
      </c>
      <c r="D1453" s="21" t="s">
        <v>6088</v>
      </c>
      <c r="E1453" s="10" t="s">
        <v>26</v>
      </c>
      <c r="F1453" s="10" t="s">
        <v>46</v>
      </c>
      <c r="G1453" s="10" t="s">
        <v>5</v>
      </c>
      <c r="H1453" s="10" t="s">
        <v>118</v>
      </c>
      <c r="I1453" s="11">
        <v>45327</v>
      </c>
      <c r="J1453" s="10" t="s">
        <v>30</v>
      </c>
      <c r="K1453" s="11">
        <v>45622</v>
      </c>
      <c r="L1453" s="10" t="s">
        <v>31</v>
      </c>
      <c r="M1453" s="12">
        <v>37996</v>
      </c>
      <c r="N1453" s="12">
        <v>3282</v>
      </c>
      <c r="O1453" s="10" t="s">
        <v>32</v>
      </c>
      <c r="P1453" s="10" t="s">
        <v>32</v>
      </c>
      <c r="Q1453" s="10" t="s">
        <v>33</v>
      </c>
      <c r="R1453" s="10" t="s">
        <v>33</v>
      </c>
      <c r="S1453" s="10" t="s">
        <v>60</v>
      </c>
      <c r="T1453" s="13">
        <v>11.5771</v>
      </c>
      <c r="U1453" s="14">
        <v>295</v>
      </c>
      <c r="V1453" s="14">
        <v>2024</v>
      </c>
      <c r="W1453" s="10" t="s">
        <v>61</v>
      </c>
    </row>
    <row r="1454" spans="1:23" s="9" customFormat="1" ht="15.75" hidden="1" customHeight="1" x14ac:dyDescent="0.25">
      <c r="A1454" s="4" t="s">
        <v>4420</v>
      </c>
      <c r="B1454" s="4" t="s">
        <v>4421</v>
      </c>
      <c r="C1454" s="4" t="s">
        <v>4422</v>
      </c>
      <c r="D1454" s="22" t="s">
        <v>6087</v>
      </c>
      <c r="E1454" s="4" t="s">
        <v>26</v>
      </c>
      <c r="F1454" s="21" t="s">
        <v>6092</v>
      </c>
      <c r="G1454" s="4" t="s">
        <v>5</v>
      </c>
      <c r="H1454" s="4" t="s">
        <v>88</v>
      </c>
      <c r="I1454" s="5">
        <v>45456</v>
      </c>
      <c r="J1454" s="4" t="s">
        <v>30</v>
      </c>
      <c r="K1454" s="5">
        <v>45656</v>
      </c>
      <c r="L1454" s="4" t="s">
        <v>59</v>
      </c>
      <c r="M1454" s="6">
        <v>10932</v>
      </c>
      <c r="N1454" s="6">
        <v>8934</v>
      </c>
      <c r="O1454" s="4">
        <v>13</v>
      </c>
      <c r="P1454" s="5">
        <v>45669</v>
      </c>
      <c r="Q1454" s="4" t="s">
        <v>33</v>
      </c>
      <c r="R1454" s="4" t="s">
        <v>33</v>
      </c>
      <c r="S1454" s="4" t="s">
        <v>34</v>
      </c>
      <c r="T1454" s="7">
        <v>1.2236</v>
      </c>
      <c r="U1454" s="8">
        <v>200</v>
      </c>
      <c r="V1454" s="8">
        <v>2024</v>
      </c>
      <c r="W1454" s="4" t="s">
        <v>89</v>
      </c>
    </row>
    <row r="1455" spans="1:23" s="9" customFormat="1" ht="15.75" hidden="1" customHeight="1" x14ac:dyDescent="0.25">
      <c r="A1455" s="10" t="s">
        <v>4423</v>
      </c>
      <c r="B1455" s="10" t="s">
        <v>4424</v>
      </c>
      <c r="C1455" s="10" t="s">
        <v>4425</v>
      </c>
      <c r="D1455" s="21" t="s">
        <v>6086</v>
      </c>
      <c r="E1455" s="10" t="s">
        <v>51</v>
      </c>
      <c r="F1455" s="10" t="s">
        <v>56</v>
      </c>
      <c r="G1455" s="10" t="s">
        <v>5</v>
      </c>
      <c r="H1455" s="10" t="s">
        <v>39</v>
      </c>
      <c r="I1455" s="11">
        <v>45380</v>
      </c>
      <c r="J1455" s="10" t="s">
        <v>40</v>
      </c>
      <c r="K1455" s="11">
        <v>45591</v>
      </c>
      <c r="L1455" s="10" t="s">
        <v>66</v>
      </c>
      <c r="M1455" s="12">
        <v>50018</v>
      </c>
      <c r="N1455" s="12">
        <v>1626</v>
      </c>
      <c r="O1455" s="10" t="s">
        <v>32</v>
      </c>
      <c r="P1455" s="10" t="s">
        <v>32</v>
      </c>
      <c r="Q1455" s="10" t="s">
        <v>94</v>
      </c>
      <c r="R1455" s="10" t="s">
        <v>94</v>
      </c>
      <c r="S1455" s="10" t="s">
        <v>41</v>
      </c>
      <c r="T1455" s="13">
        <v>30.761399999999998</v>
      </c>
      <c r="U1455" s="14">
        <v>211</v>
      </c>
      <c r="V1455" s="14">
        <v>2024</v>
      </c>
      <c r="W1455" s="10" t="s">
        <v>95</v>
      </c>
    </row>
    <row r="1456" spans="1:23" s="9" customFormat="1" ht="15.75" hidden="1" customHeight="1" x14ac:dyDescent="0.25">
      <c r="A1456" s="4" t="s">
        <v>4426</v>
      </c>
      <c r="B1456" s="4" t="s">
        <v>4427</v>
      </c>
      <c r="C1456" s="4" t="s">
        <v>4428</v>
      </c>
      <c r="D1456" s="22" t="s">
        <v>6090</v>
      </c>
      <c r="E1456" s="4" t="s">
        <v>26</v>
      </c>
      <c r="F1456" s="4" t="s">
        <v>71</v>
      </c>
      <c r="G1456" s="4" t="s">
        <v>5</v>
      </c>
      <c r="H1456" s="4" t="s">
        <v>118</v>
      </c>
      <c r="I1456" s="5">
        <v>45499</v>
      </c>
      <c r="J1456" s="4" t="s">
        <v>30</v>
      </c>
      <c r="K1456" s="5">
        <v>45617</v>
      </c>
      <c r="L1456" s="4" t="s">
        <v>31</v>
      </c>
      <c r="M1456" s="6">
        <v>31173</v>
      </c>
      <c r="N1456" s="6">
        <v>6700</v>
      </c>
      <c r="O1456" s="4" t="s">
        <v>32</v>
      </c>
      <c r="P1456" s="4" t="s">
        <v>32</v>
      </c>
      <c r="Q1456" s="4" t="s">
        <v>33</v>
      </c>
      <c r="R1456" s="4" t="s">
        <v>33</v>
      </c>
      <c r="S1456" s="4" t="s">
        <v>41</v>
      </c>
      <c r="T1456" s="7">
        <v>4.6527000000000003</v>
      </c>
      <c r="U1456" s="8">
        <v>118</v>
      </c>
      <c r="V1456" s="8">
        <v>2024</v>
      </c>
      <c r="W1456" s="4" t="s">
        <v>61</v>
      </c>
    </row>
    <row r="1457" spans="1:23" s="9" customFormat="1" ht="15.75" hidden="1" customHeight="1" x14ac:dyDescent="0.25">
      <c r="A1457" s="10" t="s">
        <v>4429</v>
      </c>
      <c r="B1457" s="10" t="s">
        <v>4430</v>
      </c>
      <c r="C1457" s="10" t="s">
        <v>4431</v>
      </c>
      <c r="D1457" s="21" t="s">
        <v>6086</v>
      </c>
      <c r="E1457" s="10" t="s">
        <v>26</v>
      </c>
      <c r="F1457" s="10" t="s">
        <v>27</v>
      </c>
      <c r="G1457" s="10" t="s">
        <v>5</v>
      </c>
      <c r="H1457" s="10" t="s">
        <v>93</v>
      </c>
      <c r="I1457" s="11">
        <v>45090</v>
      </c>
      <c r="J1457" s="10" t="s">
        <v>30</v>
      </c>
      <c r="K1457" s="11">
        <v>45324</v>
      </c>
      <c r="L1457" s="10" t="s">
        <v>66</v>
      </c>
      <c r="M1457" s="12">
        <v>85616</v>
      </c>
      <c r="N1457" s="12">
        <v>8263</v>
      </c>
      <c r="O1457" s="10" t="s">
        <v>32</v>
      </c>
      <c r="P1457" s="10" t="s">
        <v>32</v>
      </c>
      <c r="Q1457" s="10" t="s">
        <v>33</v>
      </c>
      <c r="R1457" s="10" t="s">
        <v>33</v>
      </c>
      <c r="S1457" s="10" t="s">
        <v>41</v>
      </c>
      <c r="T1457" s="13">
        <v>10.3614</v>
      </c>
      <c r="U1457" s="14">
        <v>234</v>
      </c>
      <c r="V1457" s="14">
        <v>2024</v>
      </c>
      <c r="W1457" s="10" t="s">
        <v>35</v>
      </c>
    </row>
    <row r="1458" spans="1:23" s="9" customFormat="1" ht="15.75" hidden="1" customHeight="1" x14ac:dyDescent="0.25">
      <c r="A1458" s="4" t="s">
        <v>4432</v>
      </c>
      <c r="B1458" s="4" t="s">
        <v>4433</v>
      </c>
      <c r="C1458" s="4" t="s">
        <v>4434</v>
      </c>
      <c r="D1458" s="21" t="s">
        <v>6086</v>
      </c>
      <c r="E1458" s="4" t="s">
        <v>26</v>
      </c>
      <c r="F1458" s="21" t="s">
        <v>6092</v>
      </c>
      <c r="G1458" s="4" t="s">
        <v>5</v>
      </c>
      <c r="H1458" s="4" t="s">
        <v>58</v>
      </c>
      <c r="I1458" s="5">
        <v>45229</v>
      </c>
      <c r="J1458" s="4" t="s">
        <v>30</v>
      </c>
      <c r="K1458" s="5">
        <v>45581</v>
      </c>
      <c r="L1458" s="4" t="s">
        <v>31</v>
      </c>
      <c r="M1458" s="6">
        <v>35091</v>
      </c>
      <c r="N1458" s="6">
        <v>715</v>
      </c>
      <c r="O1458" s="4" t="s">
        <v>32</v>
      </c>
      <c r="P1458" s="4" t="s">
        <v>32</v>
      </c>
      <c r="Q1458" s="4" t="s">
        <v>33</v>
      </c>
      <c r="R1458" s="4" t="s">
        <v>33</v>
      </c>
      <c r="S1458" s="4" t="s">
        <v>60</v>
      </c>
      <c r="T1458" s="7">
        <v>49.078299999999999</v>
      </c>
      <c r="U1458" s="8">
        <v>352</v>
      </c>
      <c r="V1458" s="8">
        <v>2024</v>
      </c>
      <c r="W1458" s="4" t="s">
        <v>95</v>
      </c>
    </row>
    <row r="1459" spans="1:23" s="9" customFormat="1" ht="15.75" hidden="1" customHeight="1" x14ac:dyDescent="0.25">
      <c r="A1459" s="10" t="s">
        <v>4435</v>
      </c>
      <c r="B1459" s="10" t="s">
        <v>4436</v>
      </c>
      <c r="C1459" s="10" t="s">
        <v>4437</v>
      </c>
      <c r="D1459" s="22" t="s">
        <v>6090</v>
      </c>
      <c r="E1459" s="10" t="s">
        <v>51</v>
      </c>
      <c r="F1459" s="10" t="s">
        <v>71</v>
      </c>
      <c r="G1459" s="10" t="s">
        <v>28</v>
      </c>
      <c r="H1459" s="10" t="s">
        <v>39</v>
      </c>
      <c r="I1459" s="11">
        <v>45500</v>
      </c>
      <c r="J1459" s="10" t="s">
        <v>30</v>
      </c>
      <c r="K1459" s="11">
        <v>45541</v>
      </c>
      <c r="L1459" s="10" t="s">
        <v>31</v>
      </c>
      <c r="M1459" s="12">
        <v>10409</v>
      </c>
      <c r="N1459" s="12">
        <v>5979</v>
      </c>
      <c r="O1459" s="10" t="s">
        <v>32</v>
      </c>
      <c r="P1459" s="10" t="s">
        <v>32</v>
      </c>
      <c r="Q1459" s="10" t="s">
        <v>94</v>
      </c>
      <c r="R1459" s="10" t="s">
        <v>33</v>
      </c>
      <c r="S1459" s="10" t="s">
        <v>34</v>
      </c>
      <c r="T1459" s="13">
        <v>1.7408999999999999</v>
      </c>
      <c r="U1459" s="14">
        <v>41</v>
      </c>
      <c r="V1459" s="14">
        <v>2024</v>
      </c>
      <c r="W1459" s="10" t="s">
        <v>168</v>
      </c>
    </row>
    <row r="1460" spans="1:23" s="9" customFormat="1" ht="15.75" hidden="1" customHeight="1" x14ac:dyDescent="0.25">
      <c r="A1460" s="4" t="s">
        <v>4438</v>
      </c>
      <c r="B1460" s="4" t="s">
        <v>4439</v>
      </c>
      <c r="C1460" s="4" t="s">
        <v>4440</v>
      </c>
      <c r="D1460" s="21" t="s">
        <v>6089</v>
      </c>
      <c r="E1460" s="4" t="s">
        <v>87</v>
      </c>
      <c r="F1460" s="4" t="s">
        <v>46</v>
      </c>
      <c r="G1460" s="4" t="s">
        <v>5</v>
      </c>
      <c r="H1460" s="4" t="s">
        <v>39</v>
      </c>
      <c r="I1460" s="5">
        <v>45280</v>
      </c>
      <c r="J1460" s="4" t="s">
        <v>30</v>
      </c>
      <c r="K1460" s="5">
        <v>45572</v>
      </c>
      <c r="L1460" s="4" t="s">
        <v>31</v>
      </c>
      <c r="M1460" s="6">
        <v>14838</v>
      </c>
      <c r="N1460" s="6">
        <v>1768</v>
      </c>
      <c r="O1460" s="4" t="s">
        <v>32</v>
      </c>
      <c r="P1460" s="4" t="s">
        <v>32</v>
      </c>
      <c r="Q1460" s="4" t="s">
        <v>33</v>
      </c>
      <c r="R1460" s="4" t="s">
        <v>33</v>
      </c>
      <c r="S1460" s="4" t="s">
        <v>60</v>
      </c>
      <c r="T1460" s="7">
        <v>8.3925000000000001</v>
      </c>
      <c r="U1460" s="8">
        <v>292</v>
      </c>
      <c r="V1460" s="8">
        <v>2024</v>
      </c>
      <c r="W1460" s="4" t="s">
        <v>95</v>
      </c>
    </row>
    <row r="1461" spans="1:23" s="9" customFormat="1" ht="15.75" hidden="1" customHeight="1" x14ac:dyDescent="0.25">
      <c r="A1461" s="10" t="s">
        <v>4441</v>
      </c>
      <c r="B1461" s="10" t="s">
        <v>4442</v>
      </c>
      <c r="C1461" s="10" t="s">
        <v>4443</v>
      </c>
      <c r="D1461" s="21" t="s">
        <v>6089</v>
      </c>
      <c r="E1461" s="10" t="s">
        <v>87</v>
      </c>
      <c r="F1461" s="10" t="s">
        <v>46</v>
      </c>
      <c r="G1461" s="10" t="s">
        <v>28</v>
      </c>
      <c r="H1461" s="10" t="s">
        <v>88</v>
      </c>
      <c r="I1461" s="11">
        <v>45004</v>
      </c>
      <c r="J1461" s="10" t="s">
        <v>40</v>
      </c>
      <c r="K1461" s="11">
        <v>45366</v>
      </c>
      <c r="L1461" s="10" t="s">
        <v>66</v>
      </c>
      <c r="M1461" s="12">
        <v>52210</v>
      </c>
      <c r="N1461" s="12">
        <v>1140</v>
      </c>
      <c r="O1461" s="10" t="s">
        <v>32</v>
      </c>
      <c r="P1461" s="10" t="s">
        <v>32</v>
      </c>
      <c r="Q1461" s="10" t="s">
        <v>33</v>
      </c>
      <c r="R1461" s="10" t="s">
        <v>33</v>
      </c>
      <c r="S1461" s="10" t="s">
        <v>60</v>
      </c>
      <c r="T1461" s="13">
        <v>45.798200000000001</v>
      </c>
      <c r="U1461" s="14">
        <v>362</v>
      </c>
      <c r="V1461" s="14">
        <v>2024</v>
      </c>
      <c r="W1461" s="10" t="s">
        <v>77</v>
      </c>
    </row>
    <row r="1462" spans="1:23" s="9" customFormat="1" ht="15.75" hidden="1" customHeight="1" x14ac:dyDescent="0.25">
      <c r="A1462" s="4" t="s">
        <v>4444</v>
      </c>
      <c r="B1462" s="4" t="s">
        <v>4445</v>
      </c>
      <c r="C1462" s="4" t="s">
        <v>4446</v>
      </c>
      <c r="D1462" s="21" t="s">
        <v>6088</v>
      </c>
      <c r="E1462" s="4" t="s">
        <v>26</v>
      </c>
      <c r="F1462" s="4" t="s">
        <v>27</v>
      </c>
      <c r="G1462" s="4" t="s">
        <v>28</v>
      </c>
      <c r="H1462" s="4" t="s">
        <v>39</v>
      </c>
      <c r="I1462" s="5">
        <v>45476</v>
      </c>
      <c r="J1462" s="4" t="s">
        <v>40</v>
      </c>
      <c r="K1462" s="5">
        <v>45528</v>
      </c>
      <c r="L1462" s="4" t="s">
        <v>59</v>
      </c>
      <c r="M1462" s="6">
        <v>30933</v>
      </c>
      <c r="N1462" s="6">
        <v>4972</v>
      </c>
      <c r="O1462" s="4">
        <v>34</v>
      </c>
      <c r="P1462" s="5">
        <v>45562</v>
      </c>
      <c r="Q1462" s="4" t="s">
        <v>33</v>
      </c>
      <c r="R1462" s="4" t="s">
        <v>33</v>
      </c>
      <c r="S1462" s="4" t="s">
        <v>34</v>
      </c>
      <c r="T1462" s="7">
        <v>6.2214</v>
      </c>
      <c r="U1462" s="8">
        <v>52</v>
      </c>
      <c r="V1462" s="8">
        <v>2024</v>
      </c>
      <c r="W1462" s="4" t="s">
        <v>114</v>
      </c>
    </row>
    <row r="1463" spans="1:23" s="9" customFormat="1" ht="15.75" hidden="1" customHeight="1" x14ac:dyDescent="0.25">
      <c r="A1463" s="10" t="s">
        <v>4447</v>
      </c>
      <c r="B1463" s="10" t="s">
        <v>4448</v>
      </c>
      <c r="C1463" s="10" t="s">
        <v>4449</v>
      </c>
      <c r="D1463" s="22" t="s">
        <v>6090</v>
      </c>
      <c r="E1463" s="10" t="s">
        <v>51</v>
      </c>
      <c r="F1463" s="10" t="s">
        <v>46</v>
      </c>
      <c r="G1463" s="10" t="s">
        <v>5</v>
      </c>
      <c r="H1463" s="10" t="s">
        <v>161</v>
      </c>
      <c r="I1463" s="11">
        <v>44957</v>
      </c>
      <c r="J1463" s="10" t="s">
        <v>40</v>
      </c>
      <c r="K1463" s="11">
        <v>45307</v>
      </c>
      <c r="L1463" s="10" t="s">
        <v>59</v>
      </c>
      <c r="M1463" s="12">
        <v>25677</v>
      </c>
      <c r="N1463" s="12">
        <v>4167</v>
      </c>
      <c r="O1463" s="10">
        <v>5</v>
      </c>
      <c r="P1463" s="11">
        <v>45312</v>
      </c>
      <c r="Q1463" s="10" t="s">
        <v>33</v>
      </c>
      <c r="R1463" s="10" t="s">
        <v>33</v>
      </c>
      <c r="S1463" s="10" t="s">
        <v>41</v>
      </c>
      <c r="T1463" s="13">
        <v>6.1619999999999999</v>
      </c>
      <c r="U1463" s="14">
        <v>350</v>
      </c>
      <c r="V1463" s="14">
        <v>2024</v>
      </c>
      <c r="W1463" s="10" t="s">
        <v>73</v>
      </c>
    </row>
    <row r="1464" spans="1:23" s="9" customFormat="1" ht="15.75" hidden="1" customHeight="1" x14ac:dyDescent="0.25">
      <c r="A1464" s="4" t="s">
        <v>4450</v>
      </c>
      <c r="B1464" s="4" t="s">
        <v>4451</v>
      </c>
      <c r="C1464" s="4" t="s">
        <v>4452</v>
      </c>
      <c r="D1464" s="22" t="s">
        <v>6090</v>
      </c>
      <c r="E1464" s="4" t="s">
        <v>87</v>
      </c>
      <c r="F1464" s="4" t="s">
        <v>71</v>
      </c>
      <c r="G1464" s="4" t="s">
        <v>5</v>
      </c>
      <c r="H1464" s="4" t="s">
        <v>88</v>
      </c>
      <c r="I1464" s="5">
        <v>45193</v>
      </c>
      <c r="J1464" s="4" t="s">
        <v>40</v>
      </c>
      <c r="K1464" s="5">
        <v>45358</v>
      </c>
      <c r="L1464" s="4" t="s">
        <v>31</v>
      </c>
      <c r="M1464" s="6">
        <v>20544</v>
      </c>
      <c r="N1464" s="6">
        <v>7535</v>
      </c>
      <c r="O1464" s="4" t="s">
        <v>32</v>
      </c>
      <c r="P1464" s="4" t="s">
        <v>32</v>
      </c>
      <c r="Q1464" s="4" t="s">
        <v>94</v>
      </c>
      <c r="R1464" s="4" t="s">
        <v>33</v>
      </c>
      <c r="S1464" s="4" t="s">
        <v>60</v>
      </c>
      <c r="T1464" s="7">
        <v>2.7265000000000001</v>
      </c>
      <c r="U1464" s="8">
        <v>165</v>
      </c>
      <c r="V1464" s="8">
        <v>2024</v>
      </c>
      <c r="W1464" s="4" t="s">
        <v>77</v>
      </c>
    </row>
    <row r="1465" spans="1:23" s="9" customFormat="1" ht="15.75" hidden="1" customHeight="1" x14ac:dyDescent="0.25">
      <c r="A1465" s="10" t="s">
        <v>4453</v>
      </c>
      <c r="B1465" s="10" t="s">
        <v>4454</v>
      </c>
      <c r="C1465" s="10" t="s">
        <v>4455</v>
      </c>
      <c r="D1465" s="21" t="s">
        <v>6088</v>
      </c>
      <c r="E1465" s="10" t="s">
        <v>51</v>
      </c>
      <c r="F1465" s="10" t="s">
        <v>27</v>
      </c>
      <c r="G1465" s="10" t="s">
        <v>57</v>
      </c>
      <c r="H1465" s="10" t="s">
        <v>118</v>
      </c>
      <c r="I1465" s="11">
        <v>45209</v>
      </c>
      <c r="J1465" s="10" t="s">
        <v>40</v>
      </c>
      <c r="K1465" s="11">
        <v>45508</v>
      </c>
      <c r="L1465" s="10" t="s">
        <v>66</v>
      </c>
      <c r="M1465" s="12">
        <v>44268</v>
      </c>
      <c r="N1465" s="12">
        <v>3243</v>
      </c>
      <c r="O1465" s="10" t="s">
        <v>32</v>
      </c>
      <c r="P1465" s="10" t="s">
        <v>32</v>
      </c>
      <c r="Q1465" s="10" t="s">
        <v>33</v>
      </c>
      <c r="R1465" s="10" t="s">
        <v>33</v>
      </c>
      <c r="S1465" s="10" t="s">
        <v>41</v>
      </c>
      <c r="T1465" s="13">
        <v>13.6503</v>
      </c>
      <c r="U1465" s="14">
        <v>299</v>
      </c>
      <c r="V1465" s="14">
        <v>2024</v>
      </c>
      <c r="W1465" s="10" t="s">
        <v>114</v>
      </c>
    </row>
    <row r="1466" spans="1:23" s="9" customFormat="1" ht="15.75" hidden="1" customHeight="1" x14ac:dyDescent="0.25">
      <c r="A1466" s="4" t="s">
        <v>4456</v>
      </c>
      <c r="B1466" s="4" t="s">
        <v>4457</v>
      </c>
      <c r="C1466" s="4" t="s">
        <v>4458</v>
      </c>
      <c r="D1466" s="22" t="s">
        <v>6087</v>
      </c>
      <c r="E1466" s="4" t="s">
        <v>51</v>
      </c>
      <c r="F1466" s="4" t="s">
        <v>65</v>
      </c>
      <c r="G1466" s="4" t="s">
        <v>57</v>
      </c>
      <c r="H1466" s="4" t="s">
        <v>88</v>
      </c>
      <c r="I1466" s="5">
        <v>45141</v>
      </c>
      <c r="J1466" s="4" t="s">
        <v>40</v>
      </c>
      <c r="K1466" s="5">
        <v>45436</v>
      </c>
      <c r="L1466" s="4" t="s">
        <v>59</v>
      </c>
      <c r="M1466" s="6">
        <v>19300</v>
      </c>
      <c r="N1466" s="6">
        <v>5854</v>
      </c>
      <c r="O1466" s="4">
        <v>21</v>
      </c>
      <c r="P1466" s="5">
        <v>45457</v>
      </c>
      <c r="Q1466" s="4" t="s">
        <v>33</v>
      </c>
      <c r="R1466" s="4" t="s">
        <v>33</v>
      </c>
      <c r="S1466" s="4" t="s">
        <v>41</v>
      </c>
      <c r="T1466" s="7">
        <v>3.2968999999999999</v>
      </c>
      <c r="U1466" s="8">
        <v>295</v>
      </c>
      <c r="V1466" s="8">
        <v>2024</v>
      </c>
      <c r="W1466" s="4" t="s">
        <v>52</v>
      </c>
    </row>
    <row r="1467" spans="1:23" s="9" customFormat="1" ht="15.75" hidden="1" customHeight="1" x14ac:dyDescent="0.25">
      <c r="A1467" s="10" t="s">
        <v>4459</v>
      </c>
      <c r="B1467" s="10" t="s">
        <v>4460</v>
      </c>
      <c r="C1467" s="10" t="s">
        <v>4461</v>
      </c>
      <c r="D1467" s="21" t="s">
        <v>6091</v>
      </c>
      <c r="E1467" s="10" t="s">
        <v>26</v>
      </c>
      <c r="F1467" s="10" t="s">
        <v>56</v>
      </c>
      <c r="G1467" s="10" t="s">
        <v>5</v>
      </c>
      <c r="H1467" s="10" t="s">
        <v>72</v>
      </c>
      <c r="I1467" s="11">
        <v>45068</v>
      </c>
      <c r="J1467" s="10" t="s">
        <v>40</v>
      </c>
      <c r="K1467" s="11">
        <v>45360</v>
      </c>
      <c r="L1467" s="10" t="s">
        <v>59</v>
      </c>
      <c r="M1467" s="12">
        <v>2774</v>
      </c>
      <c r="N1467" s="12">
        <v>730</v>
      </c>
      <c r="O1467" s="10">
        <v>37</v>
      </c>
      <c r="P1467" s="11">
        <v>45397</v>
      </c>
      <c r="Q1467" s="10" t="s">
        <v>33</v>
      </c>
      <c r="R1467" s="10" t="s">
        <v>33</v>
      </c>
      <c r="S1467" s="10" t="s">
        <v>34</v>
      </c>
      <c r="T1467" s="13">
        <v>3.8</v>
      </c>
      <c r="U1467" s="14">
        <v>292</v>
      </c>
      <c r="V1467" s="14">
        <v>2024</v>
      </c>
      <c r="W1467" s="10" t="s">
        <v>77</v>
      </c>
    </row>
    <row r="1468" spans="1:23" s="9" customFormat="1" ht="15.75" hidden="1" customHeight="1" x14ac:dyDescent="0.25">
      <c r="A1468" s="4" t="s">
        <v>4462</v>
      </c>
      <c r="B1468" s="4" t="s">
        <v>4463</v>
      </c>
      <c r="C1468" s="4" t="s">
        <v>4464</v>
      </c>
      <c r="D1468" s="21" t="s">
        <v>6088</v>
      </c>
      <c r="E1468" s="4" t="s">
        <v>87</v>
      </c>
      <c r="F1468" s="4" t="s">
        <v>65</v>
      </c>
      <c r="G1468" s="4" t="s">
        <v>28</v>
      </c>
      <c r="H1468" s="4" t="s">
        <v>72</v>
      </c>
      <c r="I1468" s="5">
        <v>45124</v>
      </c>
      <c r="J1468" s="4" t="s">
        <v>40</v>
      </c>
      <c r="K1468" s="5">
        <v>45393</v>
      </c>
      <c r="L1468" s="4" t="s">
        <v>59</v>
      </c>
      <c r="M1468" s="6">
        <v>13596</v>
      </c>
      <c r="N1468" s="6">
        <v>1302</v>
      </c>
      <c r="O1468" s="4">
        <v>37</v>
      </c>
      <c r="P1468" s="5">
        <v>45430</v>
      </c>
      <c r="Q1468" s="4" t="s">
        <v>33</v>
      </c>
      <c r="R1468" s="4" t="s">
        <v>33</v>
      </c>
      <c r="S1468" s="4" t="s">
        <v>34</v>
      </c>
      <c r="T1468" s="7">
        <v>10.442399999999999</v>
      </c>
      <c r="U1468" s="8">
        <v>269</v>
      </c>
      <c r="V1468" s="8">
        <v>2024</v>
      </c>
      <c r="W1468" s="4" t="s">
        <v>47</v>
      </c>
    </row>
    <row r="1469" spans="1:23" s="9" customFormat="1" ht="15.75" hidden="1" customHeight="1" x14ac:dyDescent="0.25">
      <c r="A1469" s="10" t="s">
        <v>4465</v>
      </c>
      <c r="B1469" s="10" t="s">
        <v>4466</v>
      </c>
      <c r="C1469" s="10" t="s">
        <v>4467</v>
      </c>
      <c r="D1469" s="21" t="s">
        <v>6091</v>
      </c>
      <c r="E1469" s="10" t="s">
        <v>51</v>
      </c>
      <c r="F1469" s="10" t="s">
        <v>65</v>
      </c>
      <c r="G1469" s="10" t="s">
        <v>57</v>
      </c>
      <c r="H1469" s="10" t="s">
        <v>118</v>
      </c>
      <c r="I1469" s="11">
        <v>45152</v>
      </c>
      <c r="J1469" s="10" t="s">
        <v>40</v>
      </c>
      <c r="K1469" s="11">
        <v>45425</v>
      </c>
      <c r="L1469" s="10" t="s">
        <v>59</v>
      </c>
      <c r="M1469" s="12">
        <v>2921</v>
      </c>
      <c r="N1469" s="12">
        <v>1149</v>
      </c>
      <c r="O1469" s="10">
        <v>4</v>
      </c>
      <c r="P1469" s="11">
        <v>45429</v>
      </c>
      <c r="Q1469" s="10" t="s">
        <v>33</v>
      </c>
      <c r="R1469" s="10" t="s">
        <v>33</v>
      </c>
      <c r="S1469" s="10" t="s">
        <v>34</v>
      </c>
      <c r="T1469" s="13">
        <v>2.5421999999999998</v>
      </c>
      <c r="U1469" s="14">
        <v>273</v>
      </c>
      <c r="V1469" s="14">
        <v>2024</v>
      </c>
      <c r="W1469" s="10" t="s">
        <v>52</v>
      </c>
    </row>
    <row r="1470" spans="1:23" s="9" customFormat="1" ht="15.75" hidden="1" customHeight="1" x14ac:dyDescent="0.25">
      <c r="A1470" s="4" t="s">
        <v>4468</v>
      </c>
      <c r="B1470" s="4" t="s">
        <v>4469</v>
      </c>
      <c r="C1470" s="4" t="s">
        <v>4470</v>
      </c>
      <c r="D1470" s="21" t="s">
        <v>6086</v>
      </c>
      <c r="E1470" s="4" t="s">
        <v>87</v>
      </c>
      <c r="F1470" s="4" t="s">
        <v>27</v>
      </c>
      <c r="G1470" s="4" t="s">
        <v>28</v>
      </c>
      <c r="H1470" s="4" t="s">
        <v>93</v>
      </c>
      <c r="I1470" s="5">
        <v>45513</v>
      </c>
      <c r="J1470" s="4" t="s">
        <v>30</v>
      </c>
      <c r="K1470" s="5">
        <v>45607</v>
      </c>
      <c r="L1470" s="4" t="s">
        <v>59</v>
      </c>
      <c r="M1470" s="6">
        <v>50267</v>
      </c>
      <c r="N1470" s="6">
        <v>8436</v>
      </c>
      <c r="O1470" s="4">
        <v>11</v>
      </c>
      <c r="P1470" s="5">
        <v>45618</v>
      </c>
      <c r="Q1470" s="4" t="s">
        <v>33</v>
      </c>
      <c r="R1470" s="4" t="s">
        <v>33</v>
      </c>
      <c r="S1470" s="4" t="s">
        <v>41</v>
      </c>
      <c r="T1470" s="7">
        <v>5.9585999999999997</v>
      </c>
      <c r="U1470" s="8">
        <v>94</v>
      </c>
      <c r="V1470" s="8">
        <v>2024</v>
      </c>
      <c r="W1470" s="4" t="s">
        <v>61</v>
      </c>
    </row>
    <row r="1471" spans="1:23" s="9" customFormat="1" ht="15.75" hidden="1" customHeight="1" x14ac:dyDescent="0.25">
      <c r="A1471" s="10" t="s">
        <v>4471</v>
      </c>
      <c r="B1471" s="10" t="s">
        <v>4472</v>
      </c>
      <c r="C1471" s="10" t="s">
        <v>4473</v>
      </c>
      <c r="D1471" s="21" t="s">
        <v>6091</v>
      </c>
      <c r="E1471" s="10" t="s">
        <v>87</v>
      </c>
      <c r="F1471" s="10" t="s">
        <v>46</v>
      </c>
      <c r="G1471" s="10" t="s">
        <v>28</v>
      </c>
      <c r="H1471" s="10" t="s">
        <v>88</v>
      </c>
      <c r="I1471" s="11">
        <v>45157</v>
      </c>
      <c r="J1471" s="10" t="s">
        <v>40</v>
      </c>
      <c r="K1471" s="11">
        <v>45516</v>
      </c>
      <c r="L1471" s="10" t="s">
        <v>59</v>
      </c>
      <c r="M1471" s="12">
        <v>5529</v>
      </c>
      <c r="N1471" s="12">
        <v>7188</v>
      </c>
      <c r="O1471" s="10">
        <v>20</v>
      </c>
      <c r="P1471" s="11">
        <v>45536</v>
      </c>
      <c r="Q1471" s="10" t="s">
        <v>33</v>
      </c>
      <c r="R1471" s="10" t="s">
        <v>33</v>
      </c>
      <c r="S1471" s="10" t="s">
        <v>34</v>
      </c>
      <c r="T1471" s="13">
        <v>0.76919999999999999</v>
      </c>
      <c r="U1471" s="14">
        <v>359</v>
      </c>
      <c r="V1471" s="14">
        <v>2024</v>
      </c>
      <c r="W1471" s="10" t="s">
        <v>114</v>
      </c>
    </row>
    <row r="1472" spans="1:23" s="9" customFormat="1" ht="15.75" hidden="1" customHeight="1" x14ac:dyDescent="0.25">
      <c r="A1472" s="4" t="s">
        <v>4474</v>
      </c>
      <c r="B1472" s="4" t="s">
        <v>4475</v>
      </c>
      <c r="C1472" s="4" t="s">
        <v>4476</v>
      </c>
      <c r="D1472" s="21" t="s">
        <v>6089</v>
      </c>
      <c r="E1472" s="4" t="s">
        <v>51</v>
      </c>
      <c r="F1472" s="21" t="s">
        <v>6092</v>
      </c>
      <c r="G1472" s="4" t="s">
        <v>57</v>
      </c>
      <c r="H1472" s="4" t="s">
        <v>93</v>
      </c>
      <c r="I1472" s="5">
        <v>45294</v>
      </c>
      <c r="J1472" s="4" t="s">
        <v>30</v>
      </c>
      <c r="K1472" s="5">
        <v>45618</v>
      </c>
      <c r="L1472" s="4" t="s">
        <v>59</v>
      </c>
      <c r="M1472" s="6">
        <v>35618</v>
      </c>
      <c r="N1472" s="6">
        <v>507</v>
      </c>
      <c r="O1472" s="4">
        <v>34</v>
      </c>
      <c r="P1472" s="5">
        <v>45652</v>
      </c>
      <c r="Q1472" s="4" t="s">
        <v>33</v>
      </c>
      <c r="R1472" s="4" t="s">
        <v>33</v>
      </c>
      <c r="S1472" s="4" t="s">
        <v>34</v>
      </c>
      <c r="T1472" s="7">
        <v>70.252499999999998</v>
      </c>
      <c r="U1472" s="8">
        <v>324</v>
      </c>
      <c r="V1472" s="8">
        <v>2024</v>
      </c>
      <c r="W1472" s="4" t="s">
        <v>61</v>
      </c>
    </row>
    <row r="1473" spans="1:23" s="9" customFormat="1" ht="15.75" hidden="1" customHeight="1" x14ac:dyDescent="0.25">
      <c r="A1473" s="10" t="s">
        <v>4477</v>
      </c>
      <c r="B1473" s="10" t="s">
        <v>4478</v>
      </c>
      <c r="C1473" s="10" t="s">
        <v>4479</v>
      </c>
      <c r="D1473" s="22" t="s">
        <v>6087</v>
      </c>
      <c r="E1473" s="10" t="s">
        <v>26</v>
      </c>
      <c r="F1473" s="21" t="s">
        <v>6092</v>
      </c>
      <c r="G1473" s="10" t="s">
        <v>5</v>
      </c>
      <c r="H1473" s="10" t="s">
        <v>118</v>
      </c>
      <c r="I1473" s="11">
        <v>45000</v>
      </c>
      <c r="J1473" s="10" t="s">
        <v>30</v>
      </c>
      <c r="K1473" s="11">
        <v>45334</v>
      </c>
      <c r="L1473" s="10" t="s">
        <v>31</v>
      </c>
      <c r="M1473" s="12">
        <v>15619</v>
      </c>
      <c r="N1473" s="12">
        <v>1823</v>
      </c>
      <c r="O1473" s="10" t="s">
        <v>32</v>
      </c>
      <c r="P1473" s="10" t="s">
        <v>32</v>
      </c>
      <c r="Q1473" s="10" t="s">
        <v>33</v>
      </c>
      <c r="R1473" s="10" t="s">
        <v>33</v>
      </c>
      <c r="S1473" s="10" t="s">
        <v>41</v>
      </c>
      <c r="T1473" s="13">
        <v>8.5677000000000003</v>
      </c>
      <c r="U1473" s="14">
        <v>334</v>
      </c>
      <c r="V1473" s="14">
        <v>2024</v>
      </c>
      <c r="W1473" s="10" t="s">
        <v>35</v>
      </c>
    </row>
    <row r="1474" spans="1:23" s="9" customFormat="1" ht="15.75" hidden="1" customHeight="1" x14ac:dyDescent="0.25">
      <c r="A1474" s="4" t="s">
        <v>4480</v>
      </c>
      <c r="B1474" s="4" t="s">
        <v>4481</v>
      </c>
      <c r="C1474" s="4" t="s">
        <v>4482</v>
      </c>
      <c r="D1474" s="22" t="s">
        <v>6087</v>
      </c>
      <c r="E1474" s="4" t="s">
        <v>87</v>
      </c>
      <c r="F1474" s="4" t="s">
        <v>27</v>
      </c>
      <c r="G1474" s="4" t="s">
        <v>57</v>
      </c>
      <c r="H1474" s="4" t="s">
        <v>29</v>
      </c>
      <c r="I1474" s="5">
        <v>45496</v>
      </c>
      <c r="J1474" s="4" t="s">
        <v>40</v>
      </c>
      <c r="K1474" s="5">
        <v>45643</v>
      </c>
      <c r="L1474" s="4" t="s">
        <v>59</v>
      </c>
      <c r="M1474" s="6">
        <v>16654</v>
      </c>
      <c r="N1474" s="6">
        <v>8317</v>
      </c>
      <c r="O1474" s="4">
        <v>41</v>
      </c>
      <c r="P1474" s="5">
        <v>45684</v>
      </c>
      <c r="Q1474" s="4" t="s">
        <v>33</v>
      </c>
      <c r="R1474" s="4" t="s">
        <v>33</v>
      </c>
      <c r="S1474" s="4" t="s">
        <v>60</v>
      </c>
      <c r="T1474" s="7">
        <v>2.0024000000000002</v>
      </c>
      <c r="U1474" s="8">
        <v>147</v>
      </c>
      <c r="V1474" s="8">
        <v>2024</v>
      </c>
      <c r="W1474" s="4" t="s">
        <v>89</v>
      </c>
    </row>
    <row r="1475" spans="1:23" s="9" customFormat="1" ht="15.75" hidden="1" customHeight="1" x14ac:dyDescent="0.25">
      <c r="A1475" s="10" t="s">
        <v>4483</v>
      </c>
      <c r="B1475" s="10" t="s">
        <v>4484</v>
      </c>
      <c r="C1475" s="10" t="s">
        <v>4485</v>
      </c>
      <c r="D1475" s="21" t="s">
        <v>6091</v>
      </c>
      <c r="E1475" s="10" t="s">
        <v>87</v>
      </c>
      <c r="F1475" s="10" t="s">
        <v>56</v>
      </c>
      <c r="G1475" s="10" t="s">
        <v>5</v>
      </c>
      <c r="H1475" s="10" t="s">
        <v>58</v>
      </c>
      <c r="I1475" s="11">
        <v>45219</v>
      </c>
      <c r="J1475" s="10" t="s">
        <v>40</v>
      </c>
      <c r="K1475" s="11">
        <v>45426</v>
      </c>
      <c r="L1475" s="10" t="s">
        <v>31</v>
      </c>
      <c r="M1475" s="12">
        <v>17353</v>
      </c>
      <c r="N1475" s="12">
        <v>5684</v>
      </c>
      <c r="O1475" s="10" t="s">
        <v>32</v>
      </c>
      <c r="P1475" s="10" t="s">
        <v>32</v>
      </c>
      <c r="Q1475" s="10" t="s">
        <v>33</v>
      </c>
      <c r="R1475" s="10" t="s">
        <v>33</v>
      </c>
      <c r="S1475" s="10" t="s">
        <v>41</v>
      </c>
      <c r="T1475" s="13">
        <v>3.0529999999999999</v>
      </c>
      <c r="U1475" s="14">
        <v>207</v>
      </c>
      <c r="V1475" s="14">
        <v>2024</v>
      </c>
      <c r="W1475" s="10" t="s">
        <v>52</v>
      </c>
    </row>
    <row r="1476" spans="1:23" s="9" customFormat="1" ht="15.75" hidden="1" customHeight="1" x14ac:dyDescent="0.25">
      <c r="A1476" s="4" t="s">
        <v>4486</v>
      </c>
      <c r="B1476" s="4" t="s">
        <v>4487</v>
      </c>
      <c r="C1476" s="4" t="s">
        <v>4488</v>
      </c>
      <c r="D1476" s="22" t="s">
        <v>6090</v>
      </c>
      <c r="E1476" s="4" t="s">
        <v>51</v>
      </c>
      <c r="F1476" s="21" t="s">
        <v>6092</v>
      </c>
      <c r="G1476" s="4" t="s">
        <v>5</v>
      </c>
      <c r="H1476" s="4" t="s">
        <v>72</v>
      </c>
      <c r="I1476" s="5">
        <v>45425</v>
      </c>
      <c r="J1476" s="4" t="s">
        <v>40</v>
      </c>
      <c r="K1476" s="5">
        <v>45522</v>
      </c>
      <c r="L1476" s="4" t="s">
        <v>59</v>
      </c>
      <c r="M1476" s="6">
        <v>6584</v>
      </c>
      <c r="N1476" s="6">
        <v>7245</v>
      </c>
      <c r="O1476" s="4">
        <v>30</v>
      </c>
      <c r="P1476" s="5">
        <v>45552</v>
      </c>
      <c r="Q1476" s="4" t="s">
        <v>33</v>
      </c>
      <c r="R1476" s="4" t="s">
        <v>33</v>
      </c>
      <c r="S1476" s="4" t="s">
        <v>34</v>
      </c>
      <c r="T1476" s="7">
        <v>0.90880000000000005</v>
      </c>
      <c r="U1476" s="8">
        <v>97</v>
      </c>
      <c r="V1476" s="8">
        <v>2024</v>
      </c>
      <c r="W1476" s="4" t="s">
        <v>114</v>
      </c>
    </row>
    <row r="1477" spans="1:23" s="9" customFormat="1" ht="15.75" hidden="1" customHeight="1" x14ac:dyDescent="0.25">
      <c r="A1477" s="10" t="s">
        <v>4489</v>
      </c>
      <c r="B1477" s="10" t="s">
        <v>4490</v>
      </c>
      <c r="C1477" s="10" t="s">
        <v>4491</v>
      </c>
      <c r="D1477" s="22" t="s">
        <v>6087</v>
      </c>
      <c r="E1477" s="10" t="s">
        <v>51</v>
      </c>
      <c r="F1477" s="10" t="s">
        <v>71</v>
      </c>
      <c r="G1477" s="10" t="s">
        <v>28</v>
      </c>
      <c r="H1477" s="10" t="s">
        <v>93</v>
      </c>
      <c r="I1477" s="11">
        <v>45212</v>
      </c>
      <c r="J1477" s="10" t="s">
        <v>30</v>
      </c>
      <c r="K1477" s="11">
        <v>45456</v>
      </c>
      <c r="L1477" s="10" t="s">
        <v>66</v>
      </c>
      <c r="M1477" s="12">
        <v>34034</v>
      </c>
      <c r="N1477" s="12">
        <v>3622</v>
      </c>
      <c r="O1477" s="10" t="s">
        <v>32</v>
      </c>
      <c r="P1477" s="10" t="s">
        <v>32</v>
      </c>
      <c r="Q1477" s="10" t="s">
        <v>33</v>
      </c>
      <c r="R1477" s="10" t="s">
        <v>33</v>
      </c>
      <c r="S1477" s="10" t="s">
        <v>60</v>
      </c>
      <c r="T1477" s="13">
        <v>9.3964999999999996</v>
      </c>
      <c r="U1477" s="14">
        <v>244</v>
      </c>
      <c r="V1477" s="14">
        <v>2024</v>
      </c>
      <c r="W1477" s="10" t="s">
        <v>67</v>
      </c>
    </row>
    <row r="1478" spans="1:23" s="9" customFormat="1" ht="15.75" hidden="1" customHeight="1" x14ac:dyDescent="0.25">
      <c r="A1478" s="4" t="s">
        <v>4492</v>
      </c>
      <c r="B1478" s="4" t="s">
        <v>4493</v>
      </c>
      <c r="C1478" s="4" t="s">
        <v>4494</v>
      </c>
      <c r="D1478" s="22" t="s">
        <v>6087</v>
      </c>
      <c r="E1478" s="4" t="s">
        <v>51</v>
      </c>
      <c r="F1478" s="4" t="s">
        <v>27</v>
      </c>
      <c r="G1478" s="4" t="s">
        <v>28</v>
      </c>
      <c r="H1478" s="4" t="s">
        <v>93</v>
      </c>
      <c r="I1478" s="5">
        <v>45180</v>
      </c>
      <c r="J1478" s="4" t="s">
        <v>40</v>
      </c>
      <c r="K1478" s="5">
        <v>45469</v>
      </c>
      <c r="L1478" s="4" t="s">
        <v>59</v>
      </c>
      <c r="M1478" s="6">
        <v>2350</v>
      </c>
      <c r="N1478" s="6">
        <v>7814</v>
      </c>
      <c r="O1478" s="4">
        <v>7</v>
      </c>
      <c r="P1478" s="5">
        <v>45476</v>
      </c>
      <c r="Q1478" s="4" t="s">
        <v>33</v>
      </c>
      <c r="R1478" s="4" t="s">
        <v>33</v>
      </c>
      <c r="S1478" s="4" t="s">
        <v>60</v>
      </c>
      <c r="T1478" s="7">
        <v>0.30070000000000002</v>
      </c>
      <c r="U1478" s="8">
        <v>289</v>
      </c>
      <c r="V1478" s="8">
        <v>2024</v>
      </c>
      <c r="W1478" s="4" t="s">
        <v>67</v>
      </c>
    </row>
    <row r="1479" spans="1:23" s="9" customFormat="1" ht="15.75" hidden="1" customHeight="1" x14ac:dyDescent="0.25">
      <c r="A1479" s="10" t="s">
        <v>4495</v>
      </c>
      <c r="B1479" s="10" t="s">
        <v>4496</v>
      </c>
      <c r="C1479" s="10" t="s">
        <v>4497</v>
      </c>
      <c r="D1479" s="22" t="s">
        <v>6087</v>
      </c>
      <c r="E1479" s="10" t="s">
        <v>51</v>
      </c>
      <c r="F1479" s="10" t="s">
        <v>56</v>
      </c>
      <c r="G1479" s="10" t="s">
        <v>28</v>
      </c>
      <c r="H1479" s="10" t="s">
        <v>58</v>
      </c>
      <c r="I1479" s="11">
        <v>45312</v>
      </c>
      <c r="J1479" s="10" t="s">
        <v>40</v>
      </c>
      <c r="K1479" s="11">
        <v>45526</v>
      </c>
      <c r="L1479" s="10" t="s">
        <v>66</v>
      </c>
      <c r="M1479" s="12">
        <v>37244</v>
      </c>
      <c r="N1479" s="12">
        <v>6472</v>
      </c>
      <c r="O1479" s="10" t="s">
        <v>32</v>
      </c>
      <c r="P1479" s="10" t="s">
        <v>32</v>
      </c>
      <c r="Q1479" s="10" t="s">
        <v>33</v>
      </c>
      <c r="R1479" s="10" t="s">
        <v>33</v>
      </c>
      <c r="S1479" s="10" t="s">
        <v>34</v>
      </c>
      <c r="T1479" s="13">
        <v>5.7545999999999999</v>
      </c>
      <c r="U1479" s="14">
        <v>214</v>
      </c>
      <c r="V1479" s="14">
        <v>2024</v>
      </c>
      <c r="W1479" s="10" t="s">
        <v>114</v>
      </c>
    </row>
    <row r="1480" spans="1:23" s="9" customFormat="1" ht="15.75" hidden="1" customHeight="1" x14ac:dyDescent="0.25">
      <c r="A1480" s="4" t="s">
        <v>4498</v>
      </c>
      <c r="B1480" s="4" t="s">
        <v>4499</v>
      </c>
      <c r="C1480" s="4" t="s">
        <v>4500</v>
      </c>
      <c r="D1480" s="21" t="s">
        <v>6089</v>
      </c>
      <c r="E1480" s="4" t="s">
        <v>51</v>
      </c>
      <c r="F1480" s="4" t="s">
        <v>56</v>
      </c>
      <c r="G1480" s="4" t="s">
        <v>5</v>
      </c>
      <c r="H1480" s="4" t="s">
        <v>39</v>
      </c>
      <c r="I1480" s="5">
        <v>45039</v>
      </c>
      <c r="J1480" s="4" t="s">
        <v>30</v>
      </c>
      <c r="K1480" s="5">
        <v>45353</v>
      </c>
      <c r="L1480" s="4" t="s">
        <v>59</v>
      </c>
      <c r="M1480" s="6">
        <v>52338</v>
      </c>
      <c r="N1480" s="6">
        <v>6549</v>
      </c>
      <c r="O1480" s="4">
        <v>15</v>
      </c>
      <c r="P1480" s="5">
        <v>45368</v>
      </c>
      <c r="Q1480" s="4" t="s">
        <v>33</v>
      </c>
      <c r="R1480" s="4" t="s">
        <v>33</v>
      </c>
      <c r="S1480" s="4" t="s">
        <v>34</v>
      </c>
      <c r="T1480" s="7">
        <v>7.9917999999999996</v>
      </c>
      <c r="U1480" s="8">
        <v>314</v>
      </c>
      <c r="V1480" s="8">
        <v>2024</v>
      </c>
      <c r="W1480" s="4" t="s">
        <v>77</v>
      </c>
    </row>
    <row r="1481" spans="1:23" s="9" customFormat="1" ht="15.75" hidden="1" customHeight="1" x14ac:dyDescent="0.25">
      <c r="A1481" s="10" t="s">
        <v>4501</v>
      </c>
      <c r="B1481" s="10" t="s">
        <v>4502</v>
      </c>
      <c r="C1481" s="10" t="s">
        <v>4503</v>
      </c>
      <c r="D1481" s="22" t="s">
        <v>6090</v>
      </c>
      <c r="E1481" s="10" t="s">
        <v>87</v>
      </c>
      <c r="F1481" s="10" t="s">
        <v>46</v>
      </c>
      <c r="G1481" s="10" t="s">
        <v>28</v>
      </c>
      <c r="H1481" s="10" t="s">
        <v>58</v>
      </c>
      <c r="I1481" s="11">
        <v>44985</v>
      </c>
      <c r="J1481" s="10" t="s">
        <v>30</v>
      </c>
      <c r="K1481" s="11">
        <v>45327</v>
      </c>
      <c r="L1481" s="10" t="s">
        <v>59</v>
      </c>
      <c r="M1481" s="12">
        <v>42749</v>
      </c>
      <c r="N1481" s="12">
        <v>8435</v>
      </c>
      <c r="O1481" s="10">
        <v>17</v>
      </c>
      <c r="P1481" s="11">
        <v>45344</v>
      </c>
      <c r="Q1481" s="10" t="s">
        <v>33</v>
      </c>
      <c r="R1481" s="10" t="s">
        <v>33</v>
      </c>
      <c r="S1481" s="10" t="s">
        <v>41</v>
      </c>
      <c r="T1481" s="13">
        <v>5.0679999999999996</v>
      </c>
      <c r="U1481" s="14">
        <v>342</v>
      </c>
      <c r="V1481" s="14">
        <v>2024</v>
      </c>
      <c r="W1481" s="10" t="s">
        <v>35</v>
      </c>
    </row>
    <row r="1482" spans="1:23" s="9" customFormat="1" ht="15.75" hidden="1" customHeight="1" x14ac:dyDescent="0.25">
      <c r="A1482" s="4" t="s">
        <v>4504</v>
      </c>
      <c r="B1482" s="4" t="s">
        <v>4505</v>
      </c>
      <c r="C1482" s="4" t="s">
        <v>4506</v>
      </c>
      <c r="D1482" s="22" t="s">
        <v>6090</v>
      </c>
      <c r="E1482" s="4" t="s">
        <v>51</v>
      </c>
      <c r="F1482" s="21" t="s">
        <v>6092</v>
      </c>
      <c r="G1482" s="4" t="s">
        <v>57</v>
      </c>
      <c r="H1482" s="4" t="s">
        <v>72</v>
      </c>
      <c r="I1482" s="5">
        <v>45020</v>
      </c>
      <c r="J1482" s="4" t="s">
        <v>40</v>
      </c>
      <c r="K1482" s="5">
        <v>45313</v>
      </c>
      <c r="L1482" s="4" t="s">
        <v>59</v>
      </c>
      <c r="M1482" s="6">
        <v>49150</v>
      </c>
      <c r="N1482" s="6">
        <v>8116</v>
      </c>
      <c r="O1482" s="4">
        <v>15</v>
      </c>
      <c r="P1482" s="5">
        <v>45328</v>
      </c>
      <c r="Q1482" s="4" t="s">
        <v>33</v>
      </c>
      <c r="R1482" s="4" t="s">
        <v>33</v>
      </c>
      <c r="S1482" s="4" t="s">
        <v>34</v>
      </c>
      <c r="T1482" s="7">
        <v>6.0559000000000003</v>
      </c>
      <c r="U1482" s="8">
        <v>293</v>
      </c>
      <c r="V1482" s="8">
        <v>2024</v>
      </c>
      <c r="W1482" s="4" t="s">
        <v>73</v>
      </c>
    </row>
    <row r="1483" spans="1:23" s="9" customFormat="1" ht="15.75" hidden="1" customHeight="1" x14ac:dyDescent="0.25">
      <c r="A1483" s="10" t="s">
        <v>4507</v>
      </c>
      <c r="B1483" s="10" t="s">
        <v>4508</v>
      </c>
      <c r="C1483" s="10" t="s">
        <v>4509</v>
      </c>
      <c r="D1483" s="22" t="s">
        <v>6087</v>
      </c>
      <c r="E1483" s="10" t="s">
        <v>87</v>
      </c>
      <c r="F1483" s="10" t="s">
        <v>65</v>
      </c>
      <c r="G1483" s="10" t="s">
        <v>28</v>
      </c>
      <c r="H1483" s="10" t="s">
        <v>161</v>
      </c>
      <c r="I1483" s="11">
        <v>45238</v>
      </c>
      <c r="J1483" s="10" t="s">
        <v>30</v>
      </c>
      <c r="K1483" s="11">
        <v>45349</v>
      </c>
      <c r="L1483" s="10" t="s">
        <v>59</v>
      </c>
      <c r="M1483" s="12">
        <v>10503</v>
      </c>
      <c r="N1483" s="12">
        <v>4595</v>
      </c>
      <c r="O1483" s="10">
        <v>23</v>
      </c>
      <c r="P1483" s="11">
        <v>45372</v>
      </c>
      <c r="Q1483" s="10" t="s">
        <v>33</v>
      </c>
      <c r="R1483" s="10" t="s">
        <v>33</v>
      </c>
      <c r="S1483" s="10" t="s">
        <v>60</v>
      </c>
      <c r="T1483" s="13">
        <v>2.2856999999999998</v>
      </c>
      <c r="U1483" s="14">
        <v>111</v>
      </c>
      <c r="V1483" s="14">
        <v>2024</v>
      </c>
      <c r="W1483" s="10" t="s">
        <v>35</v>
      </c>
    </row>
    <row r="1484" spans="1:23" s="9" customFormat="1" ht="15.75" hidden="1" customHeight="1" x14ac:dyDescent="0.25">
      <c r="A1484" s="4" t="s">
        <v>4510</v>
      </c>
      <c r="B1484" s="4" t="s">
        <v>4511</v>
      </c>
      <c r="C1484" s="4" t="s">
        <v>4512</v>
      </c>
      <c r="D1484" s="21" t="s">
        <v>6091</v>
      </c>
      <c r="E1484" s="4" t="s">
        <v>26</v>
      </c>
      <c r="F1484" s="4" t="s">
        <v>27</v>
      </c>
      <c r="G1484" s="4" t="s">
        <v>28</v>
      </c>
      <c r="H1484" s="4" t="s">
        <v>58</v>
      </c>
      <c r="I1484" s="5">
        <v>45278</v>
      </c>
      <c r="J1484" s="4" t="s">
        <v>40</v>
      </c>
      <c r="K1484" s="5">
        <v>45349</v>
      </c>
      <c r="L1484" s="4" t="s">
        <v>59</v>
      </c>
      <c r="M1484" s="6">
        <v>16939</v>
      </c>
      <c r="N1484" s="6">
        <v>2086</v>
      </c>
      <c r="O1484" s="4">
        <v>36</v>
      </c>
      <c r="P1484" s="5">
        <v>45385</v>
      </c>
      <c r="Q1484" s="4" t="s">
        <v>33</v>
      </c>
      <c r="R1484" s="4" t="s">
        <v>33</v>
      </c>
      <c r="S1484" s="4" t="s">
        <v>60</v>
      </c>
      <c r="T1484" s="7">
        <v>8.1203000000000003</v>
      </c>
      <c r="U1484" s="8">
        <v>71</v>
      </c>
      <c r="V1484" s="8">
        <v>2024</v>
      </c>
      <c r="W1484" s="4" t="s">
        <v>35</v>
      </c>
    </row>
    <row r="1485" spans="1:23" s="9" customFormat="1" ht="15.75" hidden="1" customHeight="1" x14ac:dyDescent="0.25">
      <c r="A1485" s="10" t="s">
        <v>4513</v>
      </c>
      <c r="B1485" s="10" t="s">
        <v>4514</v>
      </c>
      <c r="C1485" s="10" t="s">
        <v>4515</v>
      </c>
      <c r="D1485" s="21" t="s">
        <v>6088</v>
      </c>
      <c r="E1485" s="10" t="s">
        <v>87</v>
      </c>
      <c r="F1485" s="10" t="s">
        <v>56</v>
      </c>
      <c r="G1485" s="10" t="s">
        <v>57</v>
      </c>
      <c r="H1485" s="10" t="s">
        <v>39</v>
      </c>
      <c r="I1485" s="11">
        <v>45294</v>
      </c>
      <c r="J1485" s="10" t="s">
        <v>30</v>
      </c>
      <c r="K1485" s="11">
        <v>45402</v>
      </c>
      <c r="L1485" s="10" t="s">
        <v>59</v>
      </c>
      <c r="M1485" s="12">
        <v>46371</v>
      </c>
      <c r="N1485" s="12">
        <v>1599</v>
      </c>
      <c r="O1485" s="10">
        <v>30</v>
      </c>
      <c r="P1485" s="11">
        <v>45432</v>
      </c>
      <c r="Q1485" s="10" t="s">
        <v>33</v>
      </c>
      <c r="R1485" s="10" t="s">
        <v>33</v>
      </c>
      <c r="S1485" s="10" t="s">
        <v>34</v>
      </c>
      <c r="T1485" s="13">
        <v>29</v>
      </c>
      <c r="U1485" s="14">
        <v>108</v>
      </c>
      <c r="V1485" s="14">
        <v>2024</v>
      </c>
      <c r="W1485" s="10" t="s">
        <v>47</v>
      </c>
    </row>
    <row r="1486" spans="1:23" s="9" customFormat="1" ht="15.75" hidden="1" customHeight="1" x14ac:dyDescent="0.25">
      <c r="A1486" s="4" t="s">
        <v>4516</v>
      </c>
      <c r="B1486" s="4" t="s">
        <v>4517</v>
      </c>
      <c r="C1486" s="4" t="s">
        <v>4518</v>
      </c>
      <c r="D1486" s="22" t="s">
        <v>6087</v>
      </c>
      <c r="E1486" s="4" t="s">
        <v>26</v>
      </c>
      <c r="F1486" s="4" t="s">
        <v>71</v>
      </c>
      <c r="G1486" s="4" t="s">
        <v>57</v>
      </c>
      <c r="H1486" s="4" t="s">
        <v>93</v>
      </c>
      <c r="I1486" s="5">
        <v>44944</v>
      </c>
      <c r="J1486" s="4" t="s">
        <v>30</v>
      </c>
      <c r="K1486" s="5">
        <v>45292</v>
      </c>
      <c r="L1486" s="4" t="s">
        <v>59</v>
      </c>
      <c r="M1486" s="6">
        <v>36018</v>
      </c>
      <c r="N1486" s="6">
        <v>1719</v>
      </c>
      <c r="O1486" s="4">
        <v>34</v>
      </c>
      <c r="P1486" s="5">
        <v>45326</v>
      </c>
      <c r="Q1486" s="4" t="s">
        <v>33</v>
      </c>
      <c r="R1486" s="4" t="s">
        <v>33</v>
      </c>
      <c r="S1486" s="4" t="s">
        <v>60</v>
      </c>
      <c r="T1486" s="7">
        <v>20.9529</v>
      </c>
      <c r="U1486" s="8">
        <v>348</v>
      </c>
      <c r="V1486" s="8">
        <v>2024</v>
      </c>
      <c r="W1486" s="4" t="s">
        <v>73</v>
      </c>
    </row>
    <row r="1487" spans="1:23" s="9" customFormat="1" ht="15.75" hidden="1" customHeight="1" x14ac:dyDescent="0.25">
      <c r="A1487" s="10" t="s">
        <v>4519</v>
      </c>
      <c r="B1487" s="10" t="s">
        <v>4520</v>
      </c>
      <c r="C1487" s="10" t="s">
        <v>4521</v>
      </c>
      <c r="D1487" s="21" t="s">
        <v>6091</v>
      </c>
      <c r="E1487" s="10" t="s">
        <v>87</v>
      </c>
      <c r="F1487" s="10" t="s">
        <v>27</v>
      </c>
      <c r="G1487" s="10" t="s">
        <v>57</v>
      </c>
      <c r="H1487" s="10" t="s">
        <v>72</v>
      </c>
      <c r="I1487" s="11">
        <v>45035</v>
      </c>
      <c r="J1487" s="10" t="s">
        <v>40</v>
      </c>
      <c r="K1487" s="11">
        <v>45327</v>
      </c>
      <c r="L1487" s="10" t="s">
        <v>59</v>
      </c>
      <c r="M1487" s="12">
        <v>15650</v>
      </c>
      <c r="N1487" s="12">
        <v>4868</v>
      </c>
      <c r="O1487" s="10">
        <v>3</v>
      </c>
      <c r="P1487" s="11">
        <v>45330</v>
      </c>
      <c r="Q1487" s="10" t="s">
        <v>33</v>
      </c>
      <c r="R1487" s="10" t="s">
        <v>33</v>
      </c>
      <c r="S1487" s="10" t="s">
        <v>34</v>
      </c>
      <c r="T1487" s="13">
        <v>3.2149000000000001</v>
      </c>
      <c r="U1487" s="14">
        <v>292</v>
      </c>
      <c r="V1487" s="14">
        <v>2024</v>
      </c>
      <c r="W1487" s="10" t="s">
        <v>35</v>
      </c>
    </row>
    <row r="1488" spans="1:23" s="9" customFormat="1" ht="15.75" hidden="1" customHeight="1" x14ac:dyDescent="0.25">
      <c r="A1488" s="4" t="s">
        <v>4522</v>
      </c>
      <c r="B1488" s="4" t="s">
        <v>4523</v>
      </c>
      <c r="C1488" s="4" t="s">
        <v>4524</v>
      </c>
      <c r="D1488" s="22" t="s">
        <v>6090</v>
      </c>
      <c r="E1488" s="4" t="s">
        <v>26</v>
      </c>
      <c r="F1488" s="21" t="s">
        <v>6092</v>
      </c>
      <c r="G1488" s="4" t="s">
        <v>5</v>
      </c>
      <c r="H1488" s="4" t="s">
        <v>39</v>
      </c>
      <c r="I1488" s="5">
        <v>45143</v>
      </c>
      <c r="J1488" s="4" t="s">
        <v>30</v>
      </c>
      <c r="K1488" s="5">
        <v>45322</v>
      </c>
      <c r="L1488" s="4" t="s">
        <v>59</v>
      </c>
      <c r="M1488" s="6">
        <v>47382</v>
      </c>
      <c r="N1488" s="6">
        <v>3893</v>
      </c>
      <c r="O1488" s="4">
        <v>37</v>
      </c>
      <c r="P1488" s="5">
        <v>45359</v>
      </c>
      <c r="Q1488" s="4" t="s">
        <v>33</v>
      </c>
      <c r="R1488" s="4" t="s">
        <v>33</v>
      </c>
      <c r="S1488" s="4" t="s">
        <v>41</v>
      </c>
      <c r="T1488" s="7">
        <v>12.171099999999999</v>
      </c>
      <c r="U1488" s="8">
        <v>179</v>
      </c>
      <c r="V1488" s="8">
        <v>2024</v>
      </c>
      <c r="W1488" s="4" t="s">
        <v>73</v>
      </c>
    </row>
    <row r="1489" spans="1:23" s="9" customFormat="1" ht="15.75" hidden="1" customHeight="1" x14ac:dyDescent="0.25">
      <c r="A1489" s="10" t="s">
        <v>4525</v>
      </c>
      <c r="B1489" s="10" t="s">
        <v>4526</v>
      </c>
      <c r="C1489" s="10" t="s">
        <v>4527</v>
      </c>
      <c r="D1489" s="21" t="s">
        <v>6089</v>
      </c>
      <c r="E1489" s="10" t="s">
        <v>87</v>
      </c>
      <c r="F1489" s="10" t="s">
        <v>56</v>
      </c>
      <c r="G1489" s="10" t="s">
        <v>5</v>
      </c>
      <c r="H1489" s="10" t="s">
        <v>72</v>
      </c>
      <c r="I1489" s="11">
        <v>45247</v>
      </c>
      <c r="J1489" s="10" t="s">
        <v>30</v>
      </c>
      <c r="K1489" s="11">
        <v>45609</v>
      </c>
      <c r="L1489" s="10" t="s">
        <v>59</v>
      </c>
      <c r="M1489" s="12">
        <v>30207</v>
      </c>
      <c r="N1489" s="12">
        <v>1680</v>
      </c>
      <c r="O1489" s="10">
        <v>9</v>
      </c>
      <c r="P1489" s="11">
        <v>45618</v>
      </c>
      <c r="Q1489" s="10" t="s">
        <v>33</v>
      </c>
      <c r="R1489" s="10" t="s">
        <v>33</v>
      </c>
      <c r="S1489" s="10" t="s">
        <v>34</v>
      </c>
      <c r="T1489" s="13">
        <v>17.980399999999999</v>
      </c>
      <c r="U1489" s="14">
        <v>362</v>
      </c>
      <c r="V1489" s="14">
        <v>2024</v>
      </c>
      <c r="W1489" s="10" t="s">
        <v>61</v>
      </c>
    </row>
    <row r="1490" spans="1:23" s="9" customFormat="1" ht="15.75" hidden="1" customHeight="1" x14ac:dyDescent="0.25">
      <c r="A1490" s="4" t="s">
        <v>4528</v>
      </c>
      <c r="B1490" s="4" t="s">
        <v>4529</v>
      </c>
      <c r="C1490" s="4" t="s">
        <v>4530</v>
      </c>
      <c r="D1490" s="22" t="s">
        <v>6090</v>
      </c>
      <c r="E1490" s="4" t="s">
        <v>51</v>
      </c>
      <c r="F1490" s="4" t="s">
        <v>27</v>
      </c>
      <c r="G1490" s="4" t="s">
        <v>5</v>
      </c>
      <c r="H1490" s="4" t="s">
        <v>161</v>
      </c>
      <c r="I1490" s="5">
        <v>45204</v>
      </c>
      <c r="J1490" s="4" t="s">
        <v>30</v>
      </c>
      <c r="K1490" s="5">
        <v>45379</v>
      </c>
      <c r="L1490" s="4" t="s">
        <v>59</v>
      </c>
      <c r="M1490" s="6">
        <v>13616</v>
      </c>
      <c r="N1490" s="6">
        <v>2356</v>
      </c>
      <c r="O1490" s="4">
        <v>35</v>
      </c>
      <c r="P1490" s="5">
        <v>45414</v>
      </c>
      <c r="Q1490" s="4" t="s">
        <v>33</v>
      </c>
      <c r="R1490" s="4" t="s">
        <v>33</v>
      </c>
      <c r="S1490" s="4" t="s">
        <v>34</v>
      </c>
      <c r="T1490" s="7">
        <v>5.7793000000000001</v>
      </c>
      <c r="U1490" s="8">
        <v>175</v>
      </c>
      <c r="V1490" s="8">
        <v>2024</v>
      </c>
      <c r="W1490" s="4" t="s">
        <v>77</v>
      </c>
    </row>
    <row r="1491" spans="1:23" s="9" customFormat="1" ht="15.75" hidden="1" customHeight="1" x14ac:dyDescent="0.25">
      <c r="A1491" s="10" t="s">
        <v>4531</v>
      </c>
      <c r="B1491" s="10" t="s">
        <v>4532</v>
      </c>
      <c r="C1491" s="10" t="s">
        <v>4533</v>
      </c>
      <c r="D1491" s="21" t="s">
        <v>6086</v>
      </c>
      <c r="E1491" s="10" t="s">
        <v>51</v>
      </c>
      <c r="F1491" s="10" t="s">
        <v>46</v>
      </c>
      <c r="G1491" s="10" t="s">
        <v>28</v>
      </c>
      <c r="H1491" s="10" t="s">
        <v>93</v>
      </c>
      <c r="I1491" s="11">
        <v>45112</v>
      </c>
      <c r="J1491" s="10" t="s">
        <v>30</v>
      </c>
      <c r="K1491" s="11">
        <v>45318</v>
      </c>
      <c r="L1491" s="10" t="s">
        <v>31</v>
      </c>
      <c r="M1491" s="12">
        <v>71528</v>
      </c>
      <c r="N1491" s="12">
        <v>8344</v>
      </c>
      <c r="O1491" s="10" t="s">
        <v>32</v>
      </c>
      <c r="P1491" s="10" t="s">
        <v>32</v>
      </c>
      <c r="Q1491" s="10" t="s">
        <v>33</v>
      </c>
      <c r="R1491" s="10" t="s">
        <v>33</v>
      </c>
      <c r="S1491" s="10" t="s">
        <v>34</v>
      </c>
      <c r="T1491" s="13">
        <v>8.5724</v>
      </c>
      <c r="U1491" s="14">
        <v>206</v>
      </c>
      <c r="V1491" s="14">
        <v>2024</v>
      </c>
      <c r="W1491" s="10" t="s">
        <v>73</v>
      </c>
    </row>
    <row r="1492" spans="1:23" s="9" customFormat="1" ht="15.75" hidden="1" customHeight="1" x14ac:dyDescent="0.25">
      <c r="A1492" s="4" t="s">
        <v>4534</v>
      </c>
      <c r="B1492" s="4" t="s">
        <v>4535</v>
      </c>
      <c r="C1492" s="4" t="s">
        <v>4536</v>
      </c>
      <c r="D1492" s="22" t="s">
        <v>6087</v>
      </c>
      <c r="E1492" s="4" t="s">
        <v>51</v>
      </c>
      <c r="F1492" s="4" t="s">
        <v>56</v>
      </c>
      <c r="G1492" s="4" t="s">
        <v>5</v>
      </c>
      <c r="H1492" s="4" t="s">
        <v>58</v>
      </c>
      <c r="I1492" s="5">
        <v>45287</v>
      </c>
      <c r="J1492" s="4" t="s">
        <v>40</v>
      </c>
      <c r="K1492" s="5">
        <v>45506</v>
      </c>
      <c r="L1492" s="4" t="s">
        <v>66</v>
      </c>
      <c r="M1492" s="6">
        <v>37251</v>
      </c>
      <c r="N1492" s="6">
        <v>7106</v>
      </c>
      <c r="O1492" s="4" t="s">
        <v>32</v>
      </c>
      <c r="P1492" s="4" t="s">
        <v>32</v>
      </c>
      <c r="Q1492" s="4" t="s">
        <v>33</v>
      </c>
      <c r="R1492" s="4" t="s">
        <v>33</v>
      </c>
      <c r="S1492" s="4" t="s">
        <v>41</v>
      </c>
      <c r="T1492" s="7">
        <v>5.2422000000000004</v>
      </c>
      <c r="U1492" s="8">
        <v>219</v>
      </c>
      <c r="V1492" s="8">
        <v>2024</v>
      </c>
      <c r="W1492" s="4" t="s">
        <v>114</v>
      </c>
    </row>
    <row r="1493" spans="1:23" s="9" customFormat="1" ht="15.75" hidden="1" customHeight="1" x14ac:dyDescent="0.25">
      <c r="A1493" s="10" t="s">
        <v>4537</v>
      </c>
      <c r="B1493" s="10" t="s">
        <v>4538</v>
      </c>
      <c r="C1493" s="10" t="s">
        <v>4539</v>
      </c>
      <c r="D1493" s="21" t="s">
        <v>6086</v>
      </c>
      <c r="E1493" s="10" t="s">
        <v>26</v>
      </c>
      <c r="F1493" s="21" t="s">
        <v>6092</v>
      </c>
      <c r="G1493" s="10" t="s">
        <v>5</v>
      </c>
      <c r="H1493" s="10" t="s">
        <v>72</v>
      </c>
      <c r="I1493" s="11">
        <v>45247</v>
      </c>
      <c r="J1493" s="10" t="s">
        <v>40</v>
      </c>
      <c r="K1493" s="11">
        <v>45322</v>
      </c>
      <c r="L1493" s="10" t="s">
        <v>59</v>
      </c>
      <c r="M1493" s="12">
        <v>95693</v>
      </c>
      <c r="N1493" s="12">
        <v>1454</v>
      </c>
      <c r="O1493" s="10">
        <v>2</v>
      </c>
      <c r="P1493" s="11">
        <v>45324</v>
      </c>
      <c r="Q1493" s="10" t="s">
        <v>33</v>
      </c>
      <c r="R1493" s="10" t="s">
        <v>33</v>
      </c>
      <c r="S1493" s="10" t="s">
        <v>41</v>
      </c>
      <c r="T1493" s="13">
        <v>65.813599999999994</v>
      </c>
      <c r="U1493" s="14">
        <v>75</v>
      </c>
      <c r="V1493" s="14">
        <v>2024</v>
      </c>
      <c r="W1493" s="10" t="s">
        <v>73</v>
      </c>
    </row>
    <row r="1494" spans="1:23" s="9" customFormat="1" ht="15.75" hidden="1" customHeight="1" x14ac:dyDescent="0.25">
      <c r="A1494" s="4" t="s">
        <v>4540</v>
      </c>
      <c r="B1494" s="4" t="s">
        <v>4541</v>
      </c>
      <c r="C1494" s="4" t="s">
        <v>4542</v>
      </c>
      <c r="D1494" s="22" t="s">
        <v>6087</v>
      </c>
      <c r="E1494" s="4" t="s">
        <v>26</v>
      </c>
      <c r="F1494" s="4" t="s">
        <v>56</v>
      </c>
      <c r="G1494" s="4" t="s">
        <v>57</v>
      </c>
      <c r="H1494" s="4" t="s">
        <v>58</v>
      </c>
      <c r="I1494" s="5">
        <v>45362</v>
      </c>
      <c r="J1494" s="4" t="s">
        <v>30</v>
      </c>
      <c r="K1494" s="5">
        <v>45595</v>
      </c>
      <c r="L1494" s="4" t="s">
        <v>59</v>
      </c>
      <c r="M1494" s="6">
        <v>36599</v>
      </c>
      <c r="N1494" s="6">
        <v>3659</v>
      </c>
      <c r="O1494" s="4">
        <v>24</v>
      </c>
      <c r="P1494" s="5">
        <v>45619</v>
      </c>
      <c r="Q1494" s="4" t="s">
        <v>33</v>
      </c>
      <c r="R1494" s="4" t="s">
        <v>33</v>
      </c>
      <c r="S1494" s="4" t="s">
        <v>34</v>
      </c>
      <c r="T1494" s="7">
        <v>10.0025</v>
      </c>
      <c r="U1494" s="8">
        <v>233</v>
      </c>
      <c r="V1494" s="8">
        <v>2024</v>
      </c>
      <c r="W1494" s="4" t="s">
        <v>95</v>
      </c>
    </row>
    <row r="1495" spans="1:23" s="9" customFormat="1" ht="15.75" hidden="1" customHeight="1" x14ac:dyDescent="0.25">
      <c r="A1495" s="10" t="s">
        <v>4543</v>
      </c>
      <c r="B1495" s="10" t="s">
        <v>4544</v>
      </c>
      <c r="C1495" s="10" t="s">
        <v>4545</v>
      </c>
      <c r="D1495" s="22" t="s">
        <v>6087</v>
      </c>
      <c r="E1495" s="10" t="s">
        <v>51</v>
      </c>
      <c r="F1495" s="10" t="s">
        <v>65</v>
      </c>
      <c r="G1495" s="10" t="s">
        <v>5</v>
      </c>
      <c r="H1495" s="10" t="s">
        <v>58</v>
      </c>
      <c r="I1495" s="11">
        <v>45096</v>
      </c>
      <c r="J1495" s="10" t="s">
        <v>30</v>
      </c>
      <c r="K1495" s="11">
        <v>45305</v>
      </c>
      <c r="L1495" s="10" t="s">
        <v>31</v>
      </c>
      <c r="M1495" s="12">
        <v>6318</v>
      </c>
      <c r="N1495" s="12">
        <v>4011</v>
      </c>
      <c r="O1495" s="10" t="s">
        <v>32</v>
      </c>
      <c r="P1495" s="10" t="s">
        <v>32</v>
      </c>
      <c r="Q1495" s="10" t="s">
        <v>33</v>
      </c>
      <c r="R1495" s="10" t="s">
        <v>33</v>
      </c>
      <c r="S1495" s="10" t="s">
        <v>41</v>
      </c>
      <c r="T1495" s="13">
        <v>1.5751999999999999</v>
      </c>
      <c r="U1495" s="14">
        <v>209</v>
      </c>
      <c r="V1495" s="14">
        <v>2024</v>
      </c>
      <c r="W1495" s="10" t="s">
        <v>73</v>
      </c>
    </row>
    <row r="1496" spans="1:23" s="9" customFormat="1" ht="15.75" hidden="1" customHeight="1" x14ac:dyDescent="0.25">
      <c r="A1496" s="4" t="s">
        <v>4546</v>
      </c>
      <c r="B1496" s="4" t="s">
        <v>4547</v>
      </c>
      <c r="C1496" s="4" t="s">
        <v>4548</v>
      </c>
      <c r="D1496" s="21" t="s">
        <v>6086</v>
      </c>
      <c r="E1496" s="4" t="s">
        <v>87</v>
      </c>
      <c r="F1496" s="4" t="s">
        <v>46</v>
      </c>
      <c r="G1496" s="4" t="s">
        <v>5</v>
      </c>
      <c r="H1496" s="4" t="s">
        <v>72</v>
      </c>
      <c r="I1496" s="5">
        <v>45260</v>
      </c>
      <c r="J1496" s="4" t="s">
        <v>30</v>
      </c>
      <c r="K1496" s="5">
        <v>45581</v>
      </c>
      <c r="L1496" s="4" t="s">
        <v>59</v>
      </c>
      <c r="M1496" s="6">
        <v>44465</v>
      </c>
      <c r="N1496" s="6">
        <v>4300</v>
      </c>
      <c r="O1496" s="4">
        <v>31</v>
      </c>
      <c r="P1496" s="5">
        <v>45612</v>
      </c>
      <c r="Q1496" s="4" t="s">
        <v>33</v>
      </c>
      <c r="R1496" s="4" t="s">
        <v>33</v>
      </c>
      <c r="S1496" s="4" t="s">
        <v>41</v>
      </c>
      <c r="T1496" s="7">
        <v>10.3407</v>
      </c>
      <c r="U1496" s="8">
        <v>321</v>
      </c>
      <c r="V1496" s="8">
        <v>2024</v>
      </c>
      <c r="W1496" s="4" t="s">
        <v>95</v>
      </c>
    </row>
    <row r="1497" spans="1:23" s="9" customFormat="1" ht="15.75" hidden="1" customHeight="1" x14ac:dyDescent="0.25">
      <c r="A1497" s="10" t="s">
        <v>4549</v>
      </c>
      <c r="B1497" s="10" t="s">
        <v>4550</v>
      </c>
      <c r="C1497" s="10" t="s">
        <v>4551</v>
      </c>
      <c r="D1497" s="22" t="s">
        <v>6090</v>
      </c>
      <c r="E1497" s="10" t="s">
        <v>26</v>
      </c>
      <c r="F1497" s="10" t="s">
        <v>71</v>
      </c>
      <c r="G1497" s="10" t="s">
        <v>57</v>
      </c>
      <c r="H1497" s="10" t="s">
        <v>39</v>
      </c>
      <c r="I1497" s="11">
        <v>45324</v>
      </c>
      <c r="J1497" s="10" t="s">
        <v>40</v>
      </c>
      <c r="K1497" s="11">
        <v>45500</v>
      </c>
      <c r="L1497" s="10" t="s">
        <v>59</v>
      </c>
      <c r="M1497" s="12">
        <v>53162</v>
      </c>
      <c r="N1497" s="12">
        <v>5419</v>
      </c>
      <c r="O1497" s="10">
        <v>37</v>
      </c>
      <c r="P1497" s="11">
        <v>45537</v>
      </c>
      <c r="Q1497" s="10" t="s">
        <v>33</v>
      </c>
      <c r="R1497" s="10" t="s">
        <v>33</v>
      </c>
      <c r="S1497" s="10" t="s">
        <v>60</v>
      </c>
      <c r="T1497" s="13">
        <v>9.8102999999999998</v>
      </c>
      <c r="U1497" s="14">
        <v>176</v>
      </c>
      <c r="V1497" s="14">
        <v>2024</v>
      </c>
      <c r="W1497" s="10" t="s">
        <v>42</v>
      </c>
    </row>
    <row r="1498" spans="1:23" s="9" customFormat="1" ht="15.75" hidden="1" customHeight="1" x14ac:dyDescent="0.25">
      <c r="A1498" s="4" t="s">
        <v>4552</v>
      </c>
      <c r="B1498" s="4" t="s">
        <v>4553</v>
      </c>
      <c r="C1498" s="4" t="s">
        <v>4554</v>
      </c>
      <c r="D1498" s="22" t="s">
        <v>6087</v>
      </c>
      <c r="E1498" s="4" t="s">
        <v>51</v>
      </c>
      <c r="F1498" s="21" t="s">
        <v>6092</v>
      </c>
      <c r="G1498" s="4" t="s">
        <v>5</v>
      </c>
      <c r="H1498" s="4" t="s">
        <v>39</v>
      </c>
      <c r="I1498" s="5">
        <v>45120</v>
      </c>
      <c r="J1498" s="4" t="s">
        <v>30</v>
      </c>
      <c r="K1498" s="5">
        <v>45389</v>
      </c>
      <c r="L1498" s="4" t="s">
        <v>31</v>
      </c>
      <c r="M1498" s="6">
        <v>3813</v>
      </c>
      <c r="N1498" s="6">
        <v>8341</v>
      </c>
      <c r="O1498" s="4" t="s">
        <v>32</v>
      </c>
      <c r="P1498" s="4" t="s">
        <v>32</v>
      </c>
      <c r="Q1498" s="4" t="s">
        <v>33</v>
      </c>
      <c r="R1498" s="4" t="s">
        <v>33</v>
      </c>
      <c r="S1498" s="4" t="s">
        <v>60</v>
      </c>
      <c r="T1498" s="7">
        <v>0.45710000000000001</v>
      </c>
      <c r="U1498" s="8">
        <v>269</v>
      </c>
      <c r="V1498" s="8">
        <v>2024</v>
      </c>
      <c r="W1498" s="4" t="s">
        <v>47</v>
      </c>
    </row>
    <row r="1499" spans="1:23" s="9" customFormat="1" ht="15.75" hidden="1" customHeight="1" x14ac:dyDescent="0.25">
      <c r="A1499" s="10" t="s">
        <v>4555</v>
      </c>
      <c r="B1499" s="10" t="s">
        <v>4556</v>
      </c>
      <c r="C1499" s="10" t="s">
        <v>4557</v>
      </c>
      <c r="D1499" s="21" t="s">
        <v>6088</v>
      </c>
      <c r="E1499" s="10" t="s">
        <v>87</v>
      </c>
      <c r="F1499" s="10" t="s">
        <v>46</v>
      </c>
      <c r="G1499" s="10" t="s">
        <v>28</v>
      </c>
      <c r="H1499" s="10" t="s">
        <v>161</v>
      </c>
      <c r="I1499" s="11">
        <v>45120</v>
      </c>
      <c r="J1499" s="10" t="s">
        <v>40</v>
      </c>
      <c r="K1499" s="11">
        <v>45404</v>
      </c>
      <c r="L1499" s="10" t="s">
        <v>59</v>
      </c>
      <c r="M1499" s="12">
        <v>30012</v>
      </c>
      <c r="N1499" s="12">
        <v>7947</v>
      </c>
      <c r="O1499" s="10">
        <v>14</v>
      </c>
      <c r="P1499" s="11">
        <v>45418</v>
      </c>
      <c r="Q1499" s="10" t="s">
        <v>33</v>
      </c>
      <c r="R1499" s="10" t="s">
        <v>33</v>
      </c>
      <c r="S1499" s="10" t="s">
        <v>60</v>
      </c>
      <c r="T1499" s="13">
        <v>3.7765</v>
      </c>
      <c r="U1499" s="14">
        <v>284</v>
      </c>
      <c r="V1499" s="14">
        <v>2024</v>
      </c>
      <c r="W1499" s="10" t="s">
        <v>47</v>
      </c>
    </row>
    <row r="1500" spans="1:23" s="9" customFormat="1" ht="15.75" hidden="1" customHeight="1" x14ac:dyDescent="0.25">
      <c r="A1500" s="4" t="s">
        <v>4558</v>
      </c>
      <c r="B1500" s="4" t="s">
        <v>4559</v>
      </c>
      <c r="C1500" s="4" t="s">
        <v>4560</v>
      </c>
      <c r="D1500" s="21" t="s">
        <v>6089</v>
      </c>
      <c r="E1500" s="4" t="s">
        <v>51</v>
      </c>
      <c r="F1500" s="21" t="s">
        <v>6092</v>
      </c>
      <c r="G1500" s="4" t="s">
        <v>28</v>
      </c>
      <c r="H1500" s="4" t="s">
        <v>72</v>
      </c>
      <c r="I1500" s="5">
        <v>45314</v>
      </c>
      <c r="J1500" s="4" t="s">
        <v>40</v>
      </c>
      <c r="K1500" s="5">
        <v>45486</v>
      </c>
      <c r="L1500" s="4" t="s">
        <v>31</v>
      </c>
      <c r="M1500" s="6">
        <v>22647</v>
      </c>
      <c r="N1500" s="6">
        <v>963</v>
      </c>
      <c r="O1500" s="4" t="s">
        <v>32</v>
      </c>
      <c r="P1500" s="4" t="s">
        <v>32</v>
      </c>
      <c r="Q1500" s="4" t="s">
        <v>33</v>
      </c>
      <c r="R1500" s="4" t="s">
        <v>33</v>
      </c>
      <c r="S1500" s="4" t="s">
        <v>60</v>
      </c>
      <c r="T1500" s="7">
        <v>23.517099999999999</v>
      </c>
      <c r="U1500" s="8">
        <v>172</v>
      </c>
      <c r="V1500" s="8">
        <v>2024</v>
      </c>
      <c r="W1500" s="4" t="s">
        <v>42</v>
      </c>
    </row>
    <row r="1501" spans="1:23" s="9" customFormat="1" ht="15.75" hidden="1" customHeight="1" x14ac:dyDescent="0.25">
      <c r="A1501" s="10" t="s">
        <v>4561</v>
      </c>
      <c r="B1501" s="10" t="s">
        <v>4562</v>
      </c>
      <c r="C1501" s="10" t="s">
        <v>4563</v>
      </c>
      <c r="D1501" s="21" t="s">
        <v>6088</v>
      </c>
      <c r="E1501" s="10" t="s">
        <v>51</v>
      </c>
      <c r="F1501" s="10" t="s">
        <v>56</v>
      </c>
      <c r="G1501" s="10" t="s">
        <v>28</v>
      </c>
      <c r="H1501" s="10" t="s">
        <v>118</v>
      </c>
      <c r="I1501" s="11">
        <v>44998</v>
      </c>
      <c r="J1501" s="10" t="s">
        <v>40</v>
      </c>
      <c r="K1501" s="11">
        <v>45319</v>
      </c>
      <c r="L1501" s="10" t="s">
        <v>31</v>
      </c>
      <c r="M1501" s="12">
        <v>33132</v>
      </c>
      <c r="N1501" s="12">
        <v>4592</v>
      </c>
      <c r="O1501" s="10" t="s">
        <v>32</v>
      </c>
      <c r="P1501" s="10" t="s">
        <v>32</v>
      </c>
      <c r="Q1501" s="10" t="s">
        <v>94</v>
      </c>
      <c r="R1501" s="10" t="s">
        <v>94</v>
      </c>
      <c r="S1501" s="10" t="s">
        <v>60</v>
      </c>
      <c r="T1501" s="13">
        <v>7.2152000000000003</v>
      </c>
      <c r="U1501" s="14">
        <v>321</v>
      </c>
      <c r="V1501" s="14">
        <v>2024</v>
      </c>
      <c r="W1501" s="10" t="s">
        <v>73</v>
      </c>
    </row>
    <row r="1502" spans="1:23" s="9" customFormat="1" ht="15.75" hidden="1" customHeight="1" x14ac:dyDescent="0.25">
      <c r="A1502" s="4" t="s">
        <v>4564</v>
      </c>
      <c r="B1502" s="4" t="s">
        <v>4565</v>
      </c>
      <c r="C1502" s="4" t="s">
        <v>4566</v>
      </c>
      <c r="D1502" s="22" t="s">
        <v>6087</v>
      </c>
      <c r="E1502" s="4" t="s">
        <v>87</v>
      </c>
      <c r="F1502" s="21" t="s">
        <v>6092</v>
      </c>
      <c r="G1502" s="4" t="s">
        <v>5</v>
      </c>
      <c r="H1502" s="4" t="s">
        <v>29</v>
      </c>
      <c r="I1502" s="5">
        <v>45431</v>
      </c>
      <c r="J1502" s="4" t="s">
        <v>40</v>
      </c>
      <c r="K1502" s="5">
        <v>45634</v>
      </c>
      <c r="L1502" s="4" t="s">
        <v>59</v>
      </c>
      <c r="M1502" s="6">
        <v>19368</v>
      </c>
      <c r="N1502" s="6">
        <v>1184</v>
      </c>
      <c r="O1502" s="4">
        <v>34</v>
      </c>
      <c r="P1502" s="5">
        <v>45668</v>
      </c>
      <c r="Q1502" s="4" t="s">
        <v>33</v>
      </c>
      <c r="R1502" s="4" t="s">
        <v>33</v>
      </c>
      <c r="S1502" s="4" t="s">
        <v>41</v>
      </c>
      <c r="T1502" s="7">
        <v>16.3581</v>
      </c>
      <c r="U1502" s="8">
        <v>203</v>
      </c>
      <c r="V1502" s="8">
        <v>2024</v>
      </c>
      <c r="W1502" s="4" t="s">
        <v>89</v>
      </c>
    </row>
    <row r="1503" spans="1:23" s="9" customFormat="1" ht="15.75" hidden="1" customHeight="1" x14ac:dyDescent="0.25">
      <c r="A1503" s="10" t="s">
        <v>4567</v>
      </c>
      <c r="B1503" s="10" t="s">
        <v>4568</v>
      </c>
      <c r="C1503" s="10" t="s">
        <v>4569</v>
      </c>
      <c r="D1503" s="22" t="s">
        <v>6090</v>
      </c>
      <c r="E1503" s="10" t="s">
        <v>26</v>
      </c>
      <c r="F1503" s="10" t="s">
        <v>27</v>
      </c>
      <c r="G1503" s="10" t="s">
        <v>57</v>
      </c>
      <c r="H1503" s="10" t="s">
        <v>88</v>
      </c>
      <c r="I1503" s="11">
        <v>45567</v>
      </c>
      <c r="J1503" s="10" t="s">
        <v>40</v>
      </c>
      <c r="K1503" s="11">
        <v>45602</v>
      </c>
      <c r="L1503" s="10" t="s">
        <v>31</v>
      </c>
      <c r="M1503" s="12">
        <v>7234</v>
      </c>
      <c r="N1503" s="12">
        <v>3125</v>
      </c>
      <c r="O1503" s="10" t="s">
        <v>32</v>
      </c>
      <c r="P1503" s="10" t="s">
        <v>32</v>
      </c>
      <c r="Q1503" s="10" t="s">
        <v>33</v>
      </c>
      <c r="R1503" s="10" t="s">
        <v>33</v>
      </c>
      <c r="S1503" s="10" t="s">
        <v>41</v>
      </c>
      <c r="T1503" s="13">
        <v>2.3149000000000002</v>
      </c>
      <c r="U1503" s="14">
        <v>35</v>
      </c>
      <c r="V1503" s="14">
        <v>2024</v>
      </c>
      <c r="W1503" s="10" t="s">
        <v>61</v>
      </c>
    </row>
    <row r="1504" spans="1:23" s="9" customFormat="1" ht="27.75" customHeight="1" x14ac:dyDescent="0.25">
      <c r="A1504" s="4" t="s">
        <v>4570</v>
      </c>
      <c r="B1504" s="4" t="s">
        <v>4571</v>
      </c>
      <c r="C1504" s="4" t="s">
        <v>4572</v>
      </c>
      <c r="D1504" s="22" t="s">
        <v>6087</v>
      </c>
      <c r="E1504" s="4" t="s">
        <v>87</v>
      </c>
      <c r="F1504" s="10" t="s">
        <v>6092</v>
      </c>
      <c r="G1504" s="4" t="s">
        <v>5</v>
      </c>
      <c r="H1504" s="4" t="s">
        <v>88</v>
      </c>
      <c r="I1504" s="5">
        <v>45283</v>
      </c>
      <c r="J1504" s="4" t="s">
        <v>40</v>
      </c>
      <c r="K1504" s="5">
        <v>45623</v>
      </c>
      <c r="L1504" s="4" t="s">
        <v>59</v>
      </c>
      <c r="M1504" s="6">
        <v>9830</v>
      </c>
      <c r="N1504" s="6">
        <v>7849</v>
      </c>
      <c r="O1504" s="4">
        <v>41</v>
      </c>
      <c r="P1504" s="5">
        <v>45664</v>
      </c>
      <c r="Q1504" s="4" t="s">
        <v>94</v>
      </c>
      <c r="R1504" s="4" t="s">
        <v>94</v>
      </c>
      <c r="S1504" s="4" t="s">
        <v>41</v>
      </c>
      <c r="T1504" s="7">
        <v>1.2524</v>
      </c>
      <c r="U1504" s="8">
        <v>340</v>
      </c>
      <c r="V1504" s="8">
        <v>2024</v>
      </c>
      <c r="W1504" s="4" t="s">
        <v>61</v>
      </c>
    </row>
    <row r="1505" spans="1:23" s="9" customFormat="1" ht="15.75" hidden="1" customHeight="1" x14ac:dyDescent="0.25">
      <c r="A1505" s="10" t="s">
        <v>4573</v>
      </c>
      <c r="B1505" s="10" t="s">
        <v>4574</v>
      </c>
      <c r="C1505" s="10" t="s">
        <v>4575</v>
      </c>
      <c r="D1505" s="21" t="s">
        <v>6091</v>
      </c>
      <c r="E1505" s="10" t="s">
        <v>51</v>
      </c>
      <c r="F1505" s="10" t="s">
        <v>56</v>
      </c>
      <c r="G1505" s="10" t="s">
        <v>5</v>
      </c>
      <c r="H1505" s="10" t="s">
        <v>39</v>
      </c>
      <c r="I1505" s="11">
        <v>45331</v>
      </c>
      <c r="J1505" s="10" t="s">
        <v>30</v>
      </c>
      <c r="K1505" s="11">
        <v>45374</v>
      </c>
      <c r="L1505" s="10" t="s">
        <v>59</v>
      </c>
      <c r="M1505" s="12">
        <v>3055</v>
      </c>
      <c r="N1505" s="12">
        <v>7478</v>
      </c>
      <c r="O1505" s="10">
        <v>8</v>
      </c>
      <c r="P1505" s="11">
        <v>45382</v>
      </c>
      <c r="Q1505" s="10" t="s">
        <v>33</v>
      </c>
      <c r="R1505" s="10" t="s">
        <v>33</v>
      </c>
      <c r="S1505" s="10" t="s">
        <v>60</v>
      </c>
      <c r="T1505" s="13">
        <v>0.40849999999999997</v>
      </c>
      <c r="U1505" s="14">
        <v>43</v>
      </c>
      <c r="V1505" s="14">
        <v>2024</v>
      </c>
      <c r="W1505" s="10" t="s">
        <v>77</v>
      </c>
    </row>
    <row r="1506" spans="1:23" s="9" customFormat="1" ht="15.75" hidden="1" customHeight="1" x14ac:dyDescent="0.25">
      <c r="A1506" s="4" t="s">
        <v>4576</v>
      </c>
      <c r="B1506" s="4" t="s">
        <v>4577</v>
      </c>
      <c r="C1506" s="4" t="s">
        <v>4578</v>
      </c>
      <c r="D1506" s="21" t="s">
        <v>6091</v>
      </c>
      <c r="E1506" s="4" t="s">
        <v>51</v>
      </c>
      <c r="F1506" s="4" t="s">
        <v>46</v>
      </c>
      <c r="G1506" s="4" t="s">
        <v>5</v>
      </c>
      <c r="H1506" s="4" t="s">
        <v>93</v>
      </c>
      <c r="I1506" s="5">
        <v>45211</v>
      </c>
      <c r="J1506" s="4" t="s">
        <v>40</v>
      </c>
      <c r="K1506" s="5">
        <v>45398</v>
      </c>
      <c r="L1506" s="4" t="s">
        <v>31</v>
      </c>
      <c r="M1506" s="6">
        <v>17555</v>
      </c>
      <c r="N1506" s="6">
        <v>2187</v>
      </c>
      <c r="O1506" s="4" t="s">
        <v>32</v>
      </c>
      <c r="P1506" s="4" t="s">
        <v>32</v>
      </c>
      <c r="Q1506" s="4" t="s">
        <v>33</v>
      </c>
      <c r="R1506" s="4" t="s">
        <v>33</v>
      </c>
      <c r="S1506" s="4" t="s">
        <v>60</v>
      </c>
      <c r="T1506" s="7">
        <v>8.0269999999999992</v>
      </c>
      <c r="U1506" s="8">
        <v>187</v>
      </c>
      <c r="V1506" s="8">
        <v>2024</v>
      </c>
      <c r="W1506" s="4" t="s">
        <v>47</v>
      </c>
    </row>
    <row r="1507" spans="1:23" s="9" customFormat="1" ht="15.75" hidden="1" customHeight="1" x14ac:dyDescent="0.25">
      <c r="A1507" s="10" t="s">
        <v>4579</v>
      </c>
      <c r="B1507" s="10" t="s">
        <v>4580</v>
      </c>
      <c r="C1507" s="10" t="s">
        <v>4581</v>
      </c>
      <c r="D1507" s="21" t="s">
        <v>6086</v>
      </c>
      <c r="E1507" s="10" t="s">
        <v>51</v>
      </c>
      <c r="F1507" s="10" t="s">
        <v>27</v>
      </c>
      <c r="G1507" s="10" t="s">
        <v>5</v>
      </c>
      <c r="H1507" s="10" t="s">
        <v>39</v>
      </c>
      <c r="I1507" s="11">
        <v>45250</v>
      </c>
      <c r="J1507" s="10" t="s">
        <v>40</v>
      </c>
      <c r="K1507" s="11">
        <v>45442</v>
      </c>
      <c r="L1507" s="10" t="s">
        <v>66</v>
      </c>
      <c r="M1507" s="12">
        <v>80955</v>
      </c>
      <c r="N1507" s="12">
        <v>4523</v>
      </c>
      <c r="O1507" s="10" t="s">
        <v>32</v>
      </c>
      <c r="P1507" s="10" t="s">
        <v>32</v>
      </c>
      <c r="Q1507" s="10" t="s">
        <v>33</v>
      </c>
      <c r="R1507" s="10" t="s">
        <v>33</v>
      </c>
      <c r="S1507" s="10" t="s">
        <v>60</v>
      </c>
      <c r="T1507" s="13">
        <v>17.898499999999999</v>
      </c>
      <c r="U1507" s="14">
        <v>192</v>
      </c>
      <c r="V1507" s="14">
        <v>2024</v>
      </c>
      <c r="W1507" s="10" t="s">
        <v>52</v>
      </c>
    </row>
    <row r="1508" spans="1:23" s="9" customFormat="1" ht="15.75" hidden="1" customHeight="1" x14ac:dyDescent="0.25">
      <c r="A1508" s="4" t="s">
        <v>4582</v>
      </c>
      <c r="B1508" s="4" t="s">
        <v>4583</v>
      </c>
      <c r="C1508" s="4" t="s">
        <v>4584</v>
      </c>
      <c r="D1508" s="22" t="s">
        <v>6087</v>
      </c>
      <c r="E1508" s="4" t="s">
        <v>26</v>
      </c>
      <c r="F1508" s="21" t="s">
        <v>6092</v>
      </c>
      <c r="G1508" s="4" t="s">
        <v>57</v>
      </c>
      <c r="H1508" s="4" t="s">
        <v>29</v>
      </c>
      <c r="I1508" s="5">
        <v>45004</v>
      </c>
      <c r="J1508" s="4" t="s">
        <v>30</v>
      </c>
      <c r="K1508" s="5">
        <v>45359</v>
      </c>
      <c r="L1508" s="4" t="s">
        <v>59</v>
      </c>
      <c r="M1508" s="6">
        <v>20459</v>
      </c>
      <c r="N1508" s="6">
        <v>8909</v>
      </c>
      <c r="O1508" s="4">
        <v>37</v>
      </c>
      <c r="P1508" s="5">
        <v>45396</v>
      </c>
      <c r="Q1508" s="4" t="s">
        <v>94</v>
      </c>
      <c r="R1508" s="4" t="s">
        <v>33</v>
      </c>
      <c r="S1508" s="4" t="s">
        <v>41</v>
      </c>
      <c r="T1508" s="7">
        <v>2.2964000000000002</v>
      </c>
      <c r="U1508" s="8">
        <v>355</v>
      </c>
      <c r="V1508" s="8">
        <v>2024</v>
      </c>
      <c r="W1508" s="4" t="s">
        <v>77</v>
      </c>
    </row>
    <row r="1509" spans="1:23" s="9" customFormat="1" ht="15.75" hidden="1" customHeight="1" x14ac:dyDescent="0.25">
      <c r="A1509" s="10" t="s">
        <v>4585</v>
      </c>
      <c r="B1509" s="10" t="s">
        <v>4586</v>
      </c>
      <c r="C1509" s="10" t="s">
        <v>4587</v>
      </c>
      <c r="D1509" s="21" t="s">
        <v>6086</v>
      </c>
      <c r="E1509" s="10" t="s">
        <v>26</v>
      </c>
      <c r="F1509" s="10" t="s">
        <v>27</v>
      </c>
      <c r="G1509" s="10" t="s">
        <v>5</v>
      </c>
      <c r="H1509" s="10" t="s">
        <v>58</v>
      </c>
      <c r="I1509" s="11">
        <v>45352</v>
      </c>
      <c r="J1509" s="10" t="s">
        <v>30</v>
      </c>
      <c r="K1509" s="11">
        <v>45637</v>
      </c>
      <c r="L1509" s="10" t="s">
        <v>66</v>
      </c>
      <c r="M1509" s="12">
        <v>68843</v>
      </c>
      <c r="N1509" s="12">
        <v>1935</v>
      </c>
      <c r="O1509" s="10" t="s">
        <v>32</v>
      </c>
      <c r="P1509" s="10" t="s">
        <v>32</v>
      </c>
      <c r="Q1509" s="10" t="s">
        <v>94</v>
      </c>
      <c r="R1509" s="10" t="s">
        <v>94</v>
      </c>
      <c r="S1509" s="10" t="s">
        <v>60</v>
      </c>
      <c r="T1509" s="13">
        <v>35.577800000000003</v>
      </c>
      <c r="U1509" s="14">
        <v>285</v>
      </c>
      <c r="V1509" s="14">
        <v>2024</v>
      </c>
      <c r="W1509" s="10" t="s">
        <v>89</v>
      </c>
    </row>
    <row r="1510" spans="1:23" s="9" customFormat="1" ht="15.75" hidden="1" customHeight="1" x14ac:dyDescent="0.25">
      <c r="A1510" s="4" t="s">
        <v>4588</v>
      </c>
      <c r="B1510" s="4" t="s">
        <v>4589</v>
      </c>
      <c r="C1510" s="4" t="s">
        <v>4590</v>
      </c>
      <c r="D1510" s="22" t="s">
        <v>6087</v>
      </c>
      <c r="E1510" s="4" t="s">
        <v>26</v>
      </c>
      <c r="F1510" s="4" t="s">
        <v>71</v>
      </c>
      <c r="G1510" s="4" t="s">
        <v>5</v>
      </c>
      <c r="H1510" s="4" t="s">
        <v>161</v>
      </c>
      <c r="I1510" s="5">
        <v>45444</v>
      </c>
      <c r="J1510" s="4" t="s">
        <v>30</v>
      </c>
      <c r="K1510" s="5">
        <v>45505</v>
      </c>
      <c r="L1510" s="4" t="s">
        <v>59</v>
      </c>
      <c r="M1510" s="6">
        <v>15393</v>
      </c>
      <c r="N1510" s="6">
        <v>4311</v>
      </c>
      <c r="O1510" s="4">
        <v>45</v>
      </c>
      <c r="P1510" s="5">
        <v>45550</v>
      </c>
      <c r="Q1510" s="4" t="s">
        <v>94</v>
      </c>
      <c r="R1510" s="4" t="s">
        <v>94</v>
      </c>
      <c r="S1510" s="4" t="s">
        <v>41</v>
      </c>
      <c r="T1510" s="7">
        <v>3.5706000000000002</v>
      </c>
      <c r="U1510" s="8">
        <v>61</v>
      </c>
      <c r="V1510" s="8">
        <v>2024</v>
      </c>
      <c r="W1510" s="4" t="s">
        <v>114</v>
      </c>
    </row>
    <row r="1511" spans="1:23" s="9" customFormat="1" ht="15.75" hidden="1" customHeight="1" x14ac:dyDescent="0.25">
      <c r="A1511" s="10" t="s">
        <v>4591</v>
      </c>
      <c r="B1511" s="10" t="s">
        <v>4592</v>
      </c>
      <c r="C1511" s="10" t="s">
        <v>4593</v>
      </c>
      <c r="D1511" s="22" t="s">
        <v>6087</v>
      </c>
      <c r="E1511" s="10" t="s">
        <v>87</v>
      </c>
      <c r="F1511" s="10" t="s">
        <v>65</v>
      </c>
      <c r="G1511" s="10" t="s">
        <v>28</v>
      </c>
      <c r="H1511" s="10" t="s">
        <v>72</v>
      </c>
      <c r="I1511" s="11">
        <v>45498</v>
      </c>
      <c r="J1511" s="10" t="s">
        <v>40</v>
      </c>
      <c r="K1511" s="11">
        <v>45634</v>
      </c>
      <c r="L1511" s="10" t="s">
        <v>66</v>
      </c>
      <c r="M1511" s="12">
        <v>22495</v>
      </c>
      <c r="N1511" s="12">
        <v>8556</v>
      </c>
      <c r="O1511" s="10" t="s">
        <v>32</v>
      </c>
      <c r="P1511" s="10" t="s">
        <v>32</v>
      </c>
      <c r="Q1511" s="10" t="s">
        <v>33</v>
      </c>
      <c r="R1511" s="10" t="s">
        <v>33</v>
      </c>
      <c r="S1511" s="10" t="s">
        <v>60</v>
      </c>
      <c r="T1511" s="13">
        <v>2.6291000000000002</v>
      </c>
      <c r="U1511" s="14">
        <v>136</v>
      </c>
      <c r="V1511" s="14">
        <v>2024</v>
      </c>
      <c r="W1511" s="10" t="s">
        <v>89</v>
      </c>
    </row>
    <row r="1512" spans="1:23" s="9" customFormat="1" ht="15.75" hidden="1" customHeight="1" x14ac:dyDescent="0.25">
      <c r="A1512" s="4" t="s">
        <v>4594</v>
      </c>
      <c r="B1512" s="4" t="s">
        <v>4595</v>
      </c>
      <c r="C1512" s="4" t="s">
        <v>4596</v>
      </c>
      <c r="D1512" s="22" t="s">
        <v>6087</v>
      </c>
      <c r="E1512" s="4" t="s">
        <v>51</v>
      </c>
      <c r="F1512" s="4" t="s">
        <v>71</v>
      </c>
      <c r="G1512" s="4" t="s">
        <v>5</v>
      </c>
      <c r="H1512" s="4" t="s">
        <v>29</v>
      </c>
      <c r="I1512" s="5">
        <v>45321</v>
      </c>
      <c r="J1512" s="4" t="s">
        <v>30</v>
      </c>
      <c r="K1512" s="5">
        <v>45614</v>
      </c>
      <c r="L1512" s="4" t="s">
        <v>59</v>
      </c>
      <c r="M1512" s="6">
        <v>32245</v>
      </c>
      <c r="N1512" s="6">
        <v>3798</v>
      </c>
      <c r="O1512" s="4">
        <v>7</v>
      </c>
      <c r="P1512" s="5">
        <v>45621</v>
      </c>
      <c r="Q1512" s="4" t="s">
        <v>94</v>
      </c>
      <c r="R1512" s="4" t="s">
        <v>33</v>
      </c>
      <c r="S1512" s="4" t="s">
        <v>41</v>
      </c>
      <c r="T1512" s="7">
        <v>8.49</v>
      </c>
      <c r="U1512" s="8">
        <v>293</v>
      </c>
      <c r="V1512" s="8">
        <v>2024</v>
      </c>
      <c r="W1512" s="4" t="s">
        <v>61</v>
      </c>
    </row>
    <row r="1513" spans="1:23" s="9" customFormat="1" ht="15.75" hidden="1" customHeight="1" x14ac:dyDescent="0.25">
      <c r="A1513" s="10" t="s">
        <v>4597</v>
      </c>
      <c r="B1513" s="10" t="s">
        <v>4598</v>
      </c>
      <c r="C1513" s="10" t="s">
        <v>4599</v>
      </c>
      <c r="D1513" s="22" t="s">
        <v>6090</v>
      </c>
      <c r="E1513" s="10" t="s">
        <v>51</v>
      </c>
      <c r="F1513" s="10" t="s">
        <v>56</v>
      </c>
      <c r="G1513" s="10" t="s">
        <v>57</v>
      </c>
      <c r="H1513" s="10" t="s">
        <v>93</v>
      </c>
      <c r="I1513" s="11">
        <v>45298</v>
      </c>
      <c r="J1513" s="10" t="s">
        <v>40</v>
      </c>
      <c r="K1513" s="11">
        <v>45362</v>
      </c>
      <c r="L1513" s="10" t="s">
        <v>31</v>
      </c>
      <c r="M1513" s="12">
        <v>54614</v>
      </c>
      <c r="N1513" s="12">
        <v>6372</v>
      </c>
      <c r="O1513" s="10" t="s">
        <v>32</v>
      </c>
      <c r="P1513" s="10" t="s">
        <v>32</v>
      </c>
      <c r="Q1513" s="10" t="s">
        <v>33</v>
      </c>
      <c r="R1513" s="10" t="s">
        <v>33</v>
      </c>
      <c r="S1513" s="10" t="s">
        <v>60</v>
      </c>
      <c r="T1513" s="13">
        <v>8.5709</v>
      </c>
      <c r="U1513" s="14">
        <v>64</v>
      </c>
      <c r="V1513" s="14">
        <v>2024</v>
      </c>
      <c r="W1513" s="10" t="s">
        <v>77</v>
      </c>
    </row>
    <row r="1514" spans="1:23" s="9" customFormat="1" ht="15.75" hidden="1" customHeight="1" x14ac:dyDescent="0.25">
      <c r="A1514" s="4" t="s">
        <v>4600</v>
      </c>
      <c r="B1514" s="4" t="s">
        <v>4601</v>
      </c>
      <c r="C1514" s="4" t="s">
        <v>4602</v>
      </c>
      <c r="D1514" s="21" t="s">
        <v>6091</v>
      </c>
      <c r="E1514" s="4" t="s">
        <v>26</v>
      </c>
      <c r="F1514" s="4" t="s">
        <v>65</v>
      </c>
      <c r="G1514" s="4" t="s">
        <v>28</v>
      </c>
      <c r="H1514" s="4" t="s">
        <v>72</v>
      </c>
      <c r="I1514" s="5">
        <v>45079</v>
      </c>
      <c r="J1514" s="4" t="s">
        <v>40</v>
      </c>
      <c r="K1514" s="5">
        <v>45343</v>
      </c>
      <c r="L1514" s="4" t="s">
        <v>59</v>
      </c>
      <c r="M1514" s="6">
        <v>2041</v>
      </c>
      <c r="N1514" s="6">
        <v>2543</v>
      </c>
      <c r="O1514" s="4">
        <v>4</v>
      </c>
      <c r="P1514" s="5">
        <v>45347</v>
      </c>
      <c r="Q1514" s="4" t="s">
        <v>33</v>
      </c>
      <c r="R1514" s="4" t="s">
        <v>33</v>
      </c>
      <c r="S1514" s="4" t="s">
        <v>60</v>
      </c>
      <c r="T1514" s="7">
        <v>0.80259999999999998</v>
      </c>
      <c r="U1514" s="8">
        <v>264</v>
      </c>
      <c r="V1514" s="8">
        <v>2024</v>
      </c>
      <c r="W1514" s="4" t="s">
        <v>35</v>
      </c>
    </row>
    <row r="1515" spans="1:23" s="9" customFormat="1" ht="15.75" hidden="1" customHeight="1" x14ac:dyDescent="0.25">
      <c r="A1515" s="10" t="s">
        <v>4603</v>
      </c>
      <c r="B1515" s="10" t="s">
        <v>4604</v>
      </c>
      <c r="C1515" s="10" t="s">
        <v>4605</v>
      </c>
      <c r="D1515" s="22" t="s">
        <v>6090</v>
      </c>
      <c r="E1515" s="10" t="s">
        <v>51</v>
      </c>
      <c r="F1515" s="10" t="s">
        <v>65</v>
      </c>
      <c r="G1515" s="10" t="s">
        <v>28</v>
      </c>
      <c r="H1515" s="10" t="s">
        <v>39</v>
      </c>
      <c r="I1515" s="11">
        <v>45427</v>
      </c>
      <c r="J1515" s="10" t="s">
        <v>40</v>
      </c>
      <c r="K1515" s="11">
        <v>45499</v>
      </c>
      <c r="L1515" s="10" t="s">
        <v>59</v>
      </c>
      <c r="M1515" s="12">
        <v>24550</v>
      </c>
      <c r="N1515" s="12">
        <v>8950</v>
      </c>
      <c r="O1515" s="10">
        <v>14</v>
      </c>
      <c r="P1515" s="11">
        <v>45513</v>
      </c>
      <c r="Q1515" s="10" t="s">
        <v>33</v>
      </c>
      <c r="R1515" s="10" t="s">
        <v>33</v>
      </c>
      <c r="S1515" s="10" t="s">
        <v>34</v>
      </c>
      <c r="T1515" s="13">
        <v>2.7429999999999999</v>
      </c>
      <c r="U1515" s="14">
        <v>72</v>
      </c>
      <c r="V1515" s="14">
        <v>2024</v>
      </c>
      <c r="W1515" s="10" t="s">
        <v>42</v>
      </c>
    </row>
    <row r="1516" spans="1:23" s="9" customFormat="1" ht="15.75" hidden="1" customHeight="1" x14ac:dyDescent="0.25">
      <c r="A1516" s="4" t="s">
        <v>4606</v>
      </c>
      <c r="B1516" s="4" t="s">
        <v>4607</v>
      </c>
      <c r="C1516" s="4" t="s">
        <v>4608</v>
      </c>
      <c r="D1516" s="22" t="s">
        <v>6090</v>
      </c>
      <c r="E1516" s="4" t="s">
        <v>51</v>
      </c>
      <c r="F1516" s="21" t="s">
        <v>6092</v>
      </c>
      <c r="G1516" s="4" t="s">
        <v>5</v>
      </c>
      <c r="H1516" s="4" t="s">
        <v>72</v>
      </c>
      <c r="I1516" s="5">
        <v>45467</v>
      </c>
      <c r="J1516" s="4" t="s">
        <v>40</v>
      </c>
      <c r="K1516" s="5">
        <v>45529</v>
      </c>
      <c r="L1516" s="4" t="s">
        <v>31</v>
      </c>
      <c r="M1516" s="6">
        <v>31770</v>
      </c>
      <c r="N1516" s="6">
        <v>8911</v>
      </c>
      <c r="O1516" s="4" t="s">
        <v>32</v>
      </c>
      <c r="P1516" s="4" t="s">
        <v>32</v>
      </c>
      <c r="Q1516" s="4" t="s">
        <v>33</v>
      </c>
      <c r="R1516" s="4" t="s">
        <v>33</v>
      </c>
      <c r="S1516" s="4" t="s">
        <v>41</v>
      </c>
      <c r="T1516" s="7">
        <v>3.5653000000000001</v>
      </c>
      <c r="U1516" s="8">
        <v>62</v>
      </c>
      <c r="V1516" s="8">
        <v>2024</v>
      </c>
      <c r="W1516" s="4" t="s">
        <v>114</v>
      </c>
    </row>
    <row r="1517" spans="1:23" s="9" customFormat="1" ht="15.75" hidden="1" customHeight="1" x14ac:dyDescent="0.25">
      <c r="A1517" s="10" t="s">
        <v>4609</v>
      </c>
      <c r="B1517" s="10" t="s">
        <v>4610</v>
      </c>
      <c r="C1517" s="10" t="s">
        <v>4611</v>
      </c>
      <c r="D1517" s="22" t="s">
        <v>6087</v>
      </c>
      <c r="E1517" s="10" t="s">
        <v>51</v>
      </c>
      <c r="F1517" s="21" t="s">
        <v>6092</v>
      </c>
      <c r="G1517" s="10" t="s">
        <v>5</v>
      </c>
      <c r="H1517" s="10" t="s">
        <v>39</v>
      </c>
      <c r="I1517" s="11">
        <v>45259</v>
      </c>
      <c r="J1517" s="10" t="s">
        <v>30</v>
      </c>
      <c r="K1517" s="11">
        <v>45623</v>
      </c>
      <c r="L1517" s="10" t="s">
        <v>66</v>
      </c>
      <c r="M1517" s="12">
        <v>32415</v>
      </c>
      <c r="N1517" s="12">
        <v>2574</v>
      </c>
      <c r="O1517" s="10" t="s">
        <v>32</v>
      </c>
      <c r="P1517" s="10" t="s">
        <v>32</v>
      </c>
      <c r="Q1517" s="10" t="s">
        <v>33</v>
      </c>
      <c r="R1517" s="10" t="s">
        <v>33</v>
      </c>
      <c r="S1517" s="10" t="s">
        <v>41</v>
      </c>
      <c r="T1517" s="13">
        <v>12.5932</v>
      </c>
      <c r="U1517" s="14">
        <v>364</v>
      </c>
      <c r="V1517" s="14">
        <v>2024</v>
      </c>
      <c r="W1517" s="10" t="s">
        <v>61</v>
      </c>
    </row>
    <row r="1518" spans="1:23" s="9" customFormat="1" ht="15.75" hidden="1" customHeight="1" x14ac:dyDescent="0.25">
      <c r="A1518" s="4" t="s">
        <v>4612</v>
      </c>
      <c r="B1518" s="4" t="s">
        <v>4613</v>
      </c>
      <c r="C1518" s="4" t="s">
        <v>4614</v>
      </c>
      <c r="D1518" s="22" t="s">
        <v>6090</v>
      </c>
      <c r="E1518" s="4" t="s">
        <v>51</v>
      </c>
      <c r="F1518" s="21" t="s">
        <v>6092</v>
      </c>
      <c r="G1518" s="4" t="s">
        <v>57</v>
      </c>
      <c r="H1518" s="4" t="s">
        <v>29</v>
      </c>
      <c r="I1518" s="5">
        <v>45302</v>
      </c>
      <c r="J1518" s="4" t="s">
        <v>40</v>
      </c>
      <c r="K1518" s="5">
        <v>45341</v>
      </c>
      <c r="L1518" s="4" t="s">
        <v>59</v>
      </c>
      <c r="M1518" s="6">
        <v>16885</v>
      </c>
      <c r="N1518" s="6">
        <v>2232</v>
      </c>
      <c r="O1518" s="4">
        <v>45</v>
      </c>
      <c r="P1518" s="5">
        <v>45386</v>
      </c>
      <c r="Q1518" s="4" t="s">
        <v>33</v>
      </c>
      <c r="R1518" s="4" t="s">
        <v>33</v>
      </c>
      <c r="S1518" s="4" t="s">
        <v>60</v>
      </c>
      <c r="T1518" s="7">
        <v>7.5650000000000004</v>
      </c>
      <c r="U1518" s="8">
        <v>39</v>
      </c>
      <c r="V1518" s="8">
        <v>2024</v>
      </c>
      <c r="W1518" s="4" t="s">
        <v>35</v>
      </c>
    </row>
    <row r="1519" spans="1:23" s="9" customFormat="1" ht="15.75" hidden="1" customHeight="1" x14ac:dyDescent="0.25">
      <c r="A1519" s="10" t="s">
        <v>4615</v>
      </c>
      <c r="B1519" s="10" t="s">
        <v>4616</v>
      </c>
      <c r="C1519" s="10" t="s">
        <v>4617</v>
      </c>
      <c r="D1519" s="22" t="s">
        <v>6087</v>
      </c>
      <c r="E1519" s="10" t="s">
        <v>26</v>
      </c>
      <c r="F1519" s="21" t="s">
        <v>6092</v>
      </c>
      <c r="G1519" s="10" t="s">
        <v>28</v>
      </c>
      <c r="H1519" s="10" t="s">
        <v>161</v>
      </c>
      <c r="I1519" s="11">
        <v>45383</v>
      </c>
      <c r="J1519" s="10" t="s">
        <v>30</v>
      </c>
      <c r="K1519" s="11">
        <v>45630</v>
      </c>
      <c r="L1519" s="10" t="s">
        <v>59</v>
      </c>
      <c r="M1519" s="12">
        <v>4494</v>
      </c>
      <c r="N1519" s="12">
        <v>5364</v>
      </c>
      <c r="O1519" s="10">
        <v>3</v>
      </c>
      <c r="P1519" s="11">
        <v>45633</v>
      </c>
      <c r="Q1519" s="10" t="s">
        <v>33</v>
      </c>
      <c r="R1519" s="10" t="s">
        <v>33</v>
      </c>
      <c r="S1519" s="10" t="s">
        <v>34</v>
      </c>
      <c r="T1519" s="13">
        <v>0.83779999999999999</v>
      </c>
      <c r="U1519" s="14">
        <v>247</v>
      </c>
      <c r="V1519" s="14">
        <v>2024</v>
      </c>
      <c r="W1519" s="10" t="s">
        <v>89</v>
      </c>
    </row>
    <row r="1520" spans="1:23" s="9" customFormat="1" ht="15.75" hidden="1" customHeight="1" x14ac:dyDescent="0.25">
      <c r="A1520" s="4" t="s">
        <v>4618</v>
      </c>
      <c r="B1520" s="4" t="s">
        <v>4619</v>
      </c>
      <c r="C1520" s="4" t="s">
        <v>4620</v>
      </c>
      <c r="D1520" s="22" t="s">
        <v>6090</v>
      </c>
      <c r="E1520" s="4" t="s">
        <v>26</v>
      </c>
      <c r="F1520" s="21" t="s">
        <v>6092</v>
      </c>
      <c r="G1520" s="4" t="s">
        <v>28</v>
      </c>
      <c r="H1520" s="4" t="s">
        <v>29</v>
      </c>
      <c r="I1520" s="5">
        <v>45145</v>
      </c>
      <c r="J1520" s="4" t="s">
        <v>30</v>
      </c>
      <c r="K1520" s="5">
        <v>45399</v>
      </c>
      <c r="L1520" s="4" t="s">
        <v>59</v>
      </c>
      <c r="M1520" s="6">
        <v>10159</v>
      </c>
      <c r="N1520" s="6">
        <v>6439</v>
      </c>
      <c r="O1520" s="4">
        <v>28</v>
      </c>
      <c r="P1520" s="5">
        <v>45427</v>
      </c>
      <c r="Q1520" s="4" t="s">
        <v>33</v>
      </c>
      <c r="R1520" s="4" t="s">
        <v>33</v>
      </c>
      <c r="S1520" s="4" t="s">
        <v>34</v>
      </c>
      <c r="T1520" s="7">
        <v>1.5777000000000001</v>
      </c>
      <c r="U1520" s="8">
        <v>254</v>
      </c>
      <c r="V1520" s="8">
        <v>2024</v>
      </c>
      <c r="W1520" s="4" t="s">
        <v>47</v>
      </c>
    </row>
    <row r="1521" spans="1:23" s="9" customFormat="1" ht="15.75" hidden="1" customHeight="1" x14ac:dyDescent="0.25">
      <c r="A1521" s="10" t="s">
        <v>4621</v>
      </c>
      <c r="B1521" s="10" t="s">
        <v>4622</v>
      </c>
      <c r="C1521" s="10" t="s">
        <v>4623</v>
      </c>
      <c r="D1521" s="22" t="s">
        <v>6090</v>
      </c>
      <c r="E1521" s="10" t="s">
        <v>51</v>
      </c>
      <c r="F1521" s="10" t="s">
        <v>65</v>
      </c>
      <c r="G1521" s="10" t="s">
        <v>5</v>
      </c>
      <c r="H1521" s="10" t="s">
        <v>88</v>
      </c>
      <c r="I1521" s="11">
        <v>45260</v>
      </c>
      <c r="J1521" s="10" t="s">
        <v>40</v>
      </c>
      <c r="K1521" s="11">
        <v>45552</v>
      </c>
      <c r="L1521" s="10" t="s">
        <v>31</v>
      </c>
      <c r="M1521" s="12">
        <v>21661</v>
      </c>
      <c r="N1521" s="12">
        <v>3717</v>
      </c>
      <c r="O1521" s="10" t="s">
        <v>32</v>
      </c>
      <c r="P1521" s="10" t="s">
        <v>32</v>
      </c>
      <c r="Q1521" s="10" t="s">
        <v>33</v>
      </c>
      <c r="R1521" s="10" t="s">
        <v>33</v>
      </c>
      <c r="S1521" s="10" t="s">
        <v>41</v>
      </c>
      <c r="T1521" s="13">
        <v>5.8274999999999997</v>
      </c>
      <c r="U1521" s="14">
        <v>292</v>
      </c>
      <c r="V1521" s="14">
        <v>2024</v>
      </c>
      <c r="W1521" s="10" t="s">
        <v>168</v>
      </c>
    </row>
    <row r="1522" spans="1:23" s="9" customFormat="1" ht="15.75" hidden="1" customHeight="1" x14ac:dyDescent="0.25">
      <c r="A1522" s="4" t="s">
        <v>4624</v>
      </c>
      <c r="B1522" s="4" t="s">
        <v>4625</v>
      </c>
      <c r="C1522" s="4" t="s">
        <v>4626</v>
      </c>
      <c r="D1522" s="22" t="s">
        <v>6090</v>
      </c>
      <c r="E1522" s="4" t="s">
        <v>51</v>
      </c>
      <c r="F1522" s="4" t="s">
        <v>56</v>
      </c>
      <c r="G1522" s="4" t="s">
        <v>57</v>
      </c>
      <c r="H1522" s="4" t="s">
        <v>72</v>
      </c>
      <c r="I1522" s="5">
        <v>45107</v>
      </c>
      <c r="J1522" s="4" t="s">
        <v>30</v>
      </c>
      <c r="K1522" s="5">
        <v>45440</v>
      </c>
      <c r="L1522" s="4" t="s">
        <v>66</v>
      </c>
      <c r="M1522" s="6">
        <v>42692</v>
      </c>
      <c r="N1522" s="6">
        <v>6172</v>
      </c>
      <c r="O1522" s="4" t="s">
        <v>32</v>
      </c>
      <c r="P1522" s="4" t="s">
        <v>32</v>
      </c>
      <c r="Q1522" s="4" t="s">
        <v>33</v>
      </c>
      <c r="R1522" s="4" t="s">
        <v>33</v>
      </c>
      <c r="S1522" s="4" t="s">
        <v>34</v>
      </c>
      <c r="T1522" s="7">
        <v>6.9169999999999998</v>
      </c>
      <c r="U1522" s="8">
        <v>333</v>
      </c>
      <c r="V1522" s="8">
        <v>2024</v>
      </c>
      <c r="W1522" s="4" t="s">
        <v>52</v>
      </c>
    </row>
    <row r="1523" spans="1:23" s="9" customFormat="1" ht="15.75" hidden="1" customHeight="1" x14ac:dyDescent="0.25">
      <c r="A1523" s="10" t="s">
        <v>4627</v>
      </c>
      <c r="B1523" s="10" t="s">
        <v>4628</v>
      </c>
      <c r="C1523" s="10" t="s">
        <v>4629</v>
      </c>
      <c r="D1523" s="21" t="s">
        <v>6089</v>
      </c>
      <c r="E1523" s="10" t="s">
        <v>51</v>
      </c>
      <c r="F1523" s="10" t="s">
        <v>27</v>
      </c>
      <c r="G1523" s="10" t="s">
        <v>57</v>
      </c>
      <c r="H1523" s="10" t="s">
        <v>39</v>
      </c>
      <c r="I1523" s="11">
        <v>45347</v>
      </c>
      <c r="J1523" s="10" t="s">
        <v>40</v>
      </c>
      <c r="K1523" s="11">
        <v>45588</v>
      </c>
      <c r="L1523" s="10" t="s">
        <v>59</v>
      </c>
      <c r="M1523" s="12">
        <v>64486</v>
      </c>
      <c r="N1523" s="12">
        <v>3511</v>
      </c>
      <c r="O1523" s="10">
        <v>25</v>
      </c>
      <c r="P1523" s="11">
        <v>45613</v>
      </c>
      <c r="Q1523" s="10" t="s">
        <v>33</v>
      </c>
      <c r="R1523" s="10" t="s">
        <v>33</v>
      </c>
      <c r="S1523" s="10" t="s">
        <v>60</v>
      </c>
      <c r="T1523" s="13">
        <v>18.366800000000001</v>
      </c>
      <c r="U1523" s="14">
        <v>241</v>
      </c>
      <c r="V1523" s="14">
        <v>2024</v>
      </c>
      <c r="W1523" s="10" t="s">
        <v>95</v>
      </c>
    </row>
    <row r="1524" spans="1:23" s="9" customFormat="1" ht="15.75" hidden="1" customHeight="1" x14ac:dyDescent="0.25">
      <c r="A1524" s="4" t="s">
        <v>4630</v>
      </c>
      <c r="B1524" s="4" t="s">
        <v>4631</v>
      </c>
      <c r="C1524" s="4" t="s">
        <v>4632</v>
      </c>
      <c r="D1524" s="21" t="s">
        <v>6086</v>
      </c>
      <c r="E1524" s="4" t="s">
        <v>87</v>
      </c>
      <c r="F1524" s="21" t="s">
        <v>6092</v>
      </c>
      <c r="G1524" s="4" t="s">
        <v>28</v>
      </c>
      <c r="H1524" s="4" t="s">
        <v>161</v>
      </c>
      <c r="I1524" s="5">
        <v>45171</v>
      </c>
      <c r="J1524" s="4" t="s">
        <v>40</v>
      </c>
      <c r="K1524" s="5">
        <v>45424</v>
      </c>
      <c r="L1524" s="4" t="s">
        <v>31</v>
      </c>
      <c r="M1524" s="6">
        <v>59057</v>
      </c>
      <c r="N1524" s="6">
        <v>5464</v>
      </c>
      <c r="O1524" s="4" t="s">
        <v>32</v>
      </c>
      <c r="P1524" s="4" t="s">
        <v>32</v>
      </c>
      <c r="Q1524" s="4" t="s">
        <v>33</v>
      </c>
      <c r="R1524" s="4" t="s">
        <v>33</v>
      </c>
      <c r="S1524" s="4" t="s">
        <v>34</v>
      </c>
      <c r="T1524" s="7">
        <v>10.808400000000001</v>
      </c>
      <c r="U1524" s="8">
        <v>253</v>
      </c>
      <c r="V1524" s="8">
        <v>2024</v>
      </c>
      <c r="W1524" s="4" t="s">
        <v>52</v>
      </c>
    </row>
    <row r="1525" spans="1:23" s="9" customFormat="1" ht="15.75" hidden="1" customHeight="1" x14ac:dyDescent="0.25">
      <c r="A1525" s="10" t="s">
        <v>4633</v>
      </c>
      <c r="B1525" s="10" t="s">
        <v>4634</v>
      </c>
      <c r="C1525" s="10" t="s">
        <v>4635</v>
      </c>
      <c r="D1525" s="21" t="s">
        <v>6091</v>
      </c>
      <c r="E1525" s="10" t="s">
        <v>51</v>
      </c>
      <c r="F1525" s="10" t="s">
        <v>65</v>
      </c>
      <c r="G1525" s="10" t="s">
        <v>5</v>
      </c>
      <c r="H1525" s="10" t="s">
        <v>93</v>
      </c>
      <c r="I1525" s="11">
        <v>45110</v>
      </c>
      <c r="J1525" s="10" t="s">
        <v>40</v>
      </c>
      <c r="K1525" s="11">
        <v>45374</v>
      </c>
      <c r="L1525" s="10" t="s">
        <v>31</v>
      </c>
      <c r="M1525" s="12">
        <v>6690</v>
      </c>
      <c r="N1525" s="12">
        <v>2840</v>
      </c>
      <c r="O1525" s="10" t="s">
        <v>32</v>
      </c>
      <c r="P1525" s="10" t="s">
        <v>32</v>
      </c>
      <c r="Q1525" s="10" t="s">
        <v>33</v>
      </c>
      <c r="R1525" s="10" t="s">
        <v>33</v>
      </c>
      <c r="S1525" s="10" t="s">
        <v>41</v>
      </c>
      <c r="T1525" s="13">
        <v>2.3555999999999999</v>
      </c>
      <c r="U1525" s="14">
        <v>264</v>
      </c>
      <c r="V1525" s="14">
        <v>2024</v>
      </c>
      <c r="W1525" s="10" t="s">
        <v>77</v>
      </c>
    </row>
    <row r="1526" spans="1:23" s="9" customFormat="1" ht="15.75" hidden="1" customHeight="1" x14ac:dyDescent="0.25">
      <c r="A1526" s="4" t="s">
        <v>4636</v>
      </c>
      <c r="B1526" s="4" t="s">
        <v>4637</v>
      </c>
      <c r="C1526" s="4" t="s">
        <v>4638</v>
      </c>
      <c r="D1526" s="21" t="s">
        <v>6091</v>
      </c>
      <c r="E1526" s="4" t="s">
        <v>51</v>
      </c>
      <c r="F1526" s="4" t="s">
        <v>65</v>
      </c>
      <c r="G1526" s="4" t="s">
        <v>57</v>
      </c>
      <c r="H1526" s="4" t="s">
        <v>29</v>
      </c>
      <c r="I1526" s="5">
        <v>45477</v>
      </c>
      <c r="J1526" s="4" t="s">
        <v>30</v>
      </c>
      <c r="K1526" s="5">
        <v>45582</v>
      </c>
      <c r="L1526" s="4" t="s">
        <v>59</v>
      </c>
      <c r="M1526" s="6">
        <v>3560</v>
      </c>
      <c r="N1526" s="6">
        <v>6510</v>
      </c>
      <c r="O1526" s="4">
        <v>27</v>
      </c>
      <c r="P1526" s="5">
        <v>45609</v>
      </c>
      <c r="Q1526" s="4" t="s">
        <v>33</v>
      </c>
      <c r="R1526" s="4" t="s">
        <v>33</v>
      </c>
      <c r="S1526" s="4" t="s">
        <v>60</v>
      </c>
      <c r="T1526" s="7">
        <v>0.54690000000000005</v>
      </c>
      <c r="U1526" s="8">
        <v>105</v>
      </c>
      <c r="V1526" s="8">
        <v>2024</v>
      </c>
      <c r="W1526" s="4" t="s">
        <v>95</v>
      </c>
    </row>
    <row r="1527" spans="1:23" s="9" customFormat="1" ht="15.75" hidden="1" customHeight="1" x14ac:dyDescent="0.25">
      <c r="A1527" s="10" t="s">
        <v>4639</v>
      </c>
      <c r="B1527" s="10" t="s">
        <v>4640</v>
      </c>
      <c r="C1527" s="10" t="s">
        <v>4641</v>
      </c>
      <c r="D1527" s="21" t="s">
        <v>6089</v>
      </c>
      <c r="E1527" s="10" t="s">
        <v>26</v>
      </c>
      <c r="F1527" s="21" t="s">
        <v>6092</v>
      </c>
      <c r="G1527" s="10" t="s">
        <v>57</v>
      </c>
      <c r="H1527" s="10" t="s">
        <v>161</v>
      </c>
      <c r="I1527" s="11">
        <v>45365</v>
      </c>
      <c r="J1527" s="10" t="s">
        <v>30</v>
      </c>
      <c r="K1527" s="11">
        <v>45498</v>
      </c>
      <c r="L1527" s="10" t="s">
        <v>59</v>
      </c>
      <c r="M1527" s="12">
        <v>42626</v>
      </c>
      <c r="N1527" s="12">
        <v>5207</v>
      </c>
      <c r="O1527" s="10">
        <v>19</v>
      </c>
      <c r="P1527" s="11">
        <v>45517</v>
      </c>
      <c r="Q1527" s="10" t="s">
        <v>33</v>
      </c>
      <c r="R1527" s="10" t="s">
        <v>33</v>
      </c>
      <c r="S1527" s="10" t="s">
        <v>60</v>
      </c>
      <c r="T1527" s="13">
        <v>8.1862999999999992</v>
      </c>
      <c r="U1527" s="14">
        <v>133</v>
      </c>
      <c r="V1527" s="14">
        <v>2024</v>
      </c>
      <c r="W1527" s="10" t="s">
        <v>42</v>
      </c>
    </row>
    <row r="1528" spans="1:23" s="9" customFormat="1" ht="15.75" hidden="1" customHeight="1" x14ac:dyDescent="0.25">
      <c r="A1528" s="4" t="s">
        <v>4642</v>
      </c>
      <c r="B1528" s="4" t="s">
        <v>4643</v>
      </c>
      <c r="C1528" s="4" t="s">
        <v>4644</v>
      </c>
      <c r="D1528" s="22" t="s">
        <v>6087</v>
      </c>
      <c r="E1528" s="4" t="s">
        <v>51</v>
      </c>
      <c r="F1528" s="4" t="s">
        <v>46</v>
      </c>
      <c r="G1528" s="4" t="s">
        <v>57</v>
      </c>
      <c r="H1528" s="4" t="s">
        <v>39</v>
      </c>
      <c r="I1528" s="5">
        <v>45376</v>
      </c>
      <c r="J1528" s="4" t="s">
        <v>40</v>
      </c>
      <c r="K1528" s="5">
        <v>45497</v>
      </c>
      <c r="L1528" s="4" t="s">
        <v>59</v>
      </c>
      <c r="M1528" s="6">
        <v>12432</v>
      </c>
      <c r="N1528" s="6">
        <v>3836</v>
      </c>
      <c r="O1528" s="4">
        <v>14</v>
      </c>
      <c r="P1528" s="5">
        <v>45511</v>
      </c>
      <c r="Q1528" s="4" t="s">
        <v>33</v>
      </c>
      <c r="R1528" s="4" t="s">
        <v>33</v>
      </c>
      <c r="S1528" s="4" t="s">
        <v>34</v>
      </c>
      <c r="T1528" s="7">
        <v>3.2408999999999999</v>
      </c>
      <c r="U1528" s="8">
        <v>121</v>
      </c>
      <c r="V1528" s="8">
        <v>2024</v>
      </c>
      <c r="W1528" s="4" t="s">
        <v>42</v>
      </c>
    </row>
    <row r="1529" spans="1:23" s="9" customFormat="1" ht="15.75" hidden="1" customHeight="1" x14ac:dyDescent="0.25">
      <c r="A1529" s="10" t="s">
        <v>4645</v>
      </c>
      <c r="B1529" s="10" t="s">
        <v>4646</v>
      </c>
      <c r="C1529" s="10" t="s">
        <v>4647</v>
      </c>
      <c r="D1529" s="21" t="s">
        <v>6088</v>
      </c>
      <c r="E1529" s="10" t="s">
        <v>26</v>
      </c>
      <c r="F1529" s="10" t="s">
        <v>65</v>
      </c>
      <c r="G1529" s="10" t="s">
        <v>57</v>
      </c>
      <c r="H1529" s="10" t="s">
        <v>58</v>
      </c>
      <c r="I1529" s="11">
        <v>45207</v>
      </c>
      <c r="J1529" s="10" t="s">
        <v>30</v>
      </c>
      <c r="K1529" s="11">
        <v>45388</v>
      </c>
      <c r="L1529" s="10" t="s">
        <v>59</v>
      </c>
      <c r="M1529" s="12">
        <v>20416</v>
      </c>
      <c r="N1529" s="12">
        <v>5517</v>
      </c>
      <c r="O1529" s="10">
        <v>27</v>
      </c>
      <c r="P1529" s="11">
        <v>45415</v>
      </c>
      <c r="Q1529" s="10" t="s">
        <v>33</v>
      </c>
      <c r="R1529" s="10" t="s">
        <v>33</v>
      </c>
      <c r="S1529" s="10" t="s">
        <v>41</v>
      </c>
      <c r="T1529" s="13">
        <v>3.7006000000000001</v>
      </c>
      <c r="U1529" s="14">
        <v>181</v>
      </c>
      <c r="V1529" s="14">
        <v>2024</v>
      </c>
      <c r="W1529" s="10" t="s">
        <v>47</v>
      </c>
    </row>
    <row r="1530" spans="1:23" s="9" customFormat="1" ht="15.75" hidden="1" customHeight="1" x14ac:dyDescent="0.25">
      <c r="A1530" s="4" t="s">
        <v>4648</v>
      </c>
      <c r="B1530" s="4" t="s">
        <v>4649</v>
      </c>
      <c r="C1530" s="4" t="s">
        <v>4650</v>
      </c>
      <c r="D1530" s="22" t="s">
        <v>6087</v>
      </c>
      <c r="E1530" s="4" t="s">
        <v>26</v>
      </c>
      <c r="F1530" s="4" t="s">
        <v>27</v>
      </c>
      <c r="G1530" s="4" t="s">
        <v>28</v>
      </c>
      <c r="H1530" s="4" t="s">
        <v>72</v>
      </c>
      <c r="I1530" s="5">
        <v>45327</v>
      </c>
      <c r="J1530" s="4" t="s">
        <v>40</v>
      </c>
      <c r="K1530" s="5">
        <v>45543</v>
      </c>
      <c r="L1530" s="4" t="s">
        <v>31</v>
      </c>
      <c r="M1530" s="6">
        <v>39626</v>
      </c>
      <c r="N1530" s="6">
        <v>2130</v>
      </c>
      <c r="O1530" s="4" t="s">
        <v>32</v>
      </c>
      <c r="P1530" s="4" t="s">
        <v>32</v>
      </c>
      <c r="Q1530" s="4" t="s">
        <v>33</v>
      </c>
      <c r="R1530" s="4" t="s">
        <v>33</v>
      </c>
      <c r="S1530" s="4" t="s">
        <v>41</v>
      </c>
      <c r="T1530" s="7">
        <v>18.6038</v>
      </c>
      <c r="U1530" s="8">
        <v>216</v>
      </c>
      <c r="V1530" s="8">
        <v>2024</v>
      </c>
      <c r="W1530" s="4" t="s">
        <v>168</v>
      </c>
    </row>
    <row r="1531" spans="1:23" s="9" customFormat="1" ht="15.75" hidden="1" customHeight="1" x14ac:dyDescent="0.25">
      <c r="A1531" s="10" t="s">
        <v>4651</v>
      </c>
      <c r="B1531" s="10" t="s">
        <v>4652</v>
      </c>
      <c r="C1531" s="10" t="s">
        <v>4653</v>
      </c>
      <c r="D1531" s="21" t="s">
        <v>6086</v>
      </c>
      <c r="E1531" s="10" t="s">
        <v>51</v>
      </c>
      <c r="F1531" s="10" t="s">
        <v>56</v>
      </c>
      <c r="G1531" s="10" t="s">
        <v>28</v>
      </c>
      <c r="H1531" s="10" t="s">
        <v>93</v>
      </c>
      <c r="I1531" s="11">
        <v>45027</v>
      </c>
      <c r="J1531" s="10" t="s">
        <v>40</v>
      </c>
      <c r="K1531" s="11">
        <v>45385</v>
      </c>
      <c r="L1531" s="10" t="s">
        <v>66</v>
      </c>
      <c r="M1531" s="12">
        <v>47344</v>
      </c>
      <c r="N1531" s="12">
        <v>7849</v>
      </c>
      <c r="O1531" s="10" t="s">
        <v>32</v>
      </c>
      <c r="P1531" s="10" t="s">
        <v>32</v>
      </c>
      <c r="Q1531" s="10" t="s">
        <v>33</v>
      </c>
      <c r="R1531" s="10" t="s">
        <v>33</v>
      </c>
      <c r="S1531" s="10" t="s">
        <v>41</v>
      </c>
      <c r="T1531" s="13">
        <v>6.0319000000000003</v>
      </c>
      <c r="U1531" s="14">
        <v>358</v>
      </c>
      <c r="V1531" s="14">
        <v>2024</v>
      </c>
      <c r="W1531" s="10" t="s">
        <v>47</v>
      </c>
    </row>
    <row r="1532" spans="1:23" s="9" customFormat="1" ht="15.75" hidden="1" customHeight="1" x14ac:dyDescent="0.25">
      <c r="A1532" s="4" t="s">
        <v>4654</v>
      </c>
      <c r="B1532" s="4" t="s">
        <v>4655</v>
      </c>
      <c r="C1532" s="4" t="s">
        <v>4656</v>
      </c>
      <c r="D1532" s="21" t="s">
        <v>6091</v>
      </c>
      <c r="E1532" s="4" t="s">
        <v>26</v>
      </c>
      <c r="F1532" s="4" t="s">
        <v>46</v>
      </c>
      <c r="G1532" s="4" t="s">
        <v>5</v>
      </c>
      <c r="H1532" s="4" t="s">
        <v>58</v>
      </c>
      <c r="I1532" s="5">
        <v>45426</v>
      </c>
      <c r="J1532" s="4" t="s">
        <v>40</v>
      </c>
      <c r="K1532" s="5">
        <v>45585</v>
      </c>
      <c r="L1532" s="4" t="s">
        <v>59</v>
      </c>
      <c r="M1532" s="6">
        <v>10219</v>
      </c>
      <c r="N1532" s="6">
        <v>4473</v>
      </c>
      <c r="O1532" s="4">
        <v>37</v>
      </c>
      <c r="P1532" s="5">
        <v>45622</v>
      </c>
      <c r="Q1532" s="4" t="s">
        <v>33</v>
      </c>
      <c r="R1532" s="4" t="s">
        <v>33</v>
      </c>
      <c r="S1532" s="4" t="s">
        <v>41</v>
      </c>
      <c r="T1532" s="7">
        <v>2.2846000000000002</v>
      </c>
      <c r="U1532" s="8">
        <v>159</v>
      </c>
      <c r="V1532" s="8">
        <v>2024</v>
      </c>
      <c r="W1532" s="4" t="s">
        <v>95</v>
      </c>
    </row>
    <row r="1533" spans="1:23" s="9" customFormat="1" ht="15.75" hidden="1" customHeight="1" x14ac:dyDescent="0.25">
      <c r="A1533" s="10" t="s">
        <v>4657</v>
      </c>
      <c r="B1533" s="10" t="s">
        <v>4658</v>
      </c>
      <c r="C1533" s="10" t="s">
        <v>4659</v>
      </c>
      <c r="D1533" s="21" t="s">
        <v>6086</v>
      </c>
      <c r="E1533" s="10" t="s">
        <v>26</v>
      </c>
      <c r="F1533" s="10" t="s">
        <v>65</v>
      </c>
      <c r="G1533" s="10" t="s">
        <v>57</v>
      </c>
      <c r="H1533" s="10" t="s">
        <v>88</v>
      </c>
      <c r="I1533" s="11">
        <v>44979</v>
      </c>
      <c r="J1533" s="10" t="s">
        <v>40</v>
      </c>
      <c r="K1533" s="11">
        <v>45317</v>
      </c>
      <c r="L1533" s="10" t="s">
        <v>59</v>
      </c>
      <c r="M1533" s="12">
        <v>65702</v>
      </c>
      <c r="N1533" s="12">
        <v>4354</v>
      </c>
      <c r="O1533" s="10">
        <v>10</v>
      </c>
      <c r="P1533" s="11">
        <v>45327</v>
      </c>
      <c r="Q1533" s="10" t="s">
        <v>33</v>
      </c>
      <c r="R1533" s="10" t="s">
        <v>33</v>
      </c>
      <c r="S1533" s="10" t="s">
        <v>34</v>
      </c>
      <c r="T1533" s="13">
        <v>15.09</v>
      </c>
      <c r="U1533" s="14">
        <v>338</v>
      </c>
      <c r="V1533" s="14">
        <v>2024</v>
      </c>
      <c r="W1533" s="10" t="s">
        <v>73</v>
      </c>
    </row>
    <row r="1534" spans="1:23" s="9" customFormat="1" ht="15.75" hidden="1" customHeight="1" x14ac:dyDescent="0.25">
      <c r="A1534" s="4" t="s">
        <v>4660</v>
      </c>
      <c r="B1534" s="4" t="s">
        <v>4661</v>
      </c>
      <c r="C1534" s="4" t="s">
        <v>4662</v>
      </c>
      <c r="D1534" s="22" t="s">
        <v>6090</v>
      </c>
      <c r="E1534" s="4" t="s">
        <v>26</v>
      </c>
      <c r="F1534" s="4" t="s">
        <v>46</v>
      </c>
      <c r="G1534" s="4" t="s">
        <v>5</v>
      </c>
      <c r="H1534" s="4" t="s">
        <v>29</v>
      </c>
      <c r="I1534" s="5">
        <v>45369</v>
      </c>
      <c r="J1534" s="4" t="s">
        <v>30</v>
      </c>
      <c r="K1534" s="5">
        <v>45515</v>
      </c>
      <c r="L1534" s="4" t="s">
        <v>66</v>
      </c>
      <c r="M1534" s="6">
        <v>27196</v>
      </c>
      <c r="N1534" s="6">
        <v>6447</v>
      </c>
      <c r="O1534" s="4" t="s">
        <v>32</v>
      </c>
      <c r="P1534" s="4" t="s">
        <v>32</v>
      </c>
      <c r="Q1534" s="4" t="s">
        <v>33</v>
      </c>
      <c r="R1534" s="4" t="s">
        <v>33</v>
      </c>
      <c r="S1534" s="4" t="s">
        <v>41</v>
      </c>
      <c r="T1534" s="7">
        <v>4.2183999999999999</v>
      </c>
      <c r="U1534" s="8">
        <v>146</v>
      </c>
      <c r="V1534" s="8">
        <v>2024</v>
      </c>
      <c r="W1534" s="4" t="s">
        <v>114</v>
      </c>
    </row>
    <row r="1535" spans="1:23" s="9" customFormat="1" ht="15.75" hidden="1" customHeight="1" x14ac:dyDescent="0.25">
      <c r="A1535" s="10" t="s">
        <v>4663</v>
      </c>
      <c r="B1535" s="10" t="s">
        <v>4664</v>
      </c>
      <c r="C1535" s="10" t="s">
        <v>4665</v>
      </c>
      <c r="D1535" s="21" t="s">
        <v>6091</v>
      </c>
      <c r="E1535" s="10" t="s">
        <v>26</v>
      </c>
      <c r="F1535" s="10" t="s">
        <v>56</v>
      </c>
      <c r="G1535" s="10" t="s">
        <v>57</v>
      </c>
      <c r="H1535" s="10" t="s">
        <v>39</v>
      </c>
      <c r="I1535" s="11">
        <v>45326</v>
      </c>
      <c r="J1535" s="10" t="s">
        <v>30</v>
      </c>
      <c r="K1535" s="11">
        <v>45474</v>
      </c>
      <c r="L1535" s="10" t="s">
        <v>59</v>
      </c>
      <c r="M1535" s="12">
        <v>8234</v>
      </c>
      <c r="N1535" s="12">
        <v>4148</v>
      </c>
      <c r="O1535" s="10">
        <v>26</v>
      </c>
      <c r="P1535" s="11">
        <v>45500</v>
      </c>
      <c r="Q1535" s="10" t="s">
        <v>94</v>
      </c>
      <c r="R1535" s="10" t="s">
        <v>33</v>
      </c>
      <c r="S1535" s="10" t="s">
        <v>34</v>
      </c>
      <c r="T1535" s="13">
        <v>1.9851000000000001</v>
      </c>
      <c r="U1535" s="14">
        <v>148</v>
      </c>
      <c r="V1535" s="14">
        <v>2024</v>
      </c>
      <c r="W1535" s="10" t="s">
        <v>42</v>
      </c>
    </row>
    <row r="1536" spans="1:23" s="9" customFormat="1" ht="15.75" hidden="1" customHeight="1" x14ac:dyDescent="0.25">
      <c r="A1536" s="4" t="s">
        <v>4666</v>
      </c>
      <c r="B1536" s="4" t="s">
        <v>4667</v>
      </c>
      <c r="C1536" s="4" t="s">
        <v>4668</v>
      </c>
      <c r="D1536" s="22" t="s">
        <v>6087</v>
      </c>
      <c r="E1536" s="4" t="s">
        <v>26</v>
      </c>
      <c r="F1536" s="21" t="s">
        <v>6092</v>
      </c>
      <c r="G1536" s="4" t="s">
        <v>5</v>
      </c>
      <c r="H1536" s="4" t="s">
        <v>58</v>
      </c>
      <c r="I1536" s="5">
        <v>45403</v>
      </c>
      <c r="J1536" s="4" t="s">
        <v>30</v>
      </c>
      <c r="K1536" s="5">
        <v>45586</v>
      </c>
      <c r="L1536" s="4" t="s">
        <v>59</v>
      </c>
      <c r="M1536" s="6">
        <v>30991</v>
      </c>
      <c r="N1536" s="6">
        <v>8278</v>
      </c>
      <c r="O1536" s="4">
        <v>8</v>
      </c>
      <c r="P1536" s="5">
        <v>45594</v>
      </c>
      <c r="Q1536" s="4" t="s">
        <v>33</v>
      </c>
      <c r="R1536" s="4" t="s">
        <v>33</v>
      </c>
      <c r="S1536" s="4" t="s">
        <v>60</v>
      </c>
      <c r="T1536" s="7">
        <v>3.7437999999999998</v>
      </c>
      <c r="U1536" s="8">
        <v>183</v>
      </c>
      <c r="V1536" s="8">
        <v>2024</v>
      </c>
      <c r="W1536" s="4" t="s">
        <v>95</v>
      </c>
    </row>
    <row r="1537" spans="1:23" s="9" customFormat="1" ht="15.75" hidden="1" customHeight="1" x14ac:dyDescent="0.25">
      <c r="A1537" s="10" t="s">
        <v>4669</v>
      </c>
      <c r="B1537" s="10" t="s">
        <v>4670</v>
      </c>
      <c r="C1537" s="10" t="s">
        <v>4671</v>
      </c>
      <c r="D1537" s="22" t="s">
        <v>6087</v>
      </c>
      <c r="E1537" s="10" t="s">
        <v>51</v>
      </c>
      <c r="F1537" s="10" t="s">
        <v>56</v>
      </c>
      <c r="G1537" s="10" t="s">
        <v>5</v>
      </c>
      <c r="H1537" s="10" t="s">
        <v>118</v>
      </c>
      <c r="I1537" s="11">
        <v>45323</v>
      </c>
      <c r="J1537" s="10" t="s">
        <v>40</v>
      </c>
      <c r="K1537" s="11">
        <v>45595</v>
      </c>
      <c r="L1537" s="10" t="s">
        <v>66</v>
      </c>
      <c r="M1537" s="12">
        <v>37560</v>
      </c>
      <c r="N1537" s="12">
        <v>6244</v>
      </c>
      <c r="O1537" s="10" t="s">
        <v>32</v>
      </c>
      <c r="P1537" s="10" t="s">
        <v>32</v>
      </c>
      <c r="Q1537" s="10" t="s">
        <v>94</v>
      </c>
      <c r="R1537" s="10" t="s">
        <v>33</v>
      </c>
      <c r="S1537" s="10" t="s">
        <v>34</v>
      </c>
      <c r="T1537" s="13">
        <v>6.0153999999999996</v>
      </c>
      <c r="U1537" s="14">
        <v>272</v>
      </c>
      <c r="V1537" s="14">
        <v>2024</v>
      </c>
      <c r="W1537" s="10" t="s">
        <v>95</v>
      </c>
    </row>
    <row r="1538" spans="1:23" s="9" customFormat="1" ht="15.75" hidden="1" customHeight="1" x14ac:dyDescent="0.25">
      <c r="A1538" s="4" t="s">
        <v>4672</v>
      </c>
      <c r="B1538" s="4" t="s">
        <v>4673</v>
      </c>
      <c r="C1538" s="4" t="s">
        <v>4674</v>
      </c>
      <c r="D1538" s="22" t="s">
        <v>6087</v>
      </c>
      <c r="E1538" s="4" t="s">
        <v>51</v>
      </c>
      <c r="F1538" s="4" t="s">
        <v>27</v>
      </c>
      <c r="G1538" s="4" t="s">
        <v>57</v>
      </c>
      <c r="H1538" s="4" t="s">
        <v>161</v>
      </c>
      <c r="I1538" s="5">
        <v>45564</v>
      </c>
      <c r="J1538" s="4" t="s">
        <v>40</v>
      </c>
      <c r="K1538" s="5">
        <v>45642</v>
      </c>
      <c r="L1538" s="4" t="s">
        <v>59</v>
      </c>
      <c r="M1538" s="6">
        <v>16753</v>
      </c>
      <c r="N1538" s="6">
        <v>7564</v>
      </c>
      <c r="O1538" s="4">
        <v>27</v>
      </c>
      <c r="P1538" s="5">
        <v>45669</v>
      </c>
      <c r="Q1538" s="4" t="s">
        <v>33</v>
      </c>
      <c r="R1538" s="4" t="s">
        <v>33</v>
      </c>
      <c r="S1538" s="4" t="s">
        <v>60</v>
      </c>
      <c r="T1538" s="7">
        <v>2.2147999999999999</v>
      </c>
      <c r="U1538" s="8">
        <v>78</v>
      </c>
      <c r="V1538" s="8">
        <v>2024</v>
      </c>
      <c r="W1538" s="4" t="s">
        <v>89</v>
      </c>
    </row>
    <row r="1539" spans="1:23" s="9" customFormat="1" ht="15.75" hidden="1" customHeight="1" x14ac:dyDescent="0.25">
      <c r="A1539" s="10" t="s">
        <v>4675</v>
      </c>
      <c r="B1539" s="10" t="s">
        <v>4676</v>
      </c>
      <c r="C1539" s="10" t="s">
        <v>4677</v>
      </c>
      <c r="D1539" s="21" t="s">
        <v>6089</v>
      </c>
      <c r="E1539" s="10" t="s">
        <v>87</v>
      </c>
      <c r="F1539" s="10" t="s">
        <v>27</v>
      </c>
      <c r="G1539" s="10" t="s">
        <v>57</v>
      </c>
      <c r="H1539" s="10" t="s">
        <v>58</v>
      </c>
      <c r="I1539" s="11">
        <v>45200</v>
      </c>
      <c r="J1539" s="10" t="s">
        <v>40</v>
      </c>
      <c r="K1539" s="11">
        <v>45554</v>
      </c>
      <c r="L1539" s="10" t="s">
        <v>59</v>
      </c>
      <c r="M1539" s="12">
        <v>18558</v>
      </c>
      <c r="N1539" s="12">
        <v>7193</v>
      </c>
      <c r="O1539" s="10">
        <v>42</v>
      </c>
      <c r="P1539" s="11">
        <v>45596</v>
      </c>
      <c r="Q1539" s="10" t="s">
        <v>33</v>
      </c>
      <c r="R1539" s="10" t="s">
        <v>33</v>
      </c>
      <c r="S1539" s="10" t="s">
        <v>41</v>
      </c>
      <c r="T1539" s="13">
        <v>2.58</v>
      </c>
      <c r="U1539" s="14">
        <v>354</v>
      </c>
      <c r="V1539" s="14">
        <v>2024</v>
      </c>
      <c r="W1539" s="10" t="s">
        <v>168</v>
      </c>
    </row>
    <row r="1540" spans="1:23" s="9" customFormat="1" ht="15.75" hidden="1" customHeight="1" x14ac:dyDescent="0.25">
      <c r="A1540" s="4" t="s">
        <v>4678</v>
      </c>
      <c r="B1540" s="4" t="s">
        <v>4679</v>
      </c>
      <c r="C1540" s="4" t="s">
        <v>4680</v>
      </c>
      <c r="D1540" s="22" t="s">
        <v>6090</v>
      </c>
      <c r="E1540" s="4" t="s">
        <v>87</v>
      </c>
      <c r="F1540" s="21" t="s">
        <v>6092</v>
      </c>
      <c r="G1540" s="4" t="s">
        <v>5</v>
      </c>
      <c r="H1540" s="4" t="s">
        <v>72</v>
      </c>
      <c r="I1540" s="5">
        <v>45450</v>
      </c>
      <c r="J1540" s="4" t="s">
        <v>30</v>
      </c>
      <c r="K1540" s="5">
        <v>45485</v>
      </c>
      <c r="L1540" s="4" t="s">
        <v>59</v>
      </c>
      <c r="M1540" s="6">
        <v>40103</v>
      </c>
      <c r="N1540" s="6">
        <v>8231</v>
      </c>
      <c r="O1540" s="4">
        <v>43</v>
      </c>
      <c r="P1540" s="5">
        <v>45528</v>
      </c>
      <c r="Q1540" s="4" t="s">
        <v>33</v>
      </c>
      <c r="R1540" s="4" t="s">
        <v>33</v>
      </c>
      <c r="S1540" s="4" t="s">
        <v>41</v>
      </c>
      <c r="T1540" s="7">
        <v>4.8722000000000003</v>
      </c>
      <c r="U1540" s="8">
        <v>35</v>
      </c>
      <c r="V1540" s="8">
        <v>2024</v>
      </c>
      <c r="W1540" s="4" t="s">
        <v>42</v>
      </c>
    </row>
    <row r="1541" spans="1:23" s="9" customFormat="1" ht="15.75" hidden="1" customHeight="1" x14ac:dyDescent="0.25">
      <c r="A1541" s="10" t="s">
        <v>4681</v>
      </c>
      <c r="B1541" s="10" t="s">
        <v>4682</v>
      </c>
      <c r="C1541" s="10" t="s">
        <v>4683</v>
      </c>
      <c r="D1541" s="22" t="s">
        <v>6090</v>
      </c>
      <c r="E1541" s="10" t="s">
        <v>26</v>
      </c>
      <c r="F1541" s="10" t="s">
        <v>56</v>
      </c>
      <c r="G1541" s="10" t="s">
        <v>57</v>
      </c>
      <c r="H1541" s="10" t="s">
        <v>88</v>
      </c>
      <c r="I1541" s="11">
        <v>45208</v>
      </c>
      <c r="J1541" s="10" t="s">
        <v>40</v>
      </c>
      <c r="K1541" s="11">
        <v>45476</v>
      </c>
      <c r="L1541" s="10" t="s">
        <v>59</v>
      </c>
      <c r="M1541" s="12">
        <v>20133</v>
      </c>
      <c r="N1541" s="12">
        <v>2056</v>
      </c>
      <c r="O1541" s="10">
        <v>26</v>
      </c>
      <c r="P1541" s="11">
        <v>45502</v>
      </c>
      <c r="Q1541" s="10" t="s">
        <v>33</v>
      </c>
      <c r="R1541" s="10" t="s">
        <v>33</v>
      </c>
      <c r="S1541" s="10" t="s">
        <v>34</v>
      </c>
      <c r="T1541" s="13">
        <v>9.7922999999999991</v>
      </c>
      <c r="U1541" s="14">
        <v>268</v>
      </c>
      <c r="V1541" s="14">
        <v>2024</v>
      </c>
      <c r="W1541" s="10" t="s">
        <v>42</v>
      </c>
    </row>
    <row r="1542" spans="1:23" s="9" customFormat="1" ht="15.75" hidden="1" customHeight="1" x14ac:dyDescent="0.25">
      <c r="A1542" s="4" t="s">
        <v>4684</v>
      </c>
      <c r="B1542" s="4" t="s">
        <v>4685</v>
      </c>
      <c r="C1542" s="4" t="s">
        <v>4686</v>
      </c>
      <c r="D1542" s="21" t="s">
        <v>6086</v>
      </c>
      <c r="E1542" s="4" t="s">
        <v>51</v>
      </c>
      <c r="F1542" s="4" t="s">
        <v>46</v>
      </c>
      <c r="G1542" s="4" t="s">
        <v>5</v>
      </c>
      <c r="H1542" s="4" t="s">
        <v>161</v>
      </c>
      <c r="I1542" s="5">
        <v>45385</v>
      </c>
      <c r="J1542" s="4" t="s">
        <v>30</v>
      </c>
      <c r="K1542" s="5">
        <v>45578</v>
      </c>
      <c r="L1542" s="4" t="s">
        <v>59</v>
      </c>
      <c r="M1542" s="6">
        <v>70017</v>
      </c>
      <c r="N1542" s="6">
        <v>6096</v>
      </c>
      <c r="O1542" s="4">
        <v>39</v>
      </c>
      <c r="P1542" s="5">
        <v>45617</v>
      </c>
      <c r="Q1542" s="4" t="s">
        <v>33</v>
      </c>
      <c r="R1542" s="4" t="s">
        <v>33</v>
      </c>
      <c r="S1542" s="4" t="s">
        <v>60</v>
      </c>
      <c r="T1542" s="7">
        <v>11.4857</v>
      </c>
      <c r="U1542" s="8">
        <v>193</v>
      </c>
      <c r="V1542" s="8">
        <v>2024</v>
      </c>
      <c r="W1542" s="4" t="s">
        <v>95</v>
      </c>
    </row>
    <row r="1543" spans="1:23" s="9" customFormat="1" ht="15.75" hidden="1" customHeight="1" x14ac:dyDescent="0.25">
      <c r="A1543" s="10" t="s">
        <v>4687</v>
      </c>
      <c r="B1543" s="10" t="s">
        <v>4688</v>
      </c>
      <c r="C1543" s="10" t="s">
        <v>4689</v>
      </c>
      <c r="D1543" s="22" t="s">
        <v>6090</v>
      </c>
      <c r="E1543" s="10" t="s">
        <v>51</v>
      </c>
      <c r="F1543" s="10" t="s">
        <v>46</v>
      </c>
      <c r="G1543" s="10" t="s">
        <v>5</v>
      </c>
      <c r="H1543" s="10" t="s">
        <v>58</v>
      </c>
      <c r="I1543" s="11">
        <v>45199</v>
      </c>
      <c r="J1543" s="10" t="s">
        <v>30</v>
      </c>
      <c r="K1543" s="11">
        <v>45401</v>
      </c>
      <c r="L1543" s="10" t="s">
        <v>59</v>
      </c>
      <c r="M1543" s="12">
        <v>16273</v>
      </c>
      <c r="N1543" s="12">
        <v>1185</v>
      </c>
      <c r="O1543" s="10">
        <v>2</v>
      </c>
      <c r="P1543" s="11">
        <v>45403</v>
      </c>
      <c r="Q1543" s="10" t="s">
        <v>33</v>
      </c>
      <c r="R1543" s="10" t="s">
        <v>33</v>
      </c>
      <c r="S1543" s="10" t="s">
        <v>34</v>
      </c>
      <c r="T1543" s="13">
        <v>13.7325</v>
      </c>
      <c r="U1543" s="14">
        <v>202</v>
      </c>
      <c r="V1543" s="14">
        <v>2024</v>
      </c>
      <c r="W1543" s="10" t="s">
        <v>47</v>
      </c>
    </row>
    <row r="1544" spans="1:23" s="9" customFormat="1" ht="15.75" hidden="1" customHeight="1" x14ac:dyDescent="0.25">
      <c r="A1544" s="4" t="s">
        <v>4690</v>
      </c>
      <c r="B1544" s="4" t="s">
        <v>4691</v>
      </c>
      <c r="C1544" s="4" t="s">
        <v>4692</v>
      </c>
      <c r="D1544" s="22" t="s">
        <v>6090</v>
      </c>
      <c r="E1544" s="4" t="s">
        <v>26</v>
      </c>
      <c r="F1544" s="4" t="s">
        <v>46</v>
      </c>
      <c r="G1544" s="4" t="s">
        <v>57</v>
      </c>
      <c r="H1544" s="4" t="s">
        <v>161</v>
      </c>
      <c r="I1544" s="5">
        <v>45579</v>
      </c>
      <c r="J1544" s="4" t="s">
        <v>40</v>
      </c>
      <c r="K1544" s="5">
        <v>45640</v>
      </c>
      <c r="L1544" s="4" t="s">
        <v>59</v>
      </c>
      <c r="M1544" s="6">
        <v>19650</v>
      </c>
      <c r="N1544" s="6">
        <v>1668</v>
      </c>
      <c r="O1544" s="4">
        <v>44</v>
      </c>
      <c r="P1544" s="5">
        <v>45684</v>
      </c>
      <c r="Q1544" s="4" t="s">
        <v>33</v>
      </c>
      <c r="R1544" s="4" t="s">
        <v>33</v>
      </c>
      <c r="S1544" s="4" t="s">
        <v>60</v>
      </c>
      <c r="T1544" s="7">
        <v>11.7806</v>
      </c>
      <c r="U1544" s="8">
        <v>61</v>
      </c>
      <c r="V1544" s="8">
        <v>2024</v>
      </c>
      <c r="W1544" s="4" t="s">
        <v>89</v>
      </c>
    </row>
    <row r="1545" spans="1:23" s="9" customFormat="1" ht="15.75" hidden="1" customHeight="1" x14ac:dyDescent="0.25">
      <c r="A1545" s="10" t="s">
        <v>4693</v>
      </c>
      <c r="B1545" s="10" t="s">
        <v>4694</v>
      </c>
      <c r="C1545" s="10" t="s">
        <v>4695</v>
      </c>
      <c r="D1545" s="21" t="s">
        <v>6091</v>
      </c>
      <c r="E1545" s="10" t="s">
        <v>87</v>
      </c>
      <c r="F1545" s="10" t="s">
        <v>65</v>
      </c>
      <c r="G1545" s="10" t="s">
        <v>5</v>
      </c>
      <c r="H1545" s="10" t="s">
        <v>88</v>
      </c>
      <c r="I1545" s="11">
        <v>45219</v>
      </c>
      <c r="J1545" s="10" t="s">
        <v>40</v>
      </c>
      <c r="K1545" s="11">
        <v>45356</v>
      </c>
      <c r="L1545" s="10" t="s">
        <v>59</v>
      </c>
      <c r="M1545" s="12">
        <v>19797</v>
      </c>
      <c r="N1545" s="12">
        <v>2825</v>
      </c>
      <c r="O1545" s="10">
        <v>43</v>
      </c>
      <c r="P1545" s="11">
        <v>45399</v>
      </c>
      <c r="Q1545" s="10" t="s">
        <v>33</v>
      </c>
      <c r="R1545" s="10" t="s">
        <v>33</v>
      </c>
      <c r="S1545" s="10" t="s">
        <v>60</v>
      </c>
      <c r="T1545" s="13">
        <v>7.0077999999999996</v>
      </c>
      <c r="U1545" s="14">
        <v>137</v>
      </c>
      <c r="V1545" s="14">
        <v>2024</v>
      </c>
      <c r="W1545" s="10" t="s">
        <v>77</v>
      </c>
    </row>
    <row r="1546" spans="1:23" s="9" customFormat="1" ht="15.75" hidden="1" customHeight="1" x14ac:dyDescent="0.25">
      <c r="A1546" s="4" t="s">
        <v>4696</v>
      </c>
      <c r="B1546" s="4" t="s">
        <v>4697</v>
      </c>
      <c r="C1546" s="4" t="s">
        <v>4698</v>
      </c>
      <c r="D1546" s="22" t="s">
        <v>6090</v>
      </c>
      <c r="E1546" s="4" t="s">
        <v>51</v>
      </c>
      <c r="F1546" s="21" t="s">
        <v>6092</v>
      </c>
      <c r="G1546" s="4" t="s">
        <v>57</v>
      </c>
      <c r="H1546" s="4" t="s">
        <v>93</v>
      </c>
      <c r="I1546" s="5">
        <v>45158</v>
      </c>
      <c r="J1546" s="4" t="s">
        <v>30</v>
      </c>
      <c r="K1546" s="5">
        <v>45488</v>
      </c>
      <c r="L1546" s="4" t="s">
        <v>59</v>
      </c>
      <c r="M1546" s="6">
        <v>55893</v>
      </c>
      <c r="N1546" s="6">
        <v>7378</v>
      </c>
      <c r="O1546" s="4">
        <v>16</v>
      </c>
      <c r="P1546" s="5">
        <v>45504</v>
      </c>
      <c r="Q1546" s="4" t="s">
        <v>33</v>
      </c>
      <c r="R1546" s="4" t="s">
        <v>33</v>
      </c>
      <c r="S1546" s="4" t="s">
        <v>60</v>
      </c>
      <c r="T1546" s="7">
        <v>7.5755999999999997</v>
      </c>
      <c r="U1546" s="8">
        <v>330</v>
      </c>
      <c r="V1546" s="8">
        <v>2024</v>
      </c>
      <c r="W1546" s="4" t="s">
        <v>42</v>
      </c>
    </row>
    <row r="1547" spans="1:23" s="9" customFormat="1" ht="15.75" hidden="1" customHeight="1" x14ac:dyDescent="0.25">
      <c r="A1547" s="10" t="s">
        <v>4699</v>
      </c>
      <c r="B1547" s="10" t="s">
        <v>4700</v>
      </c>
      <c r="C1547" s="10" t="s">
        <v>4701</v>
      </c>
      <c r="D1547" s="22" t="s">
        <v>6087</v>
      </c>
      <c r="E1547" s="10" t="s">
        <v>51</v>
      </c>
      <c r="F1547" s="10" t="s">
        <v>65</v>
      </c>
      <c r="G1547" s="10" t="s">
        <v>28</v>
      </c>
      <c r="H1547" s="10" t="s">
        <v>39</v>
      </c>
      <c r="I1547" s="11">
        <v>45268</v>
      </c>
      <c r="J1547" s="10" t="s">
        <v>40</v>
      </c>
      <c r="K1547" s="11">
        <v>45307</v>
      </c>
      <c r="L1547" s="10" t="s">
        <v>59</v>
      </c>
      <c r="M1547" s="12">
        <v>39824</v>
      </c>
      <c r="N1547" s="12">
        <v>3986</v>
      </c>
      <c r="O1547" s="10">
        <v>29</v>
      </c>
      <c r="P1547" s="11">
        <v>45336</v>
      </c>
      <c r="Q1547" s="10" t="s">
        <v>33</v>
      </c>
      <c r="R1547" s="10" t="s">
        <v>33</v>
      </c>
      <c r="S1547" s="10" t="s">
        <v>34</v>
      </c>
      <c r="T1547" s="13">
        <v>9.9909999999999997</v>
      </c>
      <c r="U1547" s="14">
        <v>39</v>
      </c>
      <c r="V1547" s="14">
        <v>2024</v>
      </c>
      <c r="W1547" s="10" t="s">
        <v>73</v>
      </c>
    </row>
    <row r="1548" spans="1:23" s="9" customFormat="1" ht="15.75" hidden="1" customHeight="1" x14ac:dyDescent="0.25">
      <c r="A1548" s="4" t="s">
        <v>4702</v>
      </c>
      <c r="B1548" s="4" t="s">
        <v>4703</v>
      </c>
      <c r="C1548" s="4" t="s">
        <v>4704</v>
      </c>
      <c r="D1548" s="21" t="s">
        <v>6091</v>
      </c>
      <c r="E1548" s="4" t="s">
        <v>87</v>
      </c>
      <c r="F1548" s="4" t="s">
        <v>46</v>
      </c>
      <c r="G1548" s="4" t="s">
        <v>28</v>
      </c>
      <c r="H1548" s="4" t="s">
        <v>118</v>
      </c>
      <c r="I1548" s="5">
        <v>45527</v>
      </c>
      <c r="J1548" s="4" t="s">
        <v>40</v>
      </c>
      <c r="K1548" s="5">
        <v>45597</v>
      </c>
      <c r="L1548" s="4" t="s">
        <v>59</v>
      </c>
      <c r="M1548" s="6">
        <v>8388</v>
      </c>
      <c r="N1548" s="6">
        <v>8357</v>
      </c>
      <c r="O1548" s="4">
        <v>27</v>
      </c>
      <c r="P1548" s="5">
        <v>45624</v>
      </c>
      <c r="Q1548" s="4" t="s">
        <v>33</v>
      </c>
      <c r="R1548" s="4" t="s">
        <v>33</v>
      </c>
      <c r="S1548" s="4" t="s">
        <v>60</v>
      </c>
      <c r="T1548" s="7">
        <v>1.0037</v>
      </c>
      <c r="U1548" s="8">
        <v>70</v>
      </c>
      <c r="V1548" s="8">
        <v>2024</v>
      </c>
      <c r="W1548" s="4" t="s">
        <v>61</v>
      </c>
    </row>
    <row r="1549" spans="1:23" s="9" customFormat="1" ht="15.75" hidden="1" customHeight="1" x14ac:dyDescent="0.25">
      <c r="A1549" s="10" t="s">
        <v>4705</v>
      </c>
      <c r="B1549" s="10" t="s">
        <v>4706</v>
      </c>
      <c r="C1549" s="10" t="s">
        <v>4707</v>
      </c>
      <c r="D1549" s="21" t="s">
        <v>6091</v>
      </c>
      <c r="E1549" s="10" t="s">
        <v>26</v>
      </c>
      <c r="F1549" s="10" t="s">
        <v>65</v>
      </c>
      <c r="G1549" s="10" t="s">
        <v>28</v>
      </c>
      <c r="H1549" s="10" t="s">
        <v>118</v>
      </c>
      <c r="I1549" s="11">
        <v>45224</v>
      </c>
      <c r="J1549" s="10" t="s">
        <v>40</v>
      </c>
      <c r="K1549" s="11">
        <v>45427</v>
      </c>
      <c r="L1549" s="10" t="s">
        <v>66</v>
      </c>
      <c r="M1549" s="12">
        <v>11330</v>
      </c>
      <c r="N1549" s="12">
        <v>7284</v>
      </c>
      <c r="O1549" s="10" t="s">
        <v>32</v>
      </c>
      <c r="P1549" s="10" t="s">
        <v>32</v>
      </c>
      <c r="Q1549" s="10" t="s">
        <v>33</v>
      </c>
      <c r="R1549" s="10" t="s">
        <v>33</v>
      </c>
      <c r="S1549" s="10" t="s">
        <v>60</v>
      </c>
      <c r="T1549" s="13">
        <v>1.5555000000000001</v>
      </c>
      <c r="U1549" s="14">
        <v>203</v>
      </c>
      <c r="V1549" s="14">
        <v>2024</v>
      </c>
      <c r="W1549" s="10" t="s">
        <v>52</v>
      </c>
    </row>
    <row r="1550" spans="1:23" s="9" customFormat="1" ht="15.75" hidden="1" customHeight="1" x14ac:dyDescent="0.25">
      <c r="A1550" s="4" t="s">
        <v>4708</v>
      </c>
      <c r="B1550" s="4" t="s">
        <v>4709</v>
      </c>
      <c r="C1550" s="4" t="s">
        <v>4710</v>
      </c>
      <c r="D1550" s="22" t="s">
        <v>6090</v>
      </c>
      <c r="E1550" s="4" t="s">
        <v>87</v>
      </c>
      <c r="F1550" s="4" t="s">
        <v>56</v>
      </c>
      <c r="G1550" s="4" t="s">
        <v>57</v>
      </c>
      <c r="H1550" s="4" t="s">
        <v>118</v>
      </c>
      <c r="I1550" s="5">
        <v>44996</v>
      </c>
      <c r="J1550" s="4" t="s">
        <v>40</v>
      </c>
      <c r="K1550" s="5">
        <v>45305</v>
      </c>
      <c r="L1550" s="4" t="s">
        <v>59</v>
      </c>
      <c r="M1550" s="6">
        <v>39410</v>
      </c>
      <c r="N1550" s="6">
        <v>8729</v>
      </c>
      <c r="O1550" s="4">
        <v>28</v>
      </c>
      <c r="P1550" s="5">
        <v>45333</v>
      </c>
      <c r="Q1550" s="4" t="s">
        <v>33</v>
      </c>
      <c r="R1550" s="4" t="s">
        <v>33</v>
      </c>
      <c r="S1550" s="4" t="s">
        <v>60</v>
      </c>
      <c r="T1550" s="7">
        <v>4.5148000000000001</v>
      </c>
      <c r="U1550" s="8">
        <v>309</v>
      </c>
      <c r="V1550" s="8">
        <v>2024</v>
      </c>
      <c r="W1550" s="4" t="s">
        <v>73</v>
      </c>
    </row>
    <row r="1551" spans="1:23" s="9" customFormat="1" ht="15.75" hidden="1" customHeight="1" x14ac:dyDescent="0.25">
      <c r="A1551" s="10" t="s">
        <v>4711</v>
      </c>
      <c r="B1551" s="10" t="s">
        <v>4712</v>
      </c>
      <c r="C1551" s="10" t="s">
        <v>4713</v>
      </c>
      <c r="D1551" s="22" t="s">
        <v>6087</v>
      </c>
      <c r="E1551" s="10" t="s">
        <v>26</v>
      </c>
      <c r="F1551" s="10" t="s">
        <v>65</v>
      </c>
      <c r="G1551" s="10" t="s">
        <v>28</v>
      </c>
      <c r="H1551" s="10" t="s">
        <v>161</v>
      </c>
      <c r="I1551" s="11">
        <v>45073</v>
      </c>
      <c r="J1551" s="10" t="s">
        <v>40</v>
      </c>
      <c r="K1551" s="11">
        <v>45353</v>
      </c>
      <c r="L1551" s="10" t="s">
        <v>59</v>
      </c>
      <c r="M1551" s="12">
        <v>24625</v>
      </c>
      <c r="N1551" s="12">
        <v>3789</v>
      </c>
      <c r="O1551" s="10">
        <v>39</v>
      </c>
      <c r="P1551" s="11">
        <v>45392</v>
      </c>
      <c r="Q1551" s="10" t="s">
        <v>33</v>
      </c>
      <c r="R1551" s="10" t="s">
        <v>33</v>
      </c>
      <c r="S1551" s="10" t="s">
        <v>60</v>
      </c>
      <c r="T1551" s="13">
        <v>6.4991000000000003</v>
      </c>
      <c r="U1551" s="14">
        <v>280</v>
      </c>
      <c r="V1551" s="14">
        <v>2024</v>
      </c>
      <c r="W1551" s="10" t="s">
        <v>77</v>
      </c>
    </row>
    <row r="1552" spans="1:23" s="9" customFormat="1" ht="15.75" hidden="1" customHeight="1" x14ac:dyDescent="0.25">
      <c r="A1552" s="4" t="s">
        <v>4714</v>
      </c>
      <c r="B1552" s="4" t="s">
        <v>4715</v>
      </c>
      <c r="C1552" s="4" t="s">
        <v>4716</v>
      </c>
      <c r="D1552" s="22" t="s">
        <v>6090</v>
      </c>
      <c r="E1552" s="4" t="s">
        <v>87</v>
      </c>
      <c r="F1552" s="4" t="s">
        <v>27</v>
      </c>
      <c r="G1552" s="4" t="s">
        <v>5</v>
      </c>
      <c r="H1552" s="4" t="s">
        <v>93</v>
      </c>
      <c r="I1552" s="5">
        <v>45580</v>
      </c>
      <c r="J1552" s="4" t="s">
        <v>30</v>
      </c>
      <c r="K1552" s="5">
        <v>45651</v>
      </c>
      <c r="L1552" s="4" t="s">
        <v>66</v>
      </c>
      <c r="M1552" s="6">
        <v>5975</v>
      </c>
      <c r="N1552" s="6">
        <v>2220</v>
      </c>
      <c r="O1552" s="4" t="s">
        <v>32</v>
      </c>
      <c r="P1552" s="4" t="s">
        <v>32</v>
      </c>
      <c r="Q1552" s="4" t="s">
        <v>94</v>
      </c>
      <c r="R1552" s="4" t="s">
        <v>33</v>
      </c>
      <c r="S1552" s="4" t="s">
        <v>34</v>
      </c>
      <c r="T1552" s="7">
        <v>2.6913999999999998</v>
      </c>
      <c r="U1552" s="8">
        <v>71</v>
      </c>
      <c r="V1552" s="8">
        <v>2024</v>
      </c>
      <c r="W1552" s="4" t="s">
        <v>89</v>
      </c>
    </row>
    <row r="1553" spans="1:23" s="9" customFormat="1" ht="15.75" hidden="1" customHeight="1" x14ac:dyDescent="0.25">
      <c r="A1553" s="10" t="s">
        <v>4717</v>
      </c>
      <c r="B1553" s="10" t="s">
        <v>4718</v>
      </c>
      <c r="C1553" s="10" t="s">
        <v>4719</v>
      </c>
      <c r="D1553" s="22" t="s">
        <v>6087</v>
      </c>
      <c r="E1553" s="10" t="s">
        <v>26</v>
      </c>
      <c r="F1553" s="21" t="s">
        <v>6092</v>
      </c>
      <c r="G1553" s="10" t="s">
        <v>28</v>
      </c>
      <c r="H1553" s="10" t="s">
        <v>118</v>
      </c>
      <c r="I1553" s="11">
        <v>45413</v>
      </c>
      <c r="J1553" s="10" t="s">
        <v>40</v>
      </c>
      <c r="K1553" s="11">
        <v>45602</v>
      </c>
      <c r="L1553" s="10" t="s">
        <v>59</v>
      </c>
      <c r="M1553" s="12">
        <v>31158</v>
      </c>
      <c r="N1553" s="12">
        <v>4848</v>
      </c>
      <c r="O1553" s="10">
        <v>16</v>
      </c>
      <c r="P1553" s="11">
        <v>45618</v>
      </c>
      <c r="Q1553" s="10" t="s">
        <v>33</v>
      </c>
      <c r="R1553" s="10" t="s">
        <v>33</v>
      </c>
      <c r="S1553" s="10" t="s">
        <v>60</v>
      </c>
      <c r="T1553" s="13">
        <v>6.4269999999999996</v>
      </c>
      <c r="U1553" s="14">
        <v>189</v>
      </c>
      <c r="V1553" s="14">
        <v>2024</v>
      </c>
      <c r="W1553" s="10" t="s">
        <v>61</v>
      </c>
    </row>
    <row r="1554" spans="1:23" s="9" customFormat="1" ht="15.75" hidden="1" customHeight="1" x14ac:dyDescent="0.25">
      <c r="A1554" s="4" t="s">
        <v>4720</v>
      </c>
      <c r="B1554" s="4" t="s">
        <v>4721</v>
      </c>
      <c r="C1554" s="4" t="s">
        <v>4722</v>
      </c>
      <c r="D1554" s="22" t="s">
        <v>6087</v>
      </c>
      <c r="E1554" s="4" t="s">
        <v>51</v>
      </c>
      <c r="F1554" s="4" t="s">
        <v>65</v>
      </c>
      <c r="G1554" s="4" t="s">
        <v>5</v>
      </c>
      <c r="H1554" s="4" t="s">
        <v>39</v>
      </c>
      <c r="I1554" s="5">
        <v>45111</v>
      </c>
      <c r="J1554" s="4" t="s">
        <v>40</v>
      </c>
      <c r="K1554" s="5">
        <v>45399</v>
      </c>
      <c r="L1554" s="4" t="s">
        <v>66</v>
      </c>
      <c r="M1554" s="6">
        <v>26642</v>
      </c>
      <c r="N1554" s="6">
        <v>3745</v>
      </c>
      <c r="O1554" s="4" t="s">
        <v>32</v>
      </c>
      <c r="P1554" s="4" t="s">
        <v>32</v>
      </c>
      <c r="Q1554" s="4" t="s">
        <v>33</v>
      </c>
      <c r="R1554" s="4" t="s">
        <v>33</v>
      </c>
      <c r="S1554" s="4" t="s">
        <v>41</v>
      </c>
      <c r="T1554" s="7">
        <v>7.1139999999999999</v>
      </c>
      <c r="U1554" s="8">
        <v>288</v>
      </c>
      <c r="V1554" s="8">
        <v>2024</v>
      </c>
      <c r="W1554" s="4" t="s">
        <v>47</v>
      </c>
    </row>
    <row r="1555" spans="1:23" s="9" customFormat="1" ht="15.75" hidden="1" customHeight="1" x14ac:dyDescent="0.25">
      <c r="A1555" s="10" t="s">
        <v>4723</v>
      </c>
      <c r="B1555" s="10" t="s">
        <v>4724</v>
      </c>
      <c r="C1555" s="10" t="s">
        <v>4725</v>
      </c>
      <c r="D1555" s="21" t="s">
        <v>6091</v>
      </c>
      <c r="E1555" s="10" t="s">
        <v>26</v>
      </c>
      <c r="F1555" s="10" t="s">
        <v>27</v>
      </c>
      <c r="G1555" s="10" t="s">
        <v>57</v>
      </c>
      <c r="H1555" s="10" t="s">
        <v>161</v>
      </c>
      <c r="I1555" s="11">
        <v>45458</v>
      </c>
      <c r="J1555" s="10" t="s">
        <v>40</v>
      </c>
      <c r="K1555" s="11">
        <v>45513</v>
      </c>
      <c r="L1555" s="10" t="s">
        <v>59</v>
      </c>
      <c r="M1555" s="12">
        <v>11972</v>
      </c>
      <c r="N1555" s="12">
        <v>5104</v>
      </c>
      <c r="O1555" s="10">
        <v>28</v>
      </c>
      <c r="P1555" s="11">
        <v>45541</v>
      </c>
      <c r="Q1555" s="10" t="s">
        <v>94</v>
      </c>
      <c r="R1555" s="10" t="s">
        <v>33</v>
      </c>
      <c r="S1555" s="10" t="s">
        <v>34</v>
      </c>
      <c r="T1555" s="13">
        <v>2.3456000000000001</v>
      </c>
      <c r="U1555" s="14">
        <v>55</v>
      </c>
      <c r="V1555" s="14">
        <v>2024</v>
      </c>
      <c r="W1555" s="10" t="s">
        <v>114</v>
      </c>
    </row>
    <row r="1556" spans="1:23" s="9" customFormat="1" ht="15.75" hidden="1" customHeight="1" x14ac:dyDescent="0.25">
      <c r="A1556" s="4" t="s">
        <v>4726</v>
      </c>
      <c r="B1556" s="4" t="s">
        <v>4727</v>
      </c>
      <c r="C1556" s="4" t="s">
        <v>4728</v>
      </c>
      <c r="D1556" s="21" t="s">
        <v>6091</v>
      </c>
      <c r="E1556" s="4" t="s">
        <v>87</v>
      </c>
      <c r="F1556" s="21" t="s">
        <v>6092</v>
      </c>
      <c r="G1556" s="4" t="s">
        <v>5</v>
      </c>
      <c r="H1556" s="4" t="s">
        <v>118</v>
      </c>
      <c r="I1556" s="5">
        <v>45219</v>
      </c>
      <c r="J1556" s="4" t="s">
        <v>30</v>
      </c>
      <c r="K1556" s="5">
        <v>45491</v>
      </c>
      <c r="L1556" s="4" t="s">
        <v>31</v>
      </c>
      <c r="M1556" s="6">
        <v>13954</v>
      </c>
      <c r="N1556" s="6">
        <v>8429</v>
      </c>
      <c r="O1556" s="4" t="s">
        <v>32</v>
      </c>
      <c r="P1556" s="4" t="s">
        <v>32</v>
      </c>
      <c r="Q1556" s="4" t="s">
        <v>33</v>
      </c>
      <c r="R1556" s="4" t="s">
        <v>33</v>
      </c>
      <c r="S1556" s="4" t="s">
        <v>60</v>
      </c>
      <c r="T1556" s="7">
        <v>1.6555</v>
      </c>
      <c r="U1556" s="8">
        <v>272</v>
      </c>
      <c r="V1556" s="8">
        <v>2024</v>
      </c>
      <c r="W1556" s="4" t="s">
        <v>42</v>
      </c>
    </row>
    <row r="1557" spans="1:23" s="9" customFormat="1" ht="15.75" hidden="1" customHeight="1" x14ac:dyDescent="0.25">
      <c r="A1557" s="10" t="s">
        <v>4729</v>
      </c>
      <c r="B1557" s="10" t="s">
        <v>4730</v>
      </c>
      <c r="C1557" s="10" t="s">
        <v>4731</v>
      </c>
      <c r="D1557" s="21" t="s">
        <v>6091</v>
      </c>
      <c r="E1557" s="10" t="s">
        <v>26</v>
      </c>
      <c r="F1557" s="10" t="s">
        <v>46</v>
      </c>
      <c r="G1557" s="10" t="s">
        <v>57</v>
      </c>
      <c r="H1557" s="10" t="s">
        <v>88</v>
      </c>
      <c r="I1557" s="11">
        <v>45397</v>
      </c>
      <c r="J1557" s="10" t="s">
        <v>30</v>
      </c>
      <c r="K1557" s="11">
        <v>45593</v>
      </c>
      <c r="L1557" s="10" t="s">
        <v>59</v>
      </c>
      <c r="M1557" s="12">
        <v>17858</v>
      </c>
      <c r="N1557" s="12">
        <v>974</v>
      </c>
      <c r="O1557" s="10">
        <v>7</v>
      </c>
      <c r="P1557" s="11">
        <v>45600</v>
      </c>
      <c r="Q1557" s="10" t="s">
        <v>33</v>
      </c>
      <c r="R1557" s="10" t="s">
        <v>33</v>
      </c>
      <c r="S1557" s="10" t="s">
        <v>41</v>
      </c>
      <c r="T1557" s="13">
        <v>18.334700000000002</v>
      </c>
      <c r="U1557" s="14">
        <v>196</v>
      </c>
      <c r="V1557" s="14">
        <v>2024</v>
      </c>
      <c r="W1557" s="10" t="s">
        <v>95</v>
      </c>
    </row>
    <row r="1558" spans="1:23" s="9" customFormat="1" ht="15.75" hidden="1" customHeight="1" x14ac:dyDescent="0.25">
      <c r="A1558" s="4" t="s">
        <v>4732</v>
      </c>
      <c r="B1558" s="4" t="s">
        <v>4733</v>
      </c>
      <c r="C1558" s="4" t="s">
        <v>4734</v>
      </c>
      <c r="D1558" s="22" t="s">
        <v>6090</v>
      </c>
      <c r="E1558" s="4" t="s">
        <v>87</v>
      </c>
      <c r="F1558" s="4" t="s">
        <v>65</v>
      </c>
      <c r="G1558" s="4" t="s">
        <v>28</v>
      </c>
      <c r="H1558" s="4" t="s">
        <v>118</v>
      </c>
      <c r="I1558" s="5">
        <v>45336</v>
      </c>
      <c r="J1558" s="4" t="s">
        <v>40</v>
      </c>
      <c r="K1558" s="5">
        <v>45461</v>
      </c>
      <c r="L1558" s="4" t="s">
        <v>59</v>
      </c>
      <c r="M1558" s="6">
        <v>5728</v>
      </c>
      <c r="N1558" s="6">
        <v>8398</v>
      </c>
      <c r="O1558" s="4">
        <v>3</v>
      </c>
      <c r="P1558" s="5">
        <v>45464</v>
      </c>
      <c r="Q1558" s="4" t="s">
        <v>33</v>
      </c>
      <c r="R1558" s="4" t="s">
        <v>33</v>
      </c>
      <c r="S1558" s="4" t="s">
        <v>60</v>
      </c>
      <c r="T1558" s="7">
        <v>0.68210000000000004</v>
      </c>
      <c r="U1558" s="8">
        <v>125</v>
      </c>
      <c r="V1558" s="8">
        <v>2024</v>
      </c>
      <c r="W1558" s="4" t="s">
        <v>67</v>
      </c>
    </row>
    <row r="1559" spans="1:23" s="9" customFormat="1" ht="15.75" hidden="1" customHeight="1" x14ac:dyDescent="0.25">
      <c r="A1559" s="10" t="s">
        <v>4735</v>
      </c>
      <c r="B1559" s="10" t="s">
        <v>4736</v>
      </c>
      <c r="C1559" s="10" t="s">
        <v>4737</v>
      </c>
      <c r="D1559" s="22" t="s">
        <v>6090</v>
      </c>
      <c r="E1559" s="10" t="s">
        <v>26</v>
      </c>
      <c r="F1559" s="10" t="s">
        <v>71</v>
      </c>
      <c r="G1559" s="10" t="s">
        <v>5</v>
      </c>
      <c r="H1559" s="10" t="s">
        <v>161</v>
      </c>
      <c r="I1559" s="11">
        <v>45270</v>
      </c>
      <c r="J1559" s="10" t="s">
        <v>30</v>
      </c>
      <c r="K1559" s="11">
        <v>45570</v>
      </c>
      <c r="L1559" s="10" t="s">
        <v>59</v>
      </c>
      <c r="M1559" s="12">
        <v>56917</v>
      </c>
      <c r="N1559" s="12">
        <v>802</v>
      </c>
      <c r="O1559" s="10">
        <v>4</v>
      </c>
      <c r="P1559" s="11">
        <v>45574</v>
      </c>
      <c r="Q1559" s="10" t="s">
        <v>94</v>
      </c>
      <c r="R1559" s="10" t="s">
        <v>94</v>
      </c>
      <c r="S1559" s="10" t="s">
        <v>60</v>
      </c>
      <c r="T1559" s="13">
        <v>70.968800000000002</v>
      </c>
      <c r="U1559" s="14">
        <v>300</v>
      </c>
      <c r="V1559" s="14">
        <v>2024</v>
      </c>
      <c r="W1559" s="10" t="s">
        <v>95</v>
      </c>
    </row>
    <row r="1560" spans="1:23" s="9" customFormat="1" ht="15.75" hidden="1" customHeight="1" x14ac:dyDescent="0.25">
      <c r="A1560" s="4" t="s">
        <v>4738</v>
      </c>
      <c r="B1560" s="4" t="s">
        <v>4739</v>
      </c>
      <c r="C1560" s="4" t="s">
        <v>4740</v>
      </c>
      <c r="D1560" s="21" t="s">
        <v>6086</v>
      </c>
      <c r="E1560" s="4" t="s">
        <v>26</v>
      </c>
      <c r="F1560" s="4" t="s">
        <v>56</v>
      </c>
      <c r="G1560" s="4" t="s">
        <v>57</v>
      </c>
      <c r="H1560" s="4" t="s">
        <v>93</v>
      </c>
      <c r="I1560" s="5">
        <v>45297</v>
      </c>
      <c r="J1560" s="4" t="s">
        <v>40</v>
      </c>
      <c r="K1560" s="5">
        <v>45579</v>
      </c>
      <c r="L1560" s="4" t="s">
        <v>59</v>
      </c>
      <c r="M1560" s="6">
        <v>50874</v>
      </c>
      <c r="N1560" s="6">
        <v>6760</v>
      </c>
      <c r="O1560" s="4">
        <v>24</v>
      </c>
      <c r="P1560" s="5">
        <v>45603</v>
      </c>
      <c r="Q1560" s="4" t="s">
        <v>33</v>
      </c>
      <c r="R1560" s="4" t="s">
        <v>33</v>
      </c>
      <c r="S1560" s="4" t="s">
        <v>41</v>
      </c>
      <c r="T1560" s="7">
        <v>7.5256999999999996</v>
      </c>
      <c r="U1560" s="8">
        <v>282</v>
      </c>
      <c r="V1560" s="8">
        <v>2024</v>
      </c>
      <c r="W1560" s="4" t="s">
        <v>95</v>
      </c>
    </row>
    <row r="1561" spans="1:23" s="9" customFormat="1" ht="15.75" hidden="1" customHeight="1" x14ac:dyDescent="0.25">
      <c r="A1561" s="10" t="s">
        <v>4741</v>
      </c>
      <c r="B1561" s="10" t="s">
        <v>4742</v>
      </c>
      <c r="C1561" s="10" t="s">
        <v>4743</v>
      </c>
      <c r="D1561" s="21" t="s">
        <v>6089</v>
      </c>
      <c r="E1561" s="10" t="s">
        <v>51</v>
      </c>
      <c r="F1561" s="10" t="s">
        <v>46</v>
      </c>
      <c r="G1561" s="10" t="s">
        <v>28</v>
      </c>
      <c r="H1561" s="10" t="s">
        <v>93</v>
      </c>
      <c r="I1561" s="11">
        <v>45041</v>
      </c>
      <c r="J1561" s="10" t="s">
        <v>40</v>
      </c>
      <c r="K1561" s="11">
        <v>45312</v>
      </c>
      <c r="L1561" s="10" t="s">
        <v>59</v>
      </c>
      <c r="M1561" s="12">
        <v>56204</v>
      </c>
      <c r="N1561" s="12">
        <v>6352</v>
      </c>
      <c r="O1561" s="10">
        <v>5</v>
      </c>
      <c r="P1561" s="11">
        <v>45317</v>
      </c>
      <c r="Q1561" s="10" t="s">
        <v>94</v>
      </c>
      <c r="R1561" s="10" t="s">
        <v>33</v>
      </c>
      <c r="S1561" s="10" t="s">
        <v>34</v>
      </c>
      <c r="T1561" s="13">
        <v>8.8482000000000003</v>
      </c>
      <c r="U1561" s="14">
        <v>271</v>
      </c>
      <c r="V1561" s="14">
        <v>2024</v>
      </c>
      <c r="W1561" s="10" t="s">
        <v>73</v>
      </c>
    </row>
    <row r="1562" spans="1:23" s="9" customFormat="1" ht="15.75" hidden="1" customHeight="1" x14ac:dyDescent="0.25">
      <c r="A1562" s="4" t="s">
        <v>4744</v>
      </c>
      <c r="B1562" s="4" t="s">
        <v>4745</v>
      </c>
      <c r="C1562" s="4" t="s">
        <v>4746</v>
      </c>
      <c r="D1562" s="21" t="s">
        <v>6089</v>
      </c>
      <c r="E1562" s="4" t="s">
        <v>51</v>
      </c>
      <c r="F1562" s="4" t="s">
        <v>46</v>
      </c>
      <c r="G1562" s="4" t="s">
        <v>57</v>
      </c>
      <c r="H1562" s="4" t="s">
        <v>72</v>
      </c>
      <c r="I1562" s="5">
        <v>45098</v>
      </c>
      <c r="J1562" s="4" t="s">
        <v>30</v>
      </c>
      <c r="K1562" s="5">
        <v>45378</v>
      </c>
      <c r="L1562" s="4" t="s">
        <v>59</v>
      </c>
      <c r="M1562" s="6">
        <v>67644</v>
      </c>
      <c r="N1562" s="6">
        <v>2610</v>
      </c>
      <c r="O1562" s="4">
        <v>11</v>
      </c>
      <c r="P1562" s="5">
        <v>45389</v>
      </c>
      <c r="Q1562" s="4" t="s">
        <v>33</v>
      </c>
      <c r="R1562" s="4" t="s">
        <v>33</v>
      </c>
      <c r="S1562" s="4" t="s">
        <v>41</v>
      </c>
      <c r="T1562" s="7">
        <v>25.917200000000001</v>
      </c>
      <c r="U1562" s="8">
        <v>280</v>
      </c>
      <c r="V1562" s="8">
        <v>2024</v>
      </c>
      <c r="W1562" s="4" t="s">
        <v>77</v>
      </c>
    </row>
    <row r="1563" spans="1:23" s="9" customFormat="1" ht="15.75" hidden="1" customHeight="1" x14ac:dyDescent="0.25">
      <c r="A1563" s="10" t="s">
        <v>4747</v>
      </c>
      <c r="B1563" s="10" t="s">
        <v>4748</v>
      </c>
      <c r="C1563" s="10" t="s">
        <v>4749</v>
      </c>
      <c r="D1563" s="22" t="s">
        <v>6090</v>
      </c>
      <c r="E1563" s="10" t="s">
        <v>87</v>
      </c>
      <c r="F1563" s="10" t="s">
        <v>46</v>
      </c>
      <c r="G1563" s="10" t="s">
        <v>28</v>
      </c>
      <c r="H1563" s="10" t="s">
        <v>88</v>
      </c>
      <c r="I1563" s="11">
        <v>45174</v>
      </c>
      <c r="J1563" s="10" t="s">
        <v>30</v>
      </c>
      <c r="K1563" s="11">
        <v>45298</v>
      </c>
      <c r="L1563" s="10" t="s">
        <v>59</v>
      </c>
      <c r="M1563" s="12">
        <v>39129</v>
      </c>
      <c r="N1563" s="12">
        <v>2129</v>
      </c>
      <c r="O1563" s="10">
        <v>42</v>
      </c>
      <c r="P1563" s="11">
        <v>45340</v>
      </c>
      <c r="Q1563" s="10" t="s">
        <v>33</v>
      </c>
      <c r="R1563" s="10" t="s">
        <v>33</v>
      </c>
      <c r="S1563" s="10" t="s">
        <v>34</v>
      </c>
      <c r="T1563" s="13">
        <v>18.379100000000001</v>
      </c>
      <c r="U1563" s="14">
        <v>124</v>
      </c>
      <c r="V1563" s="14">
        <v>2024</v>
      </c>
      <c r="W1563" s="10" t="s">
        <v>73</v>
      </c>
    </row>
    <row r="1564" spans="1:23" s="9" customFormat="1" ht="15.75" hidden="1" customHeight="1" x14ac:dyDescent="0.25">
      <c r="A1564" s="4" t="s">
        <v>4750</v>
      </c>
      <c r="B1564" s="4" t="s">
        <v>4751</v>
      </c>
      <c r="C1564" s="4" t="s">
        <v>4752</v>
      </c>
      <c r="D1564" s="21" t="s">
        <v>6091</v>
      </c>
      <c r="E1564" s="4" t="s">
        <v>87</v>
      </c>
      <c r="F1564" s="4" t="s">
        <v>27</v>
      </c>
      <c r="G1564" s="4" t="s">
        <v>28</v>
      </c>
      <c r="H1564" s="4" t="s">
        <v>39</v>
      </c>
      <c r="I1564" s="5">
        <v>45417</v>
      </c>
      <c r="J1564" s="4" t="s">
        <v>30</v>
      </c>
      <c r="K1564" s="5">
        <v>45509</v>
      </c>
      <c r="L1564" s="4" t="s">
        <v>31</v>
      </c>
      <c r="M1564" s="6">
        <v>10581</v>
      </c>
      <c r="N1564" s="6">
        <v>8231</v>
      </c>
      <c r="O1564" s="4" t="s">
        <v>32</v>
      </c>
      <c r="P1564" s="4" t="s">
        <v>32</v>
      </c>
      <c r="Q1564" s="4" t="s">
        <v>94</v>
      </c>
      <c r="R1564" s="4" t="s">
        <v>94</v>
      </c>
      <c r="S1564" s="4" t="s">
        <v>41</v>
      </c>
      <c r="T1564" s="7">
        <v>1.2855000000000001</v>
      </c>
      <c r="U1564" s="8">
        <v>92</v>
      </c>
      <c r="V1564" s="8">
        <v>2024</v>
      </c>
      <c r="W1564" s="4" t="s">
        <v>114</v>
      </c>
    </row>
    <row r="1565" spans="1:23" s="9" customFormat="1" ht="15.75" hidden="1" customHeight="1" x14ac:dyDescent="0.25">
      <c r="A1565" s="10" t="s">
        <v>4753</v>
      </c>
      <c r="B1565" s="10" t="s">
        <v>4754</v>
      </c>
      <c r="C1565" s="10" t="s">
        <v>4755</v>
      </c>
      <c r="D1565" s="22" t="s">
        <v>6090</v>
      </c>
      <c r="E1565" s="10" t="s">
        <v>87</v>
      </c>
      <c r="F1565" s="10" t="s">
        <v>46</v>
      </c>
      <c r="G1565" s="10" t="s">
        <v>57</v>
      </c>
      <c r="H1565" s="10" t="s">
        <v>29</v>
      </c>
      <c r="I1565" s="11">
        <v>45266</v>
      </c>
      <c r="J1565" s="10" t="s">
        <v>30</v>
      </c>
      <c r="K1565" s="11">
        <v>45487</v>
      </c>
      <c r="L1565" s="10" t="s">
        <v>59</v>
      </c>
      <c r="M1565" s="12">
        <v>25718</v>
      </c>
      <c r="N1565" s="12">
        <v>2922</v>
      </c>
      <c r="O1565" s="10">
        <v>8</v>
      </c>
      <c r="P1565" s="11">
        <v>45495</v>
      </c>
      <c r="Q1565" s="10" t="s">
        <v>33</v>
      </c>
      <c r="R1565" s="10" t="s">
        <v>33</v>
      </c>
      <c r="S1565" s="10" t="s">
        <v>60</v>
      </c>
      <c r="T1565" s="13">
        <v>8.8015000000000008</v>
      </c>
      <c r="U1565" s="14">
        <v>221</v>
      </c>
      <c r="V1565" s="14">
        <v>2024</v>
      </c>
      <c r="W1565" s="10" t="s">
        <v>42</v>
      </c>
    </row>
    <row r="1566" spans="1:23" s="9" customFormat="1" ht="15.75" hidden="1" customHeight="1" x14ac:dyDescent="0.25">
      <c r="A1566" s="4" t="s">
        <v>4756</v>
      </c>
      <c r="B1566" s="4" t="s">
        <v>4757</v>
      </c>
      <c r="C1566" s="4" t="s">
        <v>4758</v>
      </c>
      <c r="D1566" s="21" t="s">
        <v>6089</v>
      </c>
      <c r="E1566" s="4" t="s">
        <v>87</v>
      </c>
      <c r="F1566" s="4" t="s">
        <v>71</v>
      </c>
      <c r="G1566" s="4" t="s">
        <v>28</v>
      </c>
      <c r="H1566" s="4" t="s">
        <v>118</v>
      </c>
      <c r="I1566" s="5">
        <v>45368</v>
      </c>
      <c r="J1566" s="4" t="s">
        <v>30</v>
      </c>
      <c r="K1566" s="5">
        <v>45470</v>
      </c>
      <c r="L1566" s="4" t="s">
        <v>59</v>
      </c>
      <c r="M1566" s="6">
        <v>18611</v>
      </c>
      <c r="N1566" s="6">
        <v>2313</v>
      </c>
      <c r="O1566" s="4">
        <v>40</v>
      </c>
      <c r="P1566" s="5">
        <v>45510</v>
      </c>
      <c r="Q1566" s="4" t="s">
        <v>33</v>
      </c>
      <c r="R1566" s="4" t="s">
        <v>33</v>
      </c>
      <c r="S1566" s="4" t="s">
        <v>41</v>
      </c>
      <c r="T1566" s="7">
        <v>8.0463000000000005</v>
      </c>
      <c r="U1566" s="8">
        <v>102</v>
      </c>
      <c r="V1566" s="8">
        <v>2024</v>
      </c>
      <c r="W1566" s="4" t="s">
        <v>67</v>
      </c>
    </row>
    <row r="1567" spans="1:23" s="9" customFormat="1" ht="15.75" hidden="1" customHeight="1" x14ac:dyDescent="0.25">
      <c r="A1567" s="10" t="s">
        <v>4759</v>
      </c>
      <c r="B1567" s="10" t="s">
        <v>4760</v>
      </c>
      <c r="C1567" s="10" t="s">
        <v>4761</v>
      </c>
      <c r="D1567" s="21" t="s">
        <v>6091</v>
      </c>
      <c r="E1567" s="10" t="s">
        <v>51</v>
      </c>
      <c r="F1567" s="21" t="s">
        <v>6092</v>
      </c>
      <c r="G1567" s="10" t="s">
        <v>57</v>
      </c>
      <c r="H1567" s="10" t="s">
        <v>58</v>
      </c>
      <c r="I1567" s="11">
        <v>45299</v>
      </c>
      <c r="J1567" s="10" t="s">
        <v>30</v>
      </c>
      <c r="K1567" s="11">
        <v>45487</v>
      </c>
      <c r="L1567" s="10" t="s">
        <v>59</v>
      </c>
      <c r="M1567" s="12">
        <v>12593</v>
      </c>
      <c r="N1567" s="12">
        <v>5168</v>
      </c>
      <c r="O1567" s="10">
        <v>7</v>
      </c>
      <c r="P1567" s="11">
        <v>45494</v>
      </c>
      <c r="Q1567" s="10" t="s">
        <v>33</v>
      </c>
      <c r="R1567" s="10" t="s">
        <v>33</v>
      </c>
      <c r="S1567" s="10" t="s">
        <v>34</v>
      </c>
      <c r="T1567" s="13">
        <v>2.4367000000000001</v>
      </c>
      <c r="U1567" s="14">
        <v>188</v>
      </c>
      <c r="V1567" s="14">
        <v>2024</v>
      </c>
      <c r="W1567" s="10" t="s">
        <v>42</v>
      </c>
    </row>
    <row r="1568" spans="1:23" s="9" customFormat="1" ht="15.75" hidden="1" customHeight="1" x14ac:dyDescent="0.25">
      <c r="A1568" s="4" t="s">
        <v>4762</v>
      </c>
      <c r="B1568" s="4" t="s">
        <v>4763</v>
      </c>
      <c r="C1568" s="4" t="s">
        <v>4764</v>
      </c>
      <c r="D1568" s="21" t="s">
        <v>6088</v>
      </c>
      <c r="E1568" s="4" t="s">
        <v>51</v>
      </c>
      <c r="F1568" s="4" t="s">
        <v>71</v>
      </c>
      <c r="G1568" s="4" t="s">
        <v>57</v>
      </c>
      <c r="H1568" s="4" t="s">
        <v>93</v>
      </c>
      <c r="I1568" s="5">
        <v>45088</v>
      </c>
      <c r="J1568" s="4" t="s">
        <v>30</v>
      </c>
      <c r="K1568" s="5">
        <v>45304</v>
      </c>
      <c r="L1568" s="4" t="s">
        <v>66</v>
      </c>
      <c r="M1568" s="6">
        <v>72353</v>
      </c>
      <c r="N1568" s="6">
        <v>4063</v>
      </c>
      <c r="O1568" s="4" t="s">
        <v>32</v>
      </c>
      <c r="P1568" s="4" t="s">
        <v>32</v>
      </c>
      <c r="Q1568" s="4" t="s">
        <v>33</v>
      </c>
      <c r="R1568" s="4" t="s">
        <v>33</v>
      </c>
      <c r="S1568" s="4" t="s">
        <v>34</v>
      </c>
      <c r="T1568" s="7">
        <v>17.8078</v>
      </c>
      <c r="U1568" s="8">
        <v>216</v>
      </c>
      <c r="V1568" s="8">
        <v>2024</v>
      </c>
      <c r="W1568" s="4" t="s">
        <v>73</v>
      </c>
    </row>
    <row r="1569" spans="1:23" s="9" customFormat="1" ht="15.75" hidden="1" customHeight="1" x14ac:dyDescent="0.25">
      <c r="A1569" s="10" t="s">
        <v>4765</v>
      </c>
      <c r="B1569" s="10" t="s">
        <v>4766</v>
      </c>
      <c r="C1569" s="10" t="s">
        <v>4767</v>
      </c>
      <c r="D1569" s="21" t="s">
        <v>6091</v>
      </c>
      <c r="E1569" s="10" t="s">
        <v>87</v>
      </c>
      <c r="F1569" s="10" t="s">
        <v>71</v>
      </c>
      <c r="G1569" s="10" t="s">
        <v>5</v>
      </c>
      <c r="H1569" s="10" t="s">
        <v>29</v>
      </c>
      <c r="I1569" s="11">
        <v>45325</v>
      </c>
      <c r="J1569" s="10" t="s">
        <v>30</v>
      </c>
      <c r="K1569" s="11">
        <v>45615</v>
      </c>
      <c r="L1569" s="10" t="s">
        <v>31</v>
      </c>
      <c r="M1569" s="12">
        <v>11522</v>
      </c>
      <c r="N1569" s="12">
        <v>1441</v>
      </c>
      <c r="O1569" s="10" t="s">
        <v>32</v>
      </c>
      <c r="P1569" s="10" t="s">
        <v>32</v>
      </c>
      <c r="Q1569" s="10" t="s">
        <v>33</v>
      </c>
      <c r="R1569" s="10" t="s">
        <v>33</v>
      </c>
      <c r="S1569" s="10" t="s">
        <v>60</v>
      </c>
      <c r="T1569" s="13">
        <v>7.9958</v>
      </c>
      <c r="U1569" s="14">
        <v>290</v>
      </c>
      <c r="V1569" s="14">
        <v>2024</v>
      </c>
      <c r="W1569" s="10" t="s">
        <v>61</v>
      </c>
    </row>
    <row r="1570" spans="1:23" s="9" customFormat="1" ht="15.75" hidden="1" customHeight="1" x14ac:dyDescent="0.25">
      <c r="A1570" s="4" t="s">
        <v>4768</v>
      </c>
      <c r="B1570" s="4" t="s">
        <v>4769</v>
      </c>
      <c r="C1570" s="4" t="s">
        <v>4770</v>
      </c>
      <c r="D1570" s="21" t="s">
        <v>6089</v>
      </c>
      <c r="E1570" s="4" t="s">
        <v>51</v>
      </c>
      <c r="F1570" s="21" t="s">
        <v>6092</v>
      </c>
      <c r="G1570" s="4" t="s">
        <v>28</v>
      </c>
      <c r="H1570" s="4" t="s">
        <v>72</v>
      </c>
      <c r="I1570" s="5">
        <v>45486</v>
      </c>
      <c r="J1570" s="4" t="s">
        <v>30</v>
      </c>
      <c r="K1570" s="5">
        <v>45638</v>
      </c>
      <c r="L1570" s="4" t="s">
        <v>59</v>
      </c>
      <c r="M1570" s="6">
        <v>56987</v>
      </c>
      <c r="N1570" s="6">
        <v>1239</v>
      </c>
      <c r="O1570" s="4">
        <v>44</v>
      </c>
      <c r="P1570" s="5">
        <v>45682</v>
      </c>
      <c r="Q1570" s="4" t="s">
        <v>33</v>
      </c>
      <c r="R1570" s="4" t="s">
        <v>33</v>
      </c>
      <c r="S1570" s="4" t="s">
        <v>41</v>
      </c>
      <c r="T1570" s="7">
        <v>45.994399999999999</v>
      </c>
      <c r="U1570" s="8">
        <v>152</v>
      </c>
      <c r="V1570" s="8">
        <v>2024</v>
      </c>
      <c r="W1570" s="4" t="s">
        <v>89</v>
      </c>
    </row>
    <row r="1571" spans="1:23" s="9" customFormat="1" ht="15.75" hidden="1" customHeight="1" x14ac:dyDescent="0.25">
      <c r="A1571" s="10" t="s">
        <v>4771</v>
      </c>
      <c r="B1571" s="10" t="s">
        <v>4772</v>
      </c>
      <c r="C1571" s="10" t="s">
        <v>4773</v>
      </c>
      <c r="D1571" s="22" t="s">
        <v>6087</v>
      </c>
      <c r="E1571" s="10" t="s">
        <v>51</v>
      </c>
      <c r="F1571" s="10" t="s">
        <v>27</v>
      </c>
      <c r="G1571" s="10" t="s">
        <v>57</v>
      </c>
      <c r="H1571" s="10" t="s">
        <v>29</v>
      </c>
      <c r="I1571" s="11">
        <v>45214</v>
      </c>
      <c r="J1571" s="10" t="s">
        <v>30</v>
      </c>
      <c r="K1571" s="11">
        <v>45516</v>
      </c>
      <c r="L1571" s="10" t="s">
        <v>59</v>
      </c>
      <c r="M1571" s="12">
        <v>33111</v>
      </c>
      <c r="N1571" s="12">
        <v>3335</v>
      </c>
      <c r="O1571" s="10">
        <v>44</v>
      </c>
      <c r="P1571" s="11">
        <v>45560</v>
      </c>
      <c r="Q1571" s="10" t="s">
        <v>33</v>
      </c>
      <c r="R1571" s="10" t="s">
        <v>33</v>
      </c>
      <c r="S1571" s="10" t="s">
        <v>34</v>
      </c>
      <c r="T1571" s="13">
        <v>9.9283000000000001</v>
      </c>
      <c r="U1571" s="14">
        <v>302</v>
      </c>
      <c r="V1571" s="14">
        <v>2024</v>
      </c>
      <c r="W1571" s="10" t="s">
        <v>114</v>
      </c>
    </row>
    <row r="1572" spans="1:23" s="9" customFormat="1" ht="15.75" hidden="1" customHeight="1" x14ac:dyDescent="0.25">
      <c r="A1572" s="4" t="s">
        <v>4774</v>
      </c>
      <c r="B1572" s="4" t="s">
        <v>4775</v>
      </c>
      <c r="C1572" s="4" t="s">
        <v>4776</v>
      </c>
      <c r="D1572" s="22" t="s">
        <v>6090</v>
      </c>
      <c r="E1572" s="4" t="s">
        <v>26</v>
      </c>
      <c r="F1572" s="4" t="s">
        <v>65</v>
      </c>
      <c r="G1572" s="4" t="s">
        <v>5</v>
      </c>
      <c r="H1572" s="4" t="s">
        <v>88</v>
      </c>
      <c r="I1572" s="5">
        <v>45190</v>
      </c>
      <c r="J1572" s="4" t="s">
        <v>40</v>
      </c>
      <c r="K1572" s="5">
        <v>45377</v>
      </c>
      <c r="L1572" s="4" t="s">
        <v>66</v>
      </c>
      <c r="M1572" s="6">
        <v>49070</v>
      </c>
      <c r="N1572" s="6">
        <v>7381</v>
      </c>
      <c r="O1572" s="4" t="s">
        <v>32</v>
      </c>
      <c r="P1572" s="4" t="s">
        <v>32</v>
      </c>
      <c r="Q1572" s="4" t="s">
        <v>33</v>
      </c>
      <c r="R1572" s="4" t="s">
        <v>33</v>
      </c>
      <c r="S1572" s="4" t="s">
        <v>41</v>
      </c>
      <c r="T1572" s="7">
        <v>6.6482000000000001</v>
      </c>
      <c r="U1572" s="8">
        <v>187</v>
      </c>
      <c r="V1572" s="8">
        <v>2024</v>
      </c>
      <c r="W1572" s="4" t="s">
        <v>77</v>
      </c>
    </row>
    <row r="1573" spans="1:23" s="9" customFormat="1" ht="27.75" customHeight="1" x14ac:dyDescent="0.25">
      <c r="A1573" s="10" t="s">
        <v>4777</v>
      </c>
      <c r="B1573" s="10" t="s">
        <v>4778</v>
      </c>
      <c r="C1573" s="10" t="s">
        <v>4779</v>
      </c>
      <c r="D1573" s="22" t="s">
        <v>6087</v>
      </c>
      <c r="E1573" s="10" t="s">
        <v>26</v>
      </c>
      <c r="F1573" s="10" t="s">
        <v>6092</v>
      </c>
      <c r="G1573" s="10" t="s">
        <v>5</v>
      </c>
      <c r="H1573" s="10" t="s">
        <v>88</v>
      </c>
      <c r="I1573" s="11">
        <v>45176</v>
      </c>
      <c r="J1573" s="10" t="s">
        <v>40</v>
      </c>
      <c r="K1573" s="11">
        <v>45511</v>
      </c>
      <c r="L1573" s="10" t="s">
        <v>31</v>
      </c>
      <c r="M1573" s="12">
        <v>11514</v>
      </c>
      <c r="N1573" s="12">
        <v>8118</v>
      </c>
      <c r="O1573" s="10" t="s">
        <v>32</v>
      </c>
      <c r="P1573" s="10" t="s">
        <v>32</v>
      </c>
      <c r="Q1573" s="10" t="s">
        <v>94</v>
      </c>
      <c r="R1573" s="10" t="s">
        <v>94</v>
      </c>
      <c r="S1573" s="10" t="s">
        <v>60</v>
      </c>
      <c r="T1573" s="13">
        <v>1.4182999999999999</v>
      </c>
      <c r="U1573" s="14">
        <v>335</v>
      </c>
      <c r="V1573" s="14">
        <v>2024</v>
      </c>
      <c r="W1573" s="10" t="s">
        <v>114</v>
      </c>
    </row>
    <row r="1574" spans="1:23" s="9" customFormat="1" ht="15.75" hidden="1" customHeight="1" x14ac:dyDescent="0.25">
      <c r="A1574" s="4" t="s">
        <v>4780</v>
      </c>
      <c r="B1574" s="4" t="s">
        <v>4781</v>
      </c>
      <c r="C1574" s="4" t="s">
        <v>4782</v>
      </c>
      <c r="D1574" s="22" t="s">
        <v>6090</v>
      </c>
      <c r="E1574" s="4" t="s">
        <v>26</v>
      </c>
      <c r="F1574" s="4" t="s">
        <v>27</v>
      </c>
      <c r="G1574" s="4" t="s">
        <v>28</v>
      </c>
      <c r="H1574" s="4" t="s">
        <v>72</v>
      </c>
      <c r="I1574" s="5">
        <v>45241</v>
      </c>
      <c r="J1574" s="4" t="s">
        <v>30</v>
      </c>
      <c r="K1574" s="5">
        <v>45458</v>
      </c>
      <c r="L1574" s="4" t="s">
        <v>59</v>
      </c>
      <c r="M1574" s="6">
        <v>19709</v>
      </c>
      <c r="N1574" s="6">
        <v>2157</v>
      </c>
      <c r="O1574" s="4">
        <v>23</v>
      </c>
      <c r="P1574" s="5">
        <v>45481</v>
      </c>
      <c r="Q1574" s="4" t="s">
        <v>33</v>
      </c>
      <c r="R1574" s="4" t="s">
        <v>33</v>
      </c>
      <c r="S1574" s="4" t="s">
        <v>34</v>
      </c>
      <c r="T1574" s="7">
        <v>9.1372</v>
      </c>
      <c r="U1574" s="8">
        <v>217</v>
      </c>
      <c r="V1574" s="8">
        <v>2024</v>
      </c>
      <c r="W1574" s="4" t="s">
        <v>67</v>
      </c>
    </row>
    <row r="1575" spans="1:23" s="9" customFormat="1" ht="15.75" hidden="1" customHeight="1" x14ac:dyDescent="0.25">
      <c r="A1575" s="10" t="s">
        <v>4783</v>
      </c>
      <c r="B1575" s="10" t="s">
        <v>4784</v>
      </c>
      <c r="C1575" s="10" t="s">
        <v>4785</v>
      </c>
      <c r="D1575" s="21" t="s">
        <v>6089</v>
      </c>
      <c r="E1575" s="10" t="s">
        <v>87</v>
      </c>
      <c r="F1575" s="10" t="s">
        <v>27</v>
      </c>
      <c r="G1575" s="10" t="s">
        <v>5</v>
      </c>
      <c r="H1575" s="10" t="s">
        <v>93</v>
      </c>
      <c r="I1575" s="11">
        <v>45253</v>
      </c>
      <c r="J1575" s="10" t="s">
        <v>30</v>
      </c>
      <c r="K1575" s="11">
        <v>45354</v>
      </c>
      <c r="L1575" s="10" t="s">
        <v>59</v>
      </c>
      <c r="M1575" s="12">
        <v>25263</v>
      </c>
      <c r="N1575" s="12">
        <v>7044</v>
      </c>
      <c r="O1575" s="10">
        <v>22</v>
      </c>
      <c r="P1575" s="11">
        <v>45376</v>
      </c>
      <c r="Q1575" s="10" t="s">
        <v>33</v>
      </c>
      <c r="R1575" s="10" t="s">
        <v>33</v>
      </c>
      <c r="S1575" s="10" t="s">
        <v>34</v>
      </c>
      <c r="T1575" s="13">
        <v>3.5865</v>
      </c>
      <c r="U1575" s="14">
        <v>101</v>
      </c>
      <c r="V1575" s="14">
        <v>2024</v>
      </c>
      <c r="W1575" s="10" t="s">
        <v>77</v>
      </c>
    </row>
    <row r="1576" spans="1:23" s="9" customFormat="1" ht="15.75" hidden="1" customHeight="1" x14ac:dyDescent="0.25">
      <c r="A1576" s="4" t="s">
        <v>4786</v>
      </c>
      <c r="B1576" s="4" t="s">
        <v>4787</v>
      </c>
      <c r="C1576" s="4" t="s">
        <v>4788</v>
      </c>
      <c r="D1576" s="21" t="s">
        <v>6089</v>
      </c>
      <c r="E1576" s="4" t="s">
        <v>26</v>
      </c>
      <c r="F1576" s="4" t="s">
        <v>65</v>
      </c>
      <c r="G1576" s="4" t="s">
        <v>28</v>
      </c>
      <c r="H1576" s="4" t="s">
        <v>72</v>
      </c>
      <c r="I1576" s="5">
        <v>45328</v>
      </c>
      <c r="J1576" s="4" t="s">
        <v>30</v>
      </c>
      <c r="K1576" s="5">
        <v>45626</v>
      </c>
      <c r="L1576" s="4" t="s">
        <v>59</v>
      </c>
      <c r="M1576" s="6">
        <v>12994</v>
      </c>
      <c r="N1576" s="6">
        <v>7744</v>
      </c>
      <c r="O1576" s="4">
        <v>19</v>
      </c>
      <c r="P1576" s="5">
        <v>45645</v>
      </c>
      <c r="Q1576" s="4" t="s">
        <v>94</v>
      </c>
      <c r="R1576" s="4" t="s">
        <v>33</v>
      </c>
      <c r="S1576" s="4" t="s">
        <v>34</v>
      </c>
      <c r="T1576" s="7">
        <v>1.6778999999999999</v>
      </c>
      <c r="U1576" s="8">
        <v>298</v>
      </c>
      <c r="V1576" s="8">
        <v>2024</v>
      </c>
      <c r="W1576" s="4" t="s">
        <v>61</v>
      </c>
    </row>
    <row r="1577" spans="1:23" s="9" customFormat="1" ht="15.75" hidden="1" customHeight="1" x14ac:dyDescent="0.25">
      <c r="A1577" s="10" t="s">
        <v>4789</v>
      </c>
      <c r="B1577" s="10" t="s">
        <v>4790</v>
      </c>
      <c r="C1577" s="10" t="s">
        <v>4791</v>
      </c>
      <c r="D1577" s="21" t="s">
        <v>6091</v>
      </c>
      <c r="E1577" s="10" t="s">
        <v>26</v>
      </c>
      <c r="F1577" s="10" t="s">
        <v>46</v>
      </c>
      <c r="G1577" s="10" t="s">
        <v>57</v>
      </c>
      <c r="H1577" s="10" t="s">
        <v>93</v>
      </c>
      <c r="I1577" s="11">
        <v>45240</v>
      </c>
      <c r="J1577" s="10" t="s">
        <v>30</v>
      </c>
      <c r="K1577" s="11">
        <v>45584</v>
      </c>
      <c r="L1577" s="10" t="s">
        <v>59</v>
      </c>
      <c r="M1577" s="12">
        <v>8918</v>
      </c>
      <c r="N1577" s="12">
        <v>4830</v>
      </c>
      <c r="O1577" s="10">
        <v>4</v>
      </c>
      <c r="P1577" s="11">
        <v>45588</v>
      </c>
      <c r="Q1577" s="10" t="s">
        <v>94</v>
      </c>
      <c r="R1577" s="10" t="s">
        <v>33</v>
      </c>
      <c r="S1577" s="10" t="s">
        <v>60</v>
      </c>
      <c r="T1577" s="13">
        <v>1.8464</v>
      </c>
      <c r="U1577" s="14">
        <v>344</v>
      </c>
      <c r="V1577" s="14">
        <v>2024</v>
      </c>
      <c r="W1577" s="10" t="s">
        <v>95</v>
      </c>
    </row>
    <row r="1578" spans="1:23" s="9" customFormat="1" ht="15.75" hidden="1" customHeight="1" x14ac:dyDescent="0.25">
      <c r="A1578" s="4" t="s">
        <v>4792</v>
      </c>
      <c r="B1578" s="4" t="s">
        <v>4793</v>
      </c>
      <c r="C1578" s="4" t="s">
        <v>4794</v>
      </c>
      <c r="D1578" s="22" t="s">
        <v>6087</v>
      </c>
      <c r="E1578" s="4" t="s">
        <v>51</v>
      </c>
      <c r="F1578" s="4" t="s">
        <v>65</v>
      </c>
      <c r="G1578" s="4" t="s">
        <v>5</v>
      </c>
      <c r="H1578" s="4" t="s">
        <v>72</v>
      </c>
      <c r="I1578" s="5">
        <v>45183</v>
      </c>
      <c r="J1578" s="4" t="s">
        <v>30</v>
      </c>
      <c r="K1578" s="5">
        <v>45454</v>
      </c>
      <c r="L1578" s="4" t="s">
        <v>31</v>
      </c>
      <c r="M1578" s="6">
        <v>18557</v>
      </c>
      <c r="N1578" s="6">
        <v>6905</v>
      </c>
      <c r="O1578" s="4" t="s">
        <v>32</v>
      </c>
      <c r="P1578" s="4" t="s">
        <v>32</v>
      </c>
      <c r="Q1578" s="4" t="s">
        <v>94</v>
      </c>
      <c r="R1578" s="4" t="s">
        <v>94</v>
      </c>
      <c r="S1578" s="4" t="s">
        <v>34</v>
      </c>
      <c r="T1578" s="7">
        <v>2.6875</v>
      </c>
      <c r="U1578" s="8">
        <v>271</v>
      </c>
      <c r="V1578" s="8">
        <v>2024</v>
      </c>
      <c r="W1578" s="4" t="s">
        <v>67</v>
      </c>
    </row>
    <row r="1579" spans="1:23" s="9" customFormat="1" ht="15.75" hidden="1" customHeight="1" x14ac:dyDescent="0.25">
      <c r="A1579" s="10" t="s">
        <v>4795</v>
      </c>
      <c r="B1579" s="10" t="s">
        <v>4796</v>
      </c>
      <c r="C1579" s="10" t="s">
        <v>4797</v>
      </c>
      <c r="D1579" s="21" t="s">
        <v>6091</v>
      </c>
      <c r="E1579" s="10" t="s">
        <v>87</v>
      </c>
      <c r="F1579" s="10" t="s">
        <v>71</v>
      </c>
      <c r="G1579" s="10" t="s">
        <v>5</v>
      </c>
      <c r="H1579" s="10" t="s">
        <v>72</v>
      </c>
      <c r="I1579" s="11">
        <v>45183</v>
      </c>
      <c r="J1579" s="10" t="s">
        <v>30</v>
      </c>
      <c r="K1579" s="11">
        <v>45341</v>
      </c>
      <c r="L1579" s="10" t="s">
        <v>59</v>
      </c>
      <c r="M1579" s="12">
        <v>16011</v>
      </c>
      <c r="N1579" s="12">
        <v>4870</v>
      </c>
      <c r="O1579" s="10">
        <v>25</v>
      </c>
      <c r="P1579" s="11">
        <v>45366</v>
      </c>
      <c r="Q1579" s="10" t="s">
        <v>33</v>
      </c>
      <c r="R1579" s="10" t="s">
        <v>33</v>
      </c>
      <c r="S1579" s="10" t="s">
        <v>41</v>
      </c>
      <c r="T1579" s="13">
        <v>3.2877000000000001</v>
      </c>
      <c r="U1579" s="14">
        <v>158</v>
      </c>
      <c r="V1579" s="14">
        <v>2024</v>
      </c>
      <c r="W1579" s="10" t="s">
        <v>35</v>
      </c>
    </row>
    <row r="1580" spans="1:23" s="9" customFormat="1" ht="15.75" hidden="1" customHeight="1" x14ac:dyDescent="0.25">
      <c r="A1580" s="4" t="s">
        <v>4798</v>
      </c>
      <c r="B1580" s="4" t="s">
        <v>4799</v>
      </c>
      <c r="C1580" s="4" t="s">
        <v>4800</v>
      </c>
      <c r="D1580" s="21" t="s">
        <v>6088</v>
      </c>
      <c r="E1580" s="4" t="s">
        <v>87</v>
      </c>
      <c r="F1580" s="4" t="s">
        <v>65</v>
      </c>
      <c r="G1580" s="4" t="s">
        <v>57</v>
      </c>
      <c r="H1580" s="4" t="s">
        <v>29</v>
      </c>
      <c r="I1580" s="5">
        <v>45379</v>
      </c>
      <c r="J1580" s="4" t="s">
        <v>40</v>
      </c>
      <c r="K1580" s="5">
        <v>45628</v>
      </c>
      <c r="L1580" s="4" t="s">
        <v>59</v>
      </c>
      <c r="M1580" s="6">
        <v>29776</v>
      </c>
      <c r="N1580" s="6">
        <v>4704</v>
      </c>
      <c r="O1580" s="4">
        <v>4</v>
      </c>
      <c r="P1580" s="5">
        <v>45632</v>
      </c>
      <c r="Q1580" s="4" t="s">
        <v>33</v>
      </c>
      <c r="R1580" s="4" t="s">
        <v>33</v>
      </c>
      <c r="S1580" s="4" t="s">
        <v>34</v>
      </c>
      <c r="T1580" s="7">
        <v>6.3299000000000003</v>
      </c>
      <c r="U1580" s="8">
        <v>249</v>
      </c>
      <c r="V1580" s="8">
        <v>2024</v>
      </c>
      <c r="W1580" s="4" t="s">
        <v>89</v>
      </c>
    </row>
    <row r="1581" spans="1:23" s="9" customFormat="1" ht="15.75" hidden="1" customHeight="1" x14ac:dyDescent="0.25">
      <c r="A1581" s="10" t="s">
        <v>4801</v>
      </c>
      <c r="B1581" s="10" t="s">
        <v>4802</v>
      </c>
      <c r="C1581" s="10" t="s">
        <v>4803</v>
      </c>
      <c r="D1581" s="22" t="s">
        <v>6087</v>
      </c>
      <c r="E1581" s="10" t="s">
        <v>26</v>
      </c>
      <c r="F1581" s="10" t="s">
        <v>46</v>
      </c>
      <c r="G1581" s="10" t="s">
        <v>28</v>
      </c>
      <c r="H1581" s="10" t="s">
        <v>88</v>
      </c>
      <c r="I1581" s="11">
        <v>45206</v>
      </c>
      <c r="J1581" s="10" t="s">
        <v>40</v>
      </c>
      <c r="K1581" s="11">
        <v>45545</v>
      </c>
      <c r="L1581" s="10" t="s">
        <v>59</v>
      </c>
      <c r="M1581" s="12">
        <v>21365</v>
      </c>
      <c r="N1581" s="12">
        <v>8820</v>
      </c>
      <c r="O1581" s="10">
        <v>42</v>
      </c>
      <c r="P1581" s="11">
        <v>45587</v>
      </c>
      <c r="Q1581" s="10" t="s">
        <v>33</v>
      </c>
      <c r="R1581" s="10" t="s">
        <v>33</v>
      </c>
      <c r="S1581" s="10" t="s">
        <v>34</v>
      </c>
      <c r="T1581" s="13">
        <v>2.4222999999999999</v>
      </c>
      <c r="U1581" s="14">
        <v>339</v>
      </c>
      <c r="V1581" s="14">
        <v>2024</v>
      </c>
      <c r="W1581" s="10" t="s">
        <v>168</v>
      </c>
    </row>
    <row r="1582" spans="1:23" s="9" customFormat="1" ht="15.75" hidden="1" customHeight="1" x14ac:dyDescent="0.25">
      <c r="A1582" s="4" t="s">
        <v>4804</v>
      </c>
      <c r="B1582" s="4" t="s">
        <v>4805</v>
      </c>
      <c r="C1582" s="4" t="s">
        <v>4806</v>
      </c>
      <c r="D1582" s="22" t="s">
        <v>6090</v>
      </c>
      <c r="E1582" s="4" t="s">
        <v>87</v>
      </c>
      <c r="F1582" s="4" t="s">
        <v>65</v>
      </c>
      <c r="G1582" s="4" t="s">
        <v>5</v>
      </c>
      <c r="H1582" s="4" t="s">
        <v>161</v>
      </c>
      <c r="I1582" s="5">
        <v>45021</v>
      </c>
      <c r="J1582" s="4" t="s">
        <v>40</v>
      </c>
      <c r="K1582" s="5">
        <v>45319</v>
      </c>
      <c r="L1582" s="4" t="s">
        <v>59</v>
      </c>
      <c r="M1582" s="6">
        <v>38383</v>
      </c>
      <c r="N1582" s="6">
        <v>6557</v>
      </c>
      <c r="O1582" s="4">
        <v>31</v>
      </c>
      <c r="P1582" s="5">
        <v>45350</v>
      </c>
      <c r="Q1582" s="4" t="s">
        <v>33</v>
      </c>
      <c r="R1582" s="4" t="s">
        <v>33</v>
      </c>
      <c r="S1582" s="4" t="s">
        <v>34</v>
      </c>
      <c r="T1582" s="7">
        <v>5.8536999999999999</v>
      </c>
      <c r="U1582" s="8">
        <v>298</v>
      </c>
      <c r="V1582" s="8">
        <v>2024</v>
      </c>
      <c r="W1582" s="4" t="s">
        <v>73</v>
      </c>
    </row>
    <row r="1583" spans="1:23" s="9" customFormat="1" ht="15.75" hidden="1" customHeight="1" x14ac:dyDescent="0.25">
      <c r="A1583" s="10" t="s">
        <v>4807</v>
      </c>
      <c r="B1583" s="10" t="s">
        <v>4808</v>
      </c>
      <c r="C1583" s="10" t="s">
        <v>4809</v>
      </c>
      <c r="D1583" s="21" t="s">
        <v>6086</v>
      </c>
      <c r="E1583" s="10" t="s">
        <v>26</v>
      </c>
      <c r="F1583" s="10" t="s">
        <v>65</v>
      </c>
      <c r="G1583" s="10" t="s">
        <v>5</v>
      </c>
      <c r="H1583" s="10" t="s">
        <v>161</v>
      </c>
      <c r="I1583" s="11">
        <v>45480</v>
      </c>
      <c r="J1583" s="10" t="s">
        <v>30</v>
      </c>
      <c r="K1583" s="11">
        <v>45602</v>
      </c>
      <c r="L1583" s="10" t="s">
        <v>59</v>
      </c>
      <c r="M1583" s="12">
        <v>76072</v>
      </c>
      <c r="N1583" s="12">
        <v>2340</v>
      </c>
      <c r="O1583" s="10">
        <v>22</v>
      </c>
      <c r="P1583" s="11">
        <v>45624</v>
      </c>
      <c r="Q1583" s="10" t="s">
        <v>33</v>
      </c>
      <c r="R1583" s="10" t="s">
        <v>33</v>
      </c>
      <c r="S1583" s="10" t="s">
        <v>41</v>
      </c>
      <c r="T1583" s="13">
        <v>32.509399999999999</v>
      </c>
      <c r="U1583" s="14">
        <v>122</v>
      </c>
      <c r="V1583" s="14">
        <v>2024</v>
      </c>
      <c r="W1583" s="10" t="s">
        <v>61</v>
      </c>
    </row>
    <row r="1584" spans="1:23" s="9" customFormat="1" ht="15.75" hidden="1" customHeight="1" x14ac:dyDescent="0.25">
      <c r="A1584" s="4" t="s">
        <v>4810</v>
      </c>
      <c r="B1584" s="4" t="s">
        <v>4811</v>
      </c>
      <c r="C1584" s="4" t="s">
        <v>4812</v>
      </c>
      <c r="D1584" s="21" t="s">
        <v>6088</v>
      </c>
      <c r="E1584" s="4" t="s">
        <v>51</v>
      </c>
      <c r="F1584" s="4" t="s">
        <v>27</v>
      </c>
      <c r="G1584" s="4" t="s">
        <v>28</v>
      </c>
      <c r="H1584" s="4" t="s">
        <v>72</v>
      </c>
      <c r="I1584" s="5">
        <v>45084</v>
      </c>
      <c r="J1584" s="4" t="s">
        <v>30</v>
      </c>
      <c r="K1584" s="5">
        <v>45336</v>
      </c>
      <c r="L1584" s="4" t="s">
        <v>59</v>
      </c>
      <c r="M1584" s="6">
        <v>59361</v>
      </c>
      <c r="N1584" s="6">
        <v>7635</v>
      </c>
      <c r="O1584" s="4">
        <v>17</v>
      </c>
      <c r="P1584" s="5">
        <v>45353</v>
      </c>
      <c r="Q1584" s="4" t="s">
        <v>33</v>
      </c>
      <c r="R1584" s="4" t="s">
        <v>33</v>
      </c>
      <c r="S1584" s="4" t="s">
        <v>34</v>
      </c>
      <c r="T1584" s="7">
        <v>7.7748999999999997</v>
      </c>
      <c r="U1584" s="8">
        <v>252</v>
      </c>
      <c r="V1584" s="8">
        <v>2024</v>
      </c>
      <c r="W1584" s="4" t="s">
        <v>35</v>
      </c>
    </row>
    <row r="1585" spans="1:23" s="9" customFormat="1" ht="15.75" hidden="1" customHeight="1" x14ac:dyDescent="0.25">
      <c r="A1585" s="10" t="s">
        <v>4813</v>
      </c>
      <c r="B1585" s="10" t="s">
        <v>4814</v>
      </c>
      <c r="C1585" s="10" t="s">
        <v>4815</v>
      </c>
      <c r="D1585" s="21" t="s">
        <v>6086</v>
      </c>
      <c r="E1585" s="10" t="s">
        <v>26</v>
      </c>
      <c r="F1585" s="10" t="s">
        <v>27</v>
      </c>
      <c r="G1585" s="10" t="s">
        <v>57</v>
      </c>
      <c r="H1585" s="10" t="s">
        <v>161</v>
      </c>
      <c r="I1585" s="11">
        <v>45168</v>
      </c>
      <c r="J1585" s="10" t="s">
        <v>30</v>
      </c>
      <c r="K1585" s="11">
        <v>45342</v>
      </c>
      <c r="L1585" s="10" t="s">
        <v>59</v>
      </c>
      <c r="M1585" s="12">
        <v>62746</v>
      </c>
      <c r="N1585" s="12">
        <v>7183</v>
      </c>
      <c r="O1585" s="10">
        <v>41</v>
      </c>
      <c r="P1585" s="11">
        <v>45383</v>
      </c>
      <c r="Q1585" s="10" t="s">
        <v>33</v>
      </c>
      <c r="R1585" s="10" t="s">
        <v>33</v>
      </c>
      <c r="S1585" s="10" t="s">
        <v>60</v>
      </c>
      <c r="T1585" s="13">
        <v>8.7353000000000005</v>
      </c>
      <c r="U1585" s="14">
        <v>174</v>
      </c>
      <c r="V1585" s="14">
        <v>2024</v>
      </c>
      <c r="W1585" s="10" t="s">
        <v>35</v>
      </c>
    </row>
    <row r="1586" spans="1:23" s="9" customFormat="1" ht="15.75" hidden="1" customHeight="1" x14ac:dyDescent="0.25">
      <c r="A1586" s="4" t="s">
        <v>4816</v>
      </c>
      <c r="B1586" s="4" t="s">
        <v>4817</v>
      </c>
      <c r="C1586" s="4" t="s">
        <v>4818</v>
      </c>
      <c r="D1586" s="22" t="s">
        <v>6087</v>
      </c>
      <c r="E1586" s="4" t="s">
        <v>26</v>
      </c>
      <c r="F1586" s="4" t="s">
        <v>56</v>
      </c>
      <c r="G1586" s="4" t="s">
        <v>5</v>
      </c>
      <c r="H1586" s="4" t="s">
        <v>72</v>
      </c>
      <c r="I1586" s="5">
        <v>45338</v>
      </c>
      <c r="J1586" s="4" t="s">
        <v>30</v>
      </c>
      <c r="K1586" s="5">
        <v>45510</v>
      </c>
      <c r="L1586" s="4" t="s">
        <v>59</v>
      </c>
      <c r="M1586" s="6">
        <v>27557</v>
      </c>
      <c r="N1586" s="6">
        <v>3844</v>
      </c>
      <c r="O1586" s="4">
        <v>23</v>
      </c>
      <c r="P1586" s="5">
        <v>45533</v>
      </c>
      <c r="Q1586" s="4" t="s">
        <v>94</v>
      </c>
      <c r="R1586" s="4" t="s">
        <v>94</v>
      </c>
      <c r="S1586" s="4" t="s">
        <v>34</v>
      </c>
      <c r="T1586" s="7">
        <v>7.1688000000000001</v>
      </c>
      <c r="U1586" s="8">
        <v>172</v>
      </c>
      <c r="V1586" s="8">
        <v>2024</v>
      </c>
      <c r="W1586" s="4" t="s">
        <v>114</v>
      </c>
    </row>
    <row r="1587" spans="1:23" s="9" customFormat="1" ht="15.75" hidden="1" customHeight="1" x14ac:dyDescent="0.25">
      <c r="A1587" s="10" t="s">
        <v>4819</v>
      </c>
      <c r="B1587" s="10" t="s">
        <v>4820</v>
      </c>
      <c r="C1587" s="10" t="s">
        <v>4821</v>
      </c>
      <c r="D1587" s="22" t="s">
        <v>6090</v>
      </c>
      <c r="E1587" s="10" t="s">
        <v>51</v>
      </c>
      <c r="F1587" s="10" t="s">
        <v>27</v>
      </c>
      <c r="G1587" s="10" t="s">
        <v>57</v>
      </c>
      <c r="H1587" s="10" t="s">
        <v>88</v>
      </c>
      <c r="I1587" s="11">
        <v>45590</v>
      </c>
      <c r="J1587" s="10" t="s">
        <v>30</v>
      </c>
      <c r="K1587" s="11">
        <v>45631</v>
      </c>
      <c r="L1587" s="10" t="s">
        <v>59</v>
      </c>
      <c r="M1587" s="12">
        <v>9662</v>
      </c>
      <c r="N1587" s="12">
        <v>4230</v>
      </c>
      <c r="O1587" s="10">
        <v>44</v>
      </c>
      <c r="P1587" s="11">
        <v>45675</v>
      </c>
      <c r="Q1587" s="10" t="s">
        <v>33</v>
      </c>
      <c r="R1587" s="10" t="s">
        <v>33</v>
      </c>
      <c r="S1587" s="10" t="s">
        <v>34</v>
      </c>
      <c r="T1587" s="13">
        <v>2.2841999999999998</v>
      </c>
      <c r="U1587" s="14">
        <v>41</v>
      </c>
      <c r="V1587" s="14">
        <v>2024</v>
      </c>
      <c r="W1587" s="10" t="s">
        <v>89</v>
      </c>
    </row>
    <row r="1588" spans="1:23" s="9" customFormat="1" ht="15.75" hidden="1" customHeight="1" x14ac:dyDescent="0.25">
      <c r="A1588" s="4" t="s">
        <v>4822</v>
      </c>
      <c r="B1588" s="4" t="s">
        <v>4823</v>
      </c>
      <c r="C1588" s="4" t="s">
        <v>4824</v>
      </c>
      <c r="D1588" s="22" t="s">
        <v>6087</v>
      </c>
      <c r="E1588" s="4" t="s">
        <v>51</v>
      </c>
      <c r="F1588" s="4" t="s">
        <v>56</v>
      </c>
      <c r="G1588" s="4" t="s">
        <v>57</v>
      </c>
      <c r="H1588" s="4" t="s">
        <v>29</v>
      </c>
      <c r="I1588" s="5">
        <v>45064</v>
      </c>
      <c r="J1588" s="4" t="s">
        <v>40</v>
      </c>
      <c r="K1588" s="5">
        <v>45322</v>
      </c>
      <c r="L1588" s="4" t="s">
        <v>31</v>
      </c>
      <c r="M1588" s="6">
        <v>6504</v>
      </c>
      <c r="N1588" s="6">
        <v>8311</v>
      </c>
      <c r="O1588" s="4" t="s">
        <v>32</v>
      </c>
      <c r="P1588" s="4" t="s">
        <v>32</v>
      </c>
      <c r="Q1588" s="4" t="s">
        <v>33</v>
      </c>
      <c r="R1588" s="4" t="s">
        <v>33</v>
      </c>
      <c r="S1588" s="4" t="s">
        <v>41</v>
      </c>
      <c r="T1588" s="7">
        <v>0.78259999999999996</v>
      </c>
      <c r="U1588" s="8">
        <v>258</v>
      </c>
      <c r="V1588" s="8">
        <v>2024</v>
      </c>
      <c r="W1588" s="4" t="s">
        <v>73</v>
      </c>
    </row>
    <row r="1589" spans="1:23" s="9" customFormat="1" ht="15.75" hidden="1" customHeight="1" x14ac:dyDescent="0.25">
      <c r="A1589" s="10" t="s">
        <v>4825</v>
      </c>
      <c r="B1589" s="10" t="s">
        <v>4826</v>
      </c>
      <c r="C1589" s="10" t="s">
        <v>4827</v>
      </c>
      <c r="D1589" s="22" t="s">
        <v>6087</v>
      </c>
      <c r="E1589" s="10" t="s">
        <v>26</v>
      </c>
      <c r="F1589" s="10" t="s">
        <v>71</v>
      </c>
      <c r="G1589" s="10" t="s">
        <v>57</v>
      </c>
      <c r="H1589" s="10" t="s">
        <v>93</v>
      </c>
      <c r="I1589" s="11">
        <v>45252</v>
      </c>
      <c r="J1589" s="10" t="s">
        <v>30</v>
      </c>
      <c r="K1589" s="11">
        <v>45479</v>
      </c>
      <c r="L1589" s="10" t="s">
        <v>31</v>
      </c>
      <c r="M1589" s="12">
        <v>5231</v>
      </c>
      <c r="N1589" s="12">
        <v>1180</v>
      </c>
      <c r="O1589" s="10" t="s">
        <v>32</v>
      </c>
      <c r="P1589" s="10" t="s">
        <v>32</v>
      </c>
      <c r="Q1589" s="10" t="s">
        <v>33</v>
      </c>
      <c r="R1589" s="10" t="s">
        <v>33</v>
      </c>
      <c r="S1589" s="10" t="s">
        <v>34</v>
      </c>
      <c r="T1589" s="13">
        <v>4.4330999999999996</v>
      </c>
      <c r="U1589" s="14">
        <v>227</v>
      </c>
      <c r="V1589" s="14">
        <v>2024</v>
      </c>
      <c r="W1589" s="10" t="s">
        <v>42</v>
      </c>
    </row>
    <row r="1590" spans="1:23" s="9" customFormat="1" ht="15.75" hidden="1" customHeight="1" x14ac:dyDescent="0.25">
      <c r="A1590" s="4" t="s">
        <v>4828</v>
      </c>
      <c r="B1590" s="4" t="s">
        <v>4829</v>
      </c>
      <c r="C1590" s="4" t="s">
        <v>4830</v>
      </c>
      <c r="D1590" s="21" t="s">
        <v>6086</v>
      </c>
      <c r="E1590" s="4" t="s">
        <v>51</v>
      </c>
      <c r="F1590" s="4" t="s">
        <v>56</v>
      </c>
      <c r="G1590" s="4" t="s">
        <v>5</v>
      </c>
      <c r="H1590" s="4" t="s">
        <v>93</v>
      </c>
      <c r="I1590" s="5">
        <v>45192</v>
      </c>
      <c r="J1590" s="4" t="s">
        <v>30</v>
      </c>
      <c r="K1590" s="5">
        <v>45363</v>
      </c>
      <c r="L1590" s="4" t="s">
        <v>59</v>
      </c>
      <c r="M1590" s="6">
        <v>37122</v>
      </c>
      <c r="N1590" s="6">
        <v>628</v>
      </c>
      <c r="O1590" s="4">
        <v>32</v>
      </c>
      <c r="P1590" s="5">
        <v>45395</v>
      </c>
      <c r="Q1590" s="4" t="s">
        <v>33</v>
      </c>
      <c r="R1590" s="4" t="s">
        <v>33</v>
      </c>
      <c r="S1590" s="4" t="s">
        <v>34</v>
      </c>
      <c r="T1590" s="7">
        <v>59.111499999999999</v>
      </c>
      <c r="U1590" s="8">
        <v>171</v>
      </c>
      <c r="V1590" s="8">
        <v>2024</v>
      </c>
      <c r="W1590" s="4" t="s">
        <v>77</v>
      </c>
    </row>
    <row r="1591" spans="1:23" s="9" customFormat="1" ht="15.75" hidden="1" customHeight="1" x14ac:dyDescent="0.25">
      <c r="A1591" s="10" t="s">
        <v>4831</v>
      </c>
      <c r="B1591" s="10" t="s">
        <v>4832</v>
      </c>
      <c r="C1591" s="10" t="s">
        <v>4833</v>
      </c>
      <c r="D1591" s="21" t="s">
        <v>6086</v>
      </c>
      <c r="E1591" s="10" t="s">
        <v>87</v>
      </c>
      <c r="F1591" s="10" t="s">
        <v>65</v>
      </c>
      <c r="G1591" s="10" t="s">
        <v>5</v>
      </c>
      <c r="H1591" s="10" t="s">
        <v>72</v>
      </c>
      <c r="I1591" s="11">
        <v>45206</v>
      </c>
      <c r="J1591" s="10" t="s">
        <v>30</v>
      </c>
      <c r="K1591" s="11">
        <v>45448</v>
      </c>
      <c r="L1591" s="10" t="s">
        <v>59</v>
      </c>
      <c r="M1591" s="12">
        <v>97083</v>
      </c>
      <c r="N1591" s="12">
        <v>6005</v>
      </c>
      <c r="O1591" s="10">
        <v>40</v>
      </c>
      <c r="P1591" s="11">
        <v>45488</v>
      </c>
      <c r="Q1591" s="10" t="s">
        <v>33</v>
      </c>
      <c r="R1591" s="10" t="s">
        <v>33</v>
      </c>
      <c r="S1591" s="10" t="s">
        <v>41</v>
      </c>
      <c r="T1591" s="13">
        <v>16.167000000000002</v>
      </c>
      <c r="U1591" s="14">
        <v>242</v>
      </c>
      <c r="V1591" s="14">
        <v>2024</v>
      </c>
      <c r="W1591" s="10" t="s">
        <v>67</v>
      </c>
    </row>
    <row r="1592" spans="1:23" s="9" customFormat="1" ht="15.75" hidden="1" customHeight="1" x14ac:dyDescent="0.25">
      <c r="A1592" s="4" t="s">
        <v>4834</v>
      </c>
      <c r="B1592" s="4" t="s">
        <v>4835</v>
      </c>
      <c r="C1592" s="4" t="s">
        <v>4836</v>
      </c>
      <c r="D1592" s="21" t="s">
        <v>6089</v>
      </c>
      <c r="E1592" s="4" t="s">
        <v>87</v>
      </c>
      <c r="F1592" s="4" t="s">
        <v>56</v>
      </c>
      <c r="G1592" s="4" t="s">
        <v>28</v>
      </c>
      <c r="H1592" s="4" t="s">
        <v>29</v>
      </c>
      <c r="I1592" s="5">
        <v>45410</v>
      </c>
      <c r="J1592" s="4" t="s">
        <v>30</v>
      </c>
      <c r="K1592" s="5">
        <v>45626</v>
      </c>
      <c r="L1592" s="4" t="s">
        <v>31</v>
      </c>
      <c r="M1592" s="6">
        <v>10412</v>
      </c>
      <c r="N1592" s="6">
        <v>1496</v>
      </c>
      <c r="O1592" s="4" t="s">
        <v>32</v>
      </c>
      <c r="P1592" s="4" t="s">
        <v>32</v>
      </c>
      <c r="Q1592" s="4" t="s">
        <v>33</v>
      </c>
      <c r="R1592" s="4" t="s">
        <v>33</v>
      </c>
      <c r="S1592" s="4" t="s">
        <v>41</v>
      </c>
      <c r="T1592" s="7">
        <v>6.9599000000000002</v>
      </c>
      <c r="U1592" s="8">
        <v>216</v>
      </c>
      <c r="V1592" s="8">
        <v>2024</v>
      </c>
      <c r="W1592" s="4" t="s">
        <v>61</v>
      </c>
    </row>
    <row r="1593" spans="1:23" s="9" customFormat="1" ht="15.75" hidden="1" customHeight="1" x14ac:dyDescent="0.25">
      <c r="A1593" s="10" t="s">
        <v>4837</v>
      </c>
      <c r="B1593" s="10" t="s">
        <v>4838</v>
      </c>
      <c r="C1593" s="10" t="s">
        <v>4839</v>
      </c>
      <c r="D1593" s="22" t="s">
        <v>6087</v>
      </c>
      <c r="E1593" s="10" t="s">
        <v>26</v>
      </c>
      <c r="F1593" s="10" t="s">
        <v>27</v>
      </c>
      <c r="G1593" s="10" t="s">
        <v>5</v>
      </c>
      <c r="H1593" s="10" t="s">
        <v>118</v>
      </c>
      <c r="I1593" s="11">
        <v>45397</v>
      </c>
      <c r="J1593" s="10" t="s">
        <v>30</v>
      </c>
      <c r="K1593" s="11">
        <v>45521</v>
      </c>
      <c r="L1593" s="10" t="s">
        <v>31</v>
      </c>
      <c r="M1593" s="12">
        <v>23653</v>
      </c>
      <c r="N1593" s="12">
        <v>3758</v>
      </c>
      <c r="O1593" s="10" t="s">
        <v>32</v>
      </c>
      <c r="P1593" s="10" t="s">
        <v>32</v>
      </c>
      <c r="Q1593" s="10" t="s">
        <v>33</v>
      </c>
      <c r="R1593" s="10" t="s">
        <v>33</v>
      </c>
      <c r="S1593" s="10" t="s">
        <v>41</v>
      </c>
      <c r="T1593" s="13">
        <v>6.2939999999999996</v>
      </c>
      <c r="U1593" s="14">
        <v>124</v>
      </c>
      <c r="V1593" s="14">
        <v>2024</v>
      </c>
      <c r="W1593" s="10" t="s">
        <v>114</v>
      </c>
    </row>
    <row r="1594" spans="1:23" s="9" customFormat="1" ht="15.75" hidden="1" customHeight="1" x14ac:dyDescent="0.25">
      <c r="A1594" s="4" t="s">
        <v>4840</v>
      </c>
      <c r="B1594" s="4" t="s">
        <v>4841</v>
      </c>
      <c r="C1594" s="4" t="s">
        <v>4842</v>
      </c>
      <c r="D1594" s="22" t="s">
        <v>6087</v>
      </c>
      <c r="E1594" s="4" t="s">
        <v>51</v>
      </c>
      <c r="F1594" s="4" t="s">
        <v>27</v>
      </c>
      <c r="G1594" s="4" t="s">
        <v>5</v>
      </c>
      <c r="H1594" s="4" t="s">
        <v>72</v>
      </c>
      <c r="I1594" s="5">
        <v>45493</v>
      </c>
      <c r="J1594" s="4" t="s">
        <v>30</v>
      </c>
      <c r="K1594" s="5">
        <v>45531</v>
      </c>
      <c r="L1594" s="4" t="s">
        <v>59</v>
      </c>
      <c r="M1594" s="6">
        <v>26516</v>
      </c>
      <c r="N1594" s="6">
        <v>6840</v>
      </c>
      <c r="O1594" s="4">
        <v>3</v>
      </c>
      <c r="P1594" s="5">
        <v>45534</v>
      </c>
      <c r="Q1594" s="4" t="s">
        <v>94</v>
      </c>
      <c r="R1594" s="4" t="s">
        <v>94</v>
      </c>
      <c r="S1594" s="4" t="s">
        <v>41</v>
      </c>
      <c r="T1594" s="7">
        <v>3.8765999999999998</v>
      </c>
      <c r="U1594" s="8">
        <v>38</v>
      </c>
      <c r="V1594" s="8">
        <v>2024</v>
      </c>
      <c r="W1594" s="4" t="s">
        <v>114</v>
      </c>
    </row>
    <row r="1595" spans="1:23" s="9" customFormat="1" ht="15.75" hidden="1" customHeight="1" x14ac:dyDescent="0.25">
      <c r="A1595" s="10" t="s">
        <v>4843</v>
      </c>
      <c r="B1595" s="10" t="s">
        <v>4844</v>
      </c>
      <c r="C1595" s="10" t="s">
        <v>4845</v>
      </c>
      <c r="D1595" s="21" t="s">
        <v>6088</v>
      </c>
      <c r="E1595" s="10" t="s">
        <v>26</v>
      </c>
      <c r="F1595" s="10" t="s">
        <v>56</v>
      </c>
      <c r="G1595" s="10" t="s">
        <v>57</v>
      </c>
      <c r="H1595" s="10" t="s">
        <v>29</v>
      </c>
      <c r="I1595" s="11">
        <v>44981</v>
      </c>
      <c r="J1595" s="10" t="s">
        <v>30</v>
      </c>
      <c r="K1595" s="11">
        <v>45303</v>
      </c>
      <c r="L1595" s="10" t="s">
        <v>59</v>
      </c>
      <c r="M1595" s="12">
        <v>13227</v>
      </c>
      <c r="N1595" s="12">
        <v>1665</v>
      </c>
      <c r="O1595" s="10">
        <v>27</v>
      </c>
      <c r="P1595" s="11">
        <v>45330</v>
      </c>
      <c r="Q1595" s="10" t="s">
        <v>33</v>
      </c>
      <c r="R1595" s="10" t="s">
        <v>33</v>
      </c>
      <c r="S1595" s="10" t="s">
        <v>60</v>
      </c>
      <c r="T1595" s="13">
        <v>7.9440999999999997</v>
      </c>
      <c r="U1595" s="14">
        <v>322</v>
      </c>
      <c r="V1595" s="14">
        <v>2024</v>
      </c>
      <c r="W1595" s="10" t="s">
        <v>73</v>
      </c>
    </row>
    <row r="1596" spans="1:23" s="9" customFormat="1" ht="15.75" hidden="1" customHeight="1" x14ac:dyDescent="0.25">
      <c r="A1596" s="4" t="s">
        <v>4846</v>
      </c>
      <c r="B1596" s="4" t="s">
        <v>4847</v>
      </c>
      <c r="C1596" s="4" t="s">
        <v>4848</v>
      </c>
      <c r="D1596" s="22" t="s">
        <v>6090</v>
      </c>
      <c r="E1596" s="4" t="s">
        <v>26</v>
      </c>
      <c r="F1596" s="4" t="s">
        <v>56</v>
      </c>
      <c r="G1596" s="4" t="s">
        <v>28</v>
      </c>
      <c r="H1596" s="4" t="s">
        <v>93</v>
      </c>
      <c r="I1596" s="5">
        <v>45293</v>
      </c>
      <c r="J1596" s="4" t="s">
        <v>40</v>
      </c>
      <c r="K1596" s="5">
        <v>45482</v>
      </c>
      <c r="L1596" s="4" t="s">
        <v>59</v>
      </c>
      <c r="M1596" s="6">
        <v>50810</v>
      </c>
      <c r="N1596" s="6">
        <v>7090</v>
      </c>
      <c r="O1596" s="4">
        <v>8</v>
      </c>
      <c r="P1596" s="5">
        <v>45490</v>
      </c>
      <c r="Q1596" s="4" t="s">
        <v>33</v>
      </c>
      <c r="R1596" s="4" t="s">
        <v>33</v>
      </c>
      <c r="S1596" s="4" t="s">
        <v>34</v>
      </c>
      <c r="T1596" s="7">
        <v>7.1664000000000003</v>
      </c>
      <c r="U1596" s="8">
        <v>189</v>
      </c>
      <c r="V1596" s="8">
        <v>2024</v>
      </c>
      <c r="W1596" s="4" t="s">
        <v>42</v>
      </c>
    </row>
    <row r="1597" spans="1:23" s="9" customFormat="1" ht="15.75" hidden="1" customHeight="1" x14ac:dyDescent="0.25">
      <c r="A1597" s="10" t="s">
        <v>4849</v>
      </c>
      <c r="B1597" s="10" t="s">
        <v>4850</v>
      </c>
      <c r="C1597" s="10" t="s">
        <v>4851</v>
      </c>
      <c r="D1597" s="22" t="s">
        <v>6090</v>
      </c>
      <c r="E1597" s="10" t="s">
        <v>26</v>
      </c>
      <c r="F1597" s="21" t="s">
        <v>6092</v>
      </c>
      <c r="G1597" s="10" t="s">
        <v>28</v>
      </c>
      <c r="H1597" s="10" t="s">
        <v>88</v>
      </c>
      <c r="I1597" s="11">
        <v>45376</v>
      </c>
      <c r="J1597" s="10" t="s">
        <v>30</v>
      </c>
      <c r="K1597" s="11">
        <v>45520</v>
      </c>
      <c r="L1597" s="10" t="s">
        <v>31</v>
      </c>
      <c r="M1597" s="12">
        <v>59125</v>
      </c>
      <c r="N1597" s="12">
        <v>4900</v>
      </c>
      <c r="O1597" s="10" t="s">
        <v>32</v>
      </c>
      <c r="P1597" s="10" t="s">
        <v>32</v>
      </c>
      <c r="Q1597" s="10" t="s">
        <v>33</v>
      </c>
      <c r="R1597" s="10" t="s">
        <v>33</v>
      </c>
      <c r="S1597" s="10" t="s">
        <v>60</v>
      </c>
      <c r="T1597" s="13">
        <v>12.0663</v>
      </c>
      <c r="U1597" s="14">
        <v>144</v>
      </c>
      <c r="V1597" s="14">
        <v>2024</v>
      </c>
      <c r="W1597" s="10" t="s">
        <v>114</v>
      </c>
    </row>
    <row r="1598" spans="1:23" s="9" customFormat="1" ht="15.75" hidden="1" customHeight="1" x14ac:dyDescent="0.25">
      <c r="A1598" s="4" t="s">
        <v>4852</v>
      </c>
      <c r="B1598" s="4" t="s">
        <v>4853</v>
      </c>
      <c r="C1598" s="4" t="s">
        <v>4854</v>
      </c>
      <c r="D1598" s="22" t="s">
        <v>6087</v>
      </c>
      <c r="E1598" s="4" t="s">
        <v>87</v>
      </c>
      <c r="F1598" s="4" t="s">
        <v>27</v>
      </c>
      <c r="G1598" s="4" t="s">
        <v>5</v>
      </c>
      <c r="H1598" s="4" t="s">
        <v>118</v>
      </c>
      <c r="I1598" s="5">
        <v>45037</v>
      </c>
      <c r="J1598" s="4" t="s">
        <v>40</v>
      </c>
      <c r="K1598" s="5">
        <v>45335</v>
      </c>
      <c r="L1598" s="4" t="s">
        <v>59</v>
      </c>
      <c r="M1598" s="6">
        <v>11596</v>
      </c>
      <c r="N1598" s="6">
        <v>8427</v>
      </c>
      <c r="O1598" s="4">
        <v>12</v>
      </c>
      <c r="P1598" s="5">
        <v>45347</v>
      </c>
      <c r="Q1598" s="4" t="s">
        <v>33</v>
      </c>
      <c r="R1598" s="4" t="s">
        <v>33</v>
      </c>
      <c r="S1598" s="4" t="s">
        <v>34</v>
      </c>
      <c r="T1598" s="7">
        <v>1.3761000000000001</v>
      </c>
      <c r="U1598" s="8">
        <v>298</v>
      </c>
      <c r="V1598" s="8">
        <v>2024</v>
      </c>
      <c r="W1598" s="4" t="s">
        <v>35</v>
      </c>
    </row>
    <row r="1599" spans="1:23" s="9" customFormat="1" ht="15.75" hidden="1" customHeight="1" x14ac:dyDescent="0.25">
      <c r="A1599" s="10" t="s">
        <v>4855</v>
      </c>
      <c r="B1599" s="10" t="s">
        <v>4856</v>
      </c>
      <c r="C1599" s="10" t="s">
        <v>4857</v>
      </c>
      <c r="D1599" s="21" t="s">
        <v>6086</v>
      </c>
      <c r="E1599" s="10" t="s">
        <v>87</v>
      </c>
      <c r="F1599" s="10" t="s">
        <v>71</v>
      </c>
      <c r="G1599" s="10" t="s">
        <v>57</v>
      </c>
      <c r="H1599" s="10" t="s">
        <v>58</v>
      </c>
      <c r="I1599" s="11">
        <v>45305</v>
      </c>
      <c r="J1599" s="10" t="s">
        <v>30</v>
      </c>
      <c r="K1599" s="11">
        <v>45491</v>
      </c>
      <c r="L1599" s="10" t="s">
        <v>59</v>
      </c>
      <c r="M1599" s="12">
        <v>72524</v>
      </c>
      <c r="N1599" s="12">
        <v>3796</v>
      </c>
      <c r="O1599" s="10">
        <v>11</v>
      </c>
      <c r="P1599" s="11">
        <v>45502</v>
      </c>
      <c r="Q1599" s="10" t="s">
        <v>94</v>
      </c>
      <c r="R1599" s="10" t="s">
        <v>33</v>
      </c>
      <c r="S1599" s="10" t="s">
        <v>60</v>
      </c>
      <c r="T1599" s="13">
        <v>19.105399999999999</v>
      </c>
      <c r="U1599" s="14">
        <v>186</v>
      </c>
      <c r="V1599" s="14">
        <v>2024</v>
      </c>
      <c r="W1599" s="10" t="s">
        <v>42</v>
      </c>
    </row>
    <row r="1600" spans="1:23" s="9" customFormat="1" ht="15.75" hidden="1" customHeight="1" x14ac:dyDescent="0.25">
      <c r="A1600" s="4" t="s">
        <v>4858</v>
      </c>
      <c r="B1600" s="4" t="s">
        <v>4859</v>
      </c>
      <c r="C1600" s="4" t="s">
        <v>4860</v>
      </c>
      <c r="D1600" s="22" t="s">
        <v>6087</v>
      </c>
      <c r="E1600" s="4" t="s">
        <v>51</v>
      </c>
      <c r="F1600" s="4" t="s">
        <v>27</v>
      </c>
      <c r="G1600" s="4" t="s">
        <v>28</v>
      </c>
      <c r="H1600" s="4" t="s">
        <v>58</v>
      </c>
      <c r="I1600" s="5">
        <v>45013</v>
      </c>
      <c r="J1600" s="4" t="s">
        <v>40</v>
      </c>
      <c r="K1600" s="5">
        <v>45357</v>
      </c>
      <c r="L1600" s="4" t="s">
        <v>59</v>
      </c>
      <c r="M1600" s="6">
        <v>28581</v>
      </c>
      <c r="N1600" s="6">
        <v>7037</v>
      </c>
      <c r="O1600" s="4">
        <v>39</v>
      </c>
      <c r="P1600" s="5">
        <v>45396</v>
      </c>
      <c r="Q1600" s="4" t="s">
        <v>33</v>
      </c>
      <c r="R1600" s="4" t="s">
        <v>33</v>
      </c>
      <c r="S1600" s="4" t="s">
        <v>41</v>
      </c>
      <c r="T1600" s="7">
        <v>4.0614999999999997</v>
      </c>
      <c r="U1600" s="8">
        <v>344</v>
      </c>
      <c r="V1600" s="8">
        <v>2024</v>
      </c>
      <c r="W1600" s="4" t="s">
        <v>77</v>
      </c>
    </row>
    <row r="1601" spans="1:23" s="9" customFormat="1" ht="15.75" hidden="1" customHeight="1" x14ac:dyDescent="0.25">
      <c r="A1601" s="10" t="s">
        <v>4861</v>
      </c>
      <c r="B1601" s="10" t="s">
        <v>4862</v>
      </c>
      <c r="C1601" s="10" t="s">
        <v>4863</v>
      </c>
      <c r="D1601" s="22" t="s">
        <v>6090</v>
      </c>
      <c r="E1601" s="10" t="s">
        <v>26</v>
      </c>
      <c r="F1601" s="10" t="s">
        <v>65</v>
      </c>
      <c r="G1601" s="10" t="s">
        <v>57</v>
      </c>
      <c r="H1601" s="10" t="s">
        <v>118</v>
      </c>
      <c r="I1601" s="11">
        <v>45170</v>
      </c>
      <c r="J1601" s="10" t="s">
        <v>40</v>
      </c>
      <c r="K1601" s="11">
        <v>45525</v>
      </c>
      <c r="L1601" s="10" t="s">
        <v>59</v>
      </c>
      <c r="M1601" s="12">
        <v>50950</v>
      </c>
      <c r="N1601" s="12">
        <v>3986</v>
      </c>
      <c r="O1601" s="10">
        <v>24</v>
      </c>
      <c r="P1601" s="11">
        <v>45549</v>
      </c>
      <c r="Q1601" s="10" t="s">
        <v>94</v>
      </c>
      <c r="R1601" s="10" t="s">
        <v>94</v>
      </c>
      <c r="S1601" s="10" t="s">
        <v>34</v>
      </c>
      <c r="T1601" s="13">
        <v>12.7822</v>
      </c>
      <c r="U1601" s="14">
        <v>355</v>
      </c>
      <c r="V1601" s="14">
        <v>2024</v>
      </c>
      <c r="W1601" s="10" t="s">
        <v>114</v>
      </c>
    </row>
    <row r="1602" spans="1:23" s="9" customFormat="1" ht="15.75" hidden="1" customHeight="1" x14ac:dyDescent="0.25">
      <c r="A1602" s="4" t="s">
        <v>4864</v>
      </c>
      <c r="B1602" s="4" t="s">
        <v>4865</v>
      </c>
      <c r="C1602" s="4" t="s">
        <v>4866</v>
      </c>
      <c r="D1602" s="21" t="s">
        <v>6088</v>
      </c>
      <c r="E1602" s="4" t="s">
        <v>26</v>
      </c>
      <c r="F1602" s="21" t="s">
        <v>6092</v>
      </c>
      <c r="G1602" s="4" t="s">
        <v>57</v>
      </c>
      <c r="H1602" s="4" t="s">
        <v>161</v>
      </c>
      <c r="I1602" s="5">
        <v>45173</v>
      </c>
      <c r="J1602" s="4" t="s">
        <v>30</v>
      </c>
      <c r="K1602" s="5">
        <v>45453</v>
      </c>
      <c r="L1602" s="4" t="s">
        <v>66</v>
      </c>
      <c r="M1602" s="6">
        <v>18406</v>
      </c>
      <c r="N1602" s="6">
        <v>2100</v>
      </c>
      <c r="O1602" s="4" t="s">
        <v>32</v>
      </c>
      <c r="P1602" s="4" t="s">
        <v>32</v>
      </c>
      <c r="Q1602" s="4" t="s">
        <v>33</v>
      </c>
      <c r="R1602" s="4" t="s">
        <v>33</v>
      </c>
      <c r="S1602" s="4" t="s">
        <v>41</v>
      </c>
      <c r="T1602" s="7">
        <v>8.7647999999999993</v>
      </c>
      <c r="U1602" s="8">
        <v>280</v>
      </c>
      <c r="V1602" s="8">
        <v>2024</v>
      </c>
      <c r="W1602" s="4" t="s">
        <v>67</v>
      </c>
    </row>
    <row r="1603" spans="1:23" s="9" customFormat="1" ht="15.75" hidden="1" customHeight="1" x14ac:dyDescent="0.25">
      <c r="A1603" s="10" t="s">
        <v>4867</v>
      </c>
      <c r="B1603" s="10" t="s">
        <v>4868</v>
      </c>
      <c r="C1603" s="10" t="s">
        <v>4869</v>
      </c>
      <c r="D1603" s="21" t="s">
        <v>6086</v>
      </c>
      <c r="E1603" s="10" t="s">
        <v>51</v>
      </c>
      <c r="F1603" s="10" t="s">
        <v>46</v>
      </c>
      <c r="G1603" s="10" t="s">
        <v>5</v>
      </c>
      <c r="H1603" s="10" t="s">
        <v>88</v>
      </c>
      <c r="I1603" s="11">
        <v>45290</v>
      </c>
      <c r="J1603" s="10" t="s">
        <v>40</v>
      </c>
      <c r="K1603" s="11">
        <v>45548</v>
      </c>
      <c r="L1603" s="10" t="s">
        <v>59</v>
      </c>
      <c r="M1603" s="12">
        <v>97664</v>
      </c>
      <c r="N1603" s="12">
        <v>1179</v>
      </c>
      <c r="O1603" s="10">
        <v>6</v>
      </c>
      <c r="P1603" s="11">
        <v>45554</v>
      </c>
      <c r="Q1603" s="10" t="s">
        <v>94</v>
      </c>
      <c r="R1603" s="10" t="s">
        <v>33</v>
      </c>
      <c r="S1603" s="10" t="s">
        <v>34</v>
      </c>
      <c r="T1603" s="13">
        <v>82.836299999999994</v>
      </c>
      <c r="U1603" s="14">
        <v>258</v>
      </c>
      <c r="V1603" s="14">
        <v>2024</v>
      </c>
      <c r="W1603" s="10" t="s">
        <v>168</v>
      </c>
    </row>
    <row r="1604" spans="1:23" s="9" customFormat="1" ht="15.75" hidden="1" customHeight="1" x14ac:dyDescent="0.25">
      <c r="A1604" s="4" t="s">
        <v>4870</v>
      </c>
      <c r="B1604" s="4" t="s">
        <v>4871</v>
      </c>
      <c r="C1604" s="4" t="s">
        <v>4872</v>
      </c>
      <c r="D1604" s="21" t="s">
        <v>6089</v>
      </c>
      <c r="E1604" s="4" t="s">
        <v>26</v>
      </c>
      <c r="F1604" s="4" t="s">
        <v>27</v>
      </c>
      <c r="G1604" s="4" t="s">
        <v>57</v>
      </c>
      <c r="H1604" s="4" t="s">
        <v>161</v>
      </c>
      <c r="I1604" s="5">
        <v>45073</v>
      </c>
      <c r="J1604" s="4" t="s">
        <v>30</v>
      </c>
      <c r="K1604" s="5">
        <v>45293</v>
      </c>
      <c r="L1604" s="4" t="s">
        <v>59</v>
      </c>
      <c r="M1604" s="6">
        <v>31734</v>
      </c>
      <c r="N1604" s="6">
        <v>7066</v>
      </c>
      <c r="O1604" s="4">
        <v>29</v>
      </c>
      <c r="P1604" s="5">
        <v>45322</v>
      </c>
      <c r="Q1604" s="4" t="s">
        <v>33</v>
      </c>
      <c r="R1604" s="4" t="s">
        <v>33</v>
      </c>
      <c r="S1604" s="4" t="s">
        <v>60</v>
      </c>
      <c r="T1604" s="7">
        <v>4.4911000000000003</v>
      </c>
      <c r="U1604" s="8">
        <v>220</v>
      </c>
      <c r="V1604" s="8">
        <v>2024</v>
      </c>
      <c r="W1604" s="4" t="s">
        <v>73</v>
      </c>
    </row>
    <row r="1605" spans="1:23" s="9" customFormat="1" ht="15.75" hidden="1" customHeight="1" x14ac:dyDescent="0.25">
      <c r="A1605" s="10" t="s">
        <v>4873</v>
      </c>
      <c r="B1605" s="10" t="s">
        <v>4874</v>
      </c>
      <c r="C1605" s="10" t="s">
        <v>4875</v>
      </c>
      <c r="D1605" s="21" t="s">
        <v>6086</v>
      </c>
      <c r="E1605" s="10" t="s">
        <v>87</v>
      </c>
      <c r="F1605" s="21" t="s">
        <v>6092</v>
      </c>
      <c r="G1605" s="10" t="s">
        <v>57</v>
      </c>
      <c r="H1605" s="10" t="s">
        <v>118</v>
      </c>
      <c r="I1605" s="11">
        <v>45083</v>
      </c>
      <c r="J1605" s="10" t="s">
        <v>40</v>
      </c>
      <c r="K1605" s="11">
        <v>45319</v>
      </c>
      <c r="L1605" s="10" t="s">
        <v>59</v>
      </c>
      <c r="M1605" s="12">
        <v>80593</v>
      </c>
      <c r="N1605" s="12">
        <v>8390</v>
      </c>
      <c r="O1605" s="10">
        <v>31</v>
      </c>
      <c r="P1605" s="11">
        <v>45350</v>
      </c>
      <c r="Q1605" s="10" t="s">
        <v>33</v>
      </c>
      <c r="R1605" s="10" t="s">
        <v>33</v>
      </c>
      <c r="S1605" s="10" t="s">
        <v>60</v>
      </c>
      <c r="T1605" s="13">
        <v>9.6058000000000003</v>
      </c>
      <c r="U1605" s="14">
        <v>236</v>
      </c>
      <c r="V1605" s="14">
        <v>2024</v>
      </c>
      <c r="W1605" s="10" t="s">
        <v>73</v>
      </c>
    </row>
    <row r="1606" spans="1:23" s="9" customFormat="1" ht="15.75" hidden="1" customHeight="1" x14ac:dyDescent="0.25">
      <c r="A1606" s="4" t="s">
        <v>4876</v>
      </c>
      <c r="B1606" s="4" t="s">
        <v>4877</v>
      </c>
      <c r="C1606" s="4" t="s">
        <v>4878</v>
      </c>
      <c r="D1606" s="21" t="s">
        <v>6086</v>
      </c>
      <c r="E1606" s="4" t="s">
        <v>87</v>
      </c>
      <c r="F1606" s="4" t="s">
        <v>27</v>
      </c>
      <c r="G1606" s="4" t="s">
        <v>5</v>
      </c>
      <c r="H1606" s="4" t="s">
        <v>161</v>
      </c>
      <c r="I1606" s="5">
        <v>44984</v>
      </c>
      <c r="J1606" s="4" t="s">
        <v>40</v>
      </c>
      <c r="K1606" s="5">
        <v>45338</v>
      </c>
      <c r="L1606" s="4" t="s">
        <v>59</v>
      </c>
      <c r="M1606" s="6">
        <v>18802</v>
      </c>
      <c r="N1606" s="6">
        <v>8684</v>
      </c>
      <c r="O1606" s="4">
        <v>35</v>
      </c>
      <c r="P1606" s="5">
        <v>45373</v>
      </c>
      <c r="Q1606" s="4" t="s">
        <v>33</v>
      </c>
      <c r="R1606" s="4" t="s">
        <v>33</v>
      </c>
      <c r="S1606" s="4" t="s">
        <v>60</v>
      </c>
      <c r="T1606" s="7">
        <v>2.1650999999999998</v>
      </c>
      <c r="U1606" s="8">
        <v>354</v>
      </c>
      <c r="V1606" s="8">
        <v>2024</v>
      </c>
      <c r="W1606" s="4" t="s">
        <v>35</v>
      </c>
    </row>
    <row r="1607" spans="1:23" s="9" customFormat="1" ht="15.75" hidden="1" customHeight="1" x14ac:dyDescent="0.25">
      <c r="A1607" s="10" t="s">
        <v>4879</v>
      </c>
      <c r="B1607" s="10" t="s">
        <v>4880</v>
      </c>
      <c r="C1607" s="10" t="s">
        <v>4881</v>
      </c>
      <c r="D1607" s="22" t="s">
        <v>6090</v>
      </c>
      <c r="E1607" s="10" t="s">
        <v>87</v>
      </c>
      <c r="F1607" s="10" t="s">
        <v>71</v>
      </c>
      <c r="G1607" s="10" t="s">
        <v>28</v>
      </c>
      <c r="H1607" s="10" t="s">
        <v>72</v>
      </c>
      <c r="I1607" s="11">
        <v>45324</v>
      </c>
      <c r="J1607" s="10" t="s">
        <v>30</v>
      </c>
      <c r="K1607" s="11">
        <v>45468</v>
      </c>
      <c r="L1607" s="10" t="s">
        <v>31</v>
      </c>
      <c r="M1607" s="12">
        <v>20788</v>
      </c>
      <c r="N1607" s="12">
        <v>4568</v>
      </c>
      <c r="O1607" s="10" t="s">
        <v>32</v>
      </c>
      <c r="P1607" s="10" t="s">
        <v>32</v>
      </c>
      <c r="Q1607" s="10" t="s">
        <v>33</v>
      </c>
      <c r="R1607" s="10" t="s">
        <v>33</v>
      </c>
      <c r="S1607" s="10" t="s">
        <v>60</v>
      </c>
      <c r="T1607" s="13">
        <v>4.5507999999999997</v>
      </c>
      <c r="U1607" s="14">
        <v>144</v>
      </c>
      <c r="V1607" s="14">
        <v>2024</v>
      </c>
      <c r="W1607" s="10" t="s">
        <v>67</v>
      </c>
    </row>
    <row r="1608" spans="1:23" s="9" customFormat="1" ht="15.75" hidden="1" customHeight="1" x14ac:dyDescent="0.25">
      <c r="A1608" s="4" t="s">
        <v>4882</v>
      </c>
      <c r="B1608" s="4" t="s">
        <v>4883</v>
      </c>
      <c r="C1608" s="4" t="s">
        <v>4884</v>
      </c>
      <c r="D1608" s="22" t="s">
        <v>6090</v>
      </c>
      <c r="E1608" s="4" t="s">
        <v>87</v>
      </c>
      <c r="F1608" s="4" t="s">
        <v>71</v>
      </c>
      <c r="G1608" s="4" t="s">
        <v>28</v>
      </c>
      <c r="H1608" s="4" t="s">
        <v>118</v>
      </c>
      <c r="I1608" s="5">
        <v>45130</v>
      </c>
      <c r="J1608" s="4" t="s">
        <v>30</v>
      </c>
      <c r="K1608" s="5">
        <v>45319</v>
      </c>
      <c r="L1608" s="4" t="s">
        <v>66</v>
      </c>
      <c r="M1608" s="6">
        <v>51821</v>
      </c>
      <c r="N1608" s="6">
        <v>6909</v>
      </c>
      <c r="O1608" s="4" t="s">
        <v>32</v>
      </c>
      <c r="P1608" s="4" t="s">
        <v>32</v>
      </c>
      <c r="Q1608" s="4" t="s">
        <v>33</v>
      </c>
      <c r="R1608" s="4" t="s">
        <v>33</v>
      </c>
      <c r="S1608" s="4" t="s">
        <v>34</v>
      </c>
      <c r="T1608" s="7">
        <v>7.5004999999999997</v>
      </c>
      <c r="U1608" s="8">
        <v>189</v>
      </c>
      <c r="V1608" s="8">
        <v>2024</v>
      </c>
      <c r="W1608" s="4" t="s">
        <v>73</v>
      </c>
    </row>
    <row r="1609" spans="1:23" s="9" customFormat="1" ht="15.75" hidden="1" customHeight="1" x14ac:dyDescent="0.25">
      <c r="A1609" s="10" t="s">
        <v>4885</v>
      </c>
      <c r="B1609" s="10" t="s">
        <v>4886</v>
      </c>
      <c r="C1609" s="10" t="s">
        <v>4887</v>
      </c>
      <c r="D1609" s="22" t="s">
        <v>6087</v>
      </c>
      <c r="E1609" s="10" t="s">
        <v>87</v>
      </c>
      <c r="F1609" s="10" t="s">
        <v>27</v>
      </c>
      <c r="G1609" s="10" t="s">
        <v>5</v>
      </c>
      <c r="H1609" s="10" t="s">
        <v>93</v>
      </c>
      <c r="I1609" s="11">
        <v>45245</v>
      </c>
      <c r="J1609" s="10" t="s">
        <v>40</v>
      </c>
      <c r="K1609" s="11">
        <v>45361</v>
      </c>
      <c r="L1609" s="10" t="s">
        <v>59</v>
      </c>
      <c r="M1609" s="12">
        <v>32433</v>
      </c>
      <c r="N1609" s="12">
        <v>8296</v>
      </c>
      <c r="O1609" s="10">
        <v>45</v>
      </c>
      <c r="P1609" s="11">
        <v>45406</v>
      </c>
      <c r="Q1609" s="10" t="s">
        <v>94</v>
      </c>
      <c r="R1609" s="10" t="s">
        <v>33</v>
      </c>
      <c r="S1609" s="10" t="s">
        <v>41</v>
      </c>
      <c r="T1609" s="13">
        <v>3.9095</v>
      </c>
      <c r="U1609" s="14">
        <v>116</v>
      </c>
      <c r="V1609" s="14">
        <v>2024</v>
      </c>
      <c r="W1609" s="10" t="s">
        <v>77</v>
      </c>
    </row>
    <row r="1610" spans="1:23" s="9" customFormat="1" ht="15.75" hidden="1" customHeight="1" x14ac:dyDescent="0.25">
      <c r="A1610" s="4" t="s">
        <v>4888</v>
      </c>
      <c r="B1610" s="4" t="s">
        <v>4889</v>
      </c>
      <c r="C1610" s="4" t="s">
        <v>4890</v>
      </c>
      <c r="D1610" s="22" t="s">
        <v>6090</v>
      </c>
      <c r="E1610" s="4" t="s">
        <v>26</v>
      </c>
      <c r="F1610" s="4" t="s">
        <v>56</v>
      </c>
      <c r="G1610" s="4" t="s">
        <v>57</v>
      </c>
      <c r="H1610" s="4" t="s">
        <v>118</v>
      </c>
      <c r="I1610" s="5">
        <v>45323</v>
      </c>
      <c r="J1610" s="4" t="s">
        <v>30</v>
      </c>
      <c r="K1610" s="5">
        <v>45431</v>
      </c>
      <c r="L1610" s="4" t="s">
        <v>59</v>
      </c>
      <c r="M1610" s="6">
        <v>54845</v>
      </c>
      <c r="N1610" s="6">
        <v>6087</v>
      </c>
      <c r="O1610" s="4">
        <v>20</v>
      </c>
      <c r="P1610" s="5">
        <v>45451</v>
      </c>
      <c r="Q1610" s="4" t="s">
        <v>94</v>
      </c>
      <c r="R1610" s="4" t="s">
        <v>94</v>
      </c>
      <c r="S1610" s="4" t="s">
        <v>34</v>
      </c>
      <c r="T1610" s="7">
        <v>9.0101999999999993</v>
      </c>
      <c r="U1610" s="8">
        <v>108</v>
      </c>
      <c r="V1610" s="8">
        <v>2024</v>
      </c>
      <c r="W1610" s="4" t="s">
        <v>52</v>
      </c>
    </row>
    <row r="1611" spans="1:23" s="9" customFormat="1" ht="15.75" hidden="1" customHeight="1" x14ac:dyDescent="0.25">
      <c r="A1611" s="10" t="s">
        <v>4891</v>
      </c>
      <c r="B1611" s="10" t="s">
        <v>4892</v>
      </c>
      <c r="C1611" s="10" t="s">
        <v>4893</v>
      </c>
      <c r="D1611" s="21" t="s">
        <v>6091</v>
      </c>
      <c r="E1611" s="10" t="s">
        <v>87</v>
      </c>
      <c r="F1611" s="10" t="s">
        <v>46</v>
      </c>
      <c r="G1611" s="10" t="s">
        <v>28</v>
      </c>
      <c r="H1611" s="10" t="s">
        <v>72</v>
      </c>
      <c r="I1611" s="11">
        <v>45323</v>
      </c>
      <c r="J1611" s="10" t="s">
        <v>40</v>
      </c>
      <c r="K1611" s="11">
        <v>45412</v>
      </c>
      <c r="L1611" s="10" t="s">
        <v>59</v>
      </c>
      <c r="M1611" s="12">
        <v>3228</v>
      </c>
      <c r="N1611" s="12">
        <v>7633</v>
      </c>
      <c r="O1611" s="10">
        <v>24</v>
      </c>
      <c r="P1611" s="11">
        <v>45436</v>
      </c>
      <c r="Q1611" s="10" t="s">
        <v>94</v>
      </c>
      <c r="R1611" s="10" t="s">
        <v>33</v>
      </c>
      <c r="S1611" s="10" t="s">
        <v>41</v>
      </c>
      <c r="T1611" s="13">
        <v>0.4229</v>
      </c>
      <c r="U1611" s="14">
        <v>89</v>
      </c>
      <c r="V1611" s="14">
        <v>2024</v>
      </c>
      <c r="W1611" s="10" t="s">
        <v>47</v>
      </c>
    </row>
    <row r="1612" spans="1:23" s="9" customFormat="1" ht="15.75" hidden="1" customHeight="1" x14ac:dyDescent="0.25">
      <c r="A1612" s="4" t="s">
        <v>4894</v>
      </c>
      <c r="B1612" s="4" t="s">
        <v>4895</v>
      </c>
      <c r="C1612" s="4" t="s">
        <v>4896</v>
      </c>
      <c r="D1612" s="22" t="s">
        <v>6090</v>
      </c>
      <c r="E1612" s="4" t="s">
        <v>51</v>
      </c>
      <c r="F1612" s="21" t="s">
        <v>6092</v>
      </c>
      <c r="G1612" s="4" t="s">
        <v>28</v>
      </c>
      <c r="H1612" s="4" t="s">
        <v>161</v>
      </c>
      <c r="I1612" s="5">
        <v>45507</v>
      </c>
      <c r="J1612" s="4" t="s">
        <v>40</v>
      </c>
      <c r="K1612" s="5">
        <v>45575</v>
      </c>
      <c r="L1612" s="4" t="s">
        <v>59</v>
      </c>
      <c r="M1612" s="6">
        <v>41183</v>
      </c>
      <c r="N1612" s="6">
        <v>1249</v>
      </c>
      <c r="O1612" s="4">
        <v>16</v>
      </c>
      <c r="P1612" s="5">
        <v>45591</v>
      </c>
      <c r="Q1612" s="4" t="s">
        <v>33</v>
      </c>
      <c r="R1612" s="4" t="s">
        <v>33</v>
      </c>
      <c r="S1612" s="4" t="s">
        <v>60</v>
      </c>
      <c r="T1612" s="7">
        <v>32.972799999999999</v>
      </c>
      <c r="U1612" s="8">
        <v>68</v>
      </c>
      <c r="V1612" s="8">
        <v>2024</v>
      </c>
      <c r="W1612" s="4" t="s">
        <v>95</v>
      </c>
    </row>
    <row r="1613" spans="1:23" s="9" customFormat="1" ht="15.75" hidden="1" customHeight="1" x14ac:dyDescent="0.25">
      <c r="A1613" s="10" t="s">
        <v>4897</v>
      </c>
      <c r="B1613" s="10" t="s">
        <v>4898</v>
      </c>
      <c r="C1613" s="10" t="s">
        <v>4899</v>
      </c>
      <c r="D1613" s="22" t="s">
        <v>6087</v>
      </c>
      <c r="E1613" s="10" t="s">
        <v>87</v>
      </c>
      <c r="F1613" s="10" t="s">
        <v>65</v>
      </c>
      <c r="G1613" s="10" t="s">
        <v>57</v>
      </c>
      <c r="H1613" s="10" t="s">
        <v>118</v>
      </c>
      <c r="I1613" s="11">
        <v>45059</v>
      </c>
      <c r="J1613" s="10" t="s">
        <v>30</v>
      </c>
      <c r="K1613" s="11">
        <v>45327</v>
      </c>
      <c r="L1613" s="10" t="s">
        <v>66</v>
      </c>
      <c r="M1613" s="12">
        <v>38923</v>
      </c>
      <c r="N1613" s="12">
        <v>7386</v>
      </c>
      <c r="O1613" s="10" t="s">
        <v>32</v>
      </c>
      <c r="P1613" s="10" t="s">
        <v>32</v>
      </c>
      <c r="Q1613" s="10" t="s">
        <v>33</v>
      </c>
      <c r="R1613" s="10" t="s">
        <v>33</v>
      </c>
      <c r="S1613" s="10" t="s">
        <v>41</v>
      </c>
      <c r="T1613" s="13">
        <v>5.2698</v>
      </c>
      <c r="U1613" s="14">
        <v>268</v>
      </c>
      <c r="V1613" s="14">
        <v>2024</v>
      </c>
      <c r="W1613" s="10" t="s">
        <v>35</v>
      </c>
    </row>
    <row r="1614" spans="1:23" s="9" customFormat="1" ht="15.75" hidden="1" customHeight="1" x14ac:dyDescent="0.25">
      <c r="A1614" s="4" t="s">
        <v>4900</v>
      </c>
      <c r="B1614" s="4" t="s">
        <v>4901</v>
      </c>
      <c r="C1614" s="4" t="s">
        <v>4902</v>
      </c>
      <c r="D1614" s="21" t="s">
        <v>6086</v>
      </c>
      <c r="E1614" s="4" t="s">
        <v>51</v>
      </c>
      <c r="F1614" s="4" t="s">
        <v>71</v>
      </c>
      <c r="G1614" s="4" t="s">
        <v>57</v>
      </c>
      <c r="H1614" s="4" t="s">
        <v>29</v>
      </c>
      <c r="I1614" s="5">
        <v>45477</v>
      </c>
      <c r="J1614" s="4" t="s">
        <v>30</v>
      </c>
      <c r="K1614" s="5">
        <v>45507</v>
      </c>
      <c r="L1614" s="4" t="s">
        <v>59</v>
      </c>
      <c r="M1614" s="6">
        <v>44587</v>
      </c>
      <c r="N1614" s="6">
        <v>8076</v>
      </c>
      <c r="O1614" s="4">
        <v>12</v>
      </c>
      <c r="P1614" s="5">
        <v>45519</v>
      </c>
      <c r="Q1614" s="4" t="s">
        <v>33</v>
      </c>
      <c r="R1614" s="4" t="s">
        <v>33</v>
      </c>
      <c r="S1614" s="4" t="s">
        <v>60</v>
      </c>
      <c r="T1614" s="7">
        <v>5.5209000000000001</v>
      </c>
      <c r="U1614" s="8">
        <v>30</v>
      </c>
      <c r="V1614" s="8">
        <v>2024</v>
      </c>
      <c r="W1614" s="4" t="s">
        <v>114</v>
      </c>
    </row>
    <row r="1615" spans="1:23" s="9" customFormat="1" ht="15.75" hidden="1" customHeight="1" x14ac:dyDescent="0.25">
      <c r="A1615" s="10" t="s">
        <v>4903</v>
      </c>
      <c r="B1615" s="10" t="s">
        <v>4904</v>
      </c>
      <c r="C1615" s="10" t="s">
        <v>4905</v>
      </c>
      <c r="D1615" s="21" t="s">
        <v>6091</v>
      </c>
      <c r="E1615" s="10" t="s">
        <v>87</v>
      </c>
      <c r="F1615" s="21" t="s">
        <v>6092</v>
      </c>
      <c r="G1615" s="10" t="s">
        <v>28</v>
      </c>
      <c r="H1615" s="10" t="s">
        <v>93</v>
      </c>
      <c r="I1615" s="11">
        <v>45226</v>
      </c>
      <c r="J1615" s="10" t="s">
        <v>30</v>
      </c>
      <c r="K1615" s="11">
        <v>45324</v>
      </c>
      <c r="L1615" s="10" t="s">
        <v>59</v>
      </c>
      <c r="M1615" s="12">
        <v>14716</v>
      </c>
      <c r="N1615" s="12">
        <v>2675</v>
      </c>
      <c r="O1615" s="10">
        <v>18</v>
      </c>
      <c r="P1615" s="11">
        <v>45342</v>
      </c>
      <c r="Q1615" s="10" t="s">
        <v>33</v>
      </c>
      <c r="R1615" s="10" t="s">
        <v>33</v>
      </c>
      <c r="S1615" s="10" t="s">
        <v>60</v>
      </c>
      <c r="T1615" s="13">
        <v>5.5012999999999996</v>
      </c>
      <c r="U1615" s="14">
        <v>98</v>
      </c>
      <c r="V1615" s="14">
        <v>2024</v>
      </c>
      <c r="W1615" s="10" t="s">
        <v>35</v>
      </c>
    </row>
    <row r="1616" spans="1:23" s="9" customFormat="1" ht="15.75" hidden="1" customHeight="1" x14ac:dyDescent="0.25">
      <c r="A1616" s="4" t="s">
        <v>4906</v>
      </c>
      <c r="B1616" s="4" t="s">
        <v>4907</v>
      </c>
      <c r="C1616" s="4" t="s">
        <v>4908</v>
      </c>
      <c r="D1616" s="21" t="s">
        <v>6088</v>
      </c>
      <c r="E1616" s="4" t="s">
        <v>87</v>
      </c>
      <c r="F1616" s="4" t="s">
        <v>46</v>
      </c>
      <c r="G1616" s="4" t="s">
        <v>5</v>
      </c>
      <c r="H1616" s="4" t="s">
        <v>118</v>
      </c>
      <c r="I1616" s="5">
        <v>45352</v>
      </c>
      <c r="J1616" s="4" t="s">
        <v>30</v>
      </c>
      <c r="K1616" s="5">
        <v>45548</v>
      </c>
      <c r="L1616" s="4" t="s">
        <v>59</v>
      </c>
      <c r="M1616" s="6">
        <v>23772</v>
      </c>
      <c r="N1616" s="6">
        <v>8788</v>
      </c>
      <c r="O1616" s="4">
        <v>44</v>
      </c>
      <c r="P1616" s="5">
        <v>45592</v>
      </c>
      <c r="Q1616" s="4" t="s">
        <v>33</v>
      </c>
      <c r="R1616" s="4" t="s">
        <v>33</v>
      </c>
      <c r="S1616" s="4" t="s">
        <v>34</v>
      </c>
      <c r="T1616" s="7">
        <v>2.7050999999999998</v>
      </c>
      <c r="U1616" s="8">
        <v>196</v>
      </c>
      <c r="V1616" s="8">
        <v>2024</v>
      </c>
      <c r="W1616" s="4" t="s">
        <v>168</v>
      </c>
    </row>
    <row r="1617" spans="1:23" s="9" customFormat="1" ht="15.75" hidden="1" customHeight="1" x14ac:dyDescent="0.25">
      <c r="A1617" s="10" t="s">
        <v>4909</v>
      </c>
      <c r="B1617" s="10" t="s">
        <v>4910</v>
      </c>
      <c r="C1617" s="10" t="s">
        <v>4911</v>
      </c>
      <c r="D1617" s="21" t="s">
        <v>6091</v>
      </c>
      <c r="E1617" s="10" t="s">
        <v>51</v>
      </c>
      <c r="F1617" s="21" t="s">
        <v>6092</v>
      </c>
      <c r="G1617" s="10" t="s">
        <v>5</v>
      </c>
      <c r="H1617" s="10" t="s">
        <v>161</v>
      </c>
      <c r="I1617" s="11">
        <v>45371</v>
      </c>
      <c r="J1617" s="10" t="s">
        <v>40</v>
      </c>
      <c r="K1617" s="11">
        <v>45582</v>
      </c>
      <c r="L1617" s="10" t="s">
        <v>59</v>
      </c>
      <c r="M1617" s="12">
        <v>16165</v>
      </c>
      <c r="N1617" s="12">
        <v>4617</v>
      </c>
      <c r="O1617" s="10">
        <v>26</v>
      </c>
      <c r="P1617" s="11">
        <v>45608</v>
      </c>
      <c r="Q1617" s="10" t="s">
        <v>33</v>
      </c>
      <c r="R1617" s="10" t="s">
        <v>33</v>
      </c>
      <c r="S1617" s="10" t="s">
        <v>34</v>
      </c>
      <c r="T1617" s="13">
        <v>3.5011999999999999</v>
      </c>
      <c r="U1617" s="14">
        <v>211</v>
      </c>
      <c r="V1617" s="14">
        <v>2024</v>
      </c>
      <c r="W1617" s="10" t="s">
        <v>95</v>
      </c>
    </row>
    <row r="1618" spans="1:23" s="9" customFormat="1" ht="15.75" hidden="1" customHeight="1" x14ac:dyDescent="0.25">
      <c r="A1618" s="4" t="s">
        <v>4912</v>
      </c>
      <c r="B1618" s="4" t="s">
        <v>4913</v>
      </c>
      <c r="C1618" s="4" t="s">
        <v>4914</v>
      </c>
      <c r="D1618" s="21" t="s">
        <v>6086</v>
      </c>
      <c r="E1618" s="4" t="s">
        <v>26</v>
      </c>
      <c r="F1618" s="21" t="s">
        <v>6092</v>
      </c>
      <c r="G1618" s="4" t="s">
        <v>28</v>
      </c>
      <c r="H1618" s="4" t="s">
        <v>58</v>
      </c>
      <c r="I1618" s="5">
        <v>45578</v>
      </c>
      <c r="J1618" s="4" t="s">
        <v>30</v>
      </c>
      <c r="K1618" s="5">
        <v>45623</v>
      </c>
      <c r="L1618" s="4" t="s">
        <v>31</v>
      </c>
      <c r="M1618" s="6">
        <v>63751</v>
      </c>
      <c r="N1618" s="6">
        <v>3379</v>
      </c>
      <c r="O1618" s="4" t="s">
        <v>32</v>
      </c>
      <c r="P1618" s="4" t="s">
        <v>32</v>
      </c>
      <c r="Q1618" s="4" t="s">
        <v>33</v>
      </c>
      <c r="R1618" s="4" t="s">
        <v>33</v>
      </c>
      <c r="S1618" s="4" t="s">
        <v>41</v>
      </c>
      <c r="T1618" s="7">
        <v>18.866800000000001</v>
      </c>
      <c r="U1618" s="8">
        <v>45</v>
      </c>
      <c r="V1618" s="8">
        <v>2024</v>
      </c>
      <c r="W1618" s="4" t="s">
        <v>61</v>
      </c>
    </row>
    <row r="1619" spans="1:23" s="9" customFormat="1" ht="15.75" hidden="1" customHeight="1" x14ac:dyDescent="0.25">
      <c r="A1619" s="10" t="s">
        <v>4915</v>
      </c>
      <c r="B1619" s="10" t="s">
        <v>4916</v>
      </c>
      <c r="C1619" s="10" t="s">
        <v>4917</v>
      </c>
      <c r="D1619" s="21" t="s">
        <v>6091</v>
      </c>
      <c r="E1619" s="10" t="s">
        <v>87</v>
      </c>
      <c r="F1619" s="10" t="s">
        <v>46</v>
      </c>
      <c r="G1619" s="10" t="s">
        <v>57</v>
      </c>
      <c r="H1619" s="10" t="s">
        <v>58</v>
      </c>
      <c r="I1619" s="11">
        <v>45291</v>
      </c>
      <c r="J1619" s="10" t="s">
        <v>40</v>
      </c>
      <c r="K1619" s="11">
        <v>45543</v>
      </c>
      <c r="L1619" s="10" t="s">
        <v>59</v>
      </c>
      <c r="M1619" s="12">
        <v>11370</v>
      </c>
      <c r="N1619" s="12">
        <v>4188</v>
      </c>
      <c r="O1619" s="10">
        <v>33</v>
      </c>
      <c r="P1619" s="11">
        <v>45576</v>
      </c>
      <c r="Q1619" s="10" t="s">
        <v>33</v>
      </c>
      <c r="R1619" s="10" t="s">
        <v>33</v>
      </c>
      <c r="S1619" s="10" t="s">
        <v>34</v>
      </c>
      <c r="T1619" s="13">
        <v>2.7149000000000001</v>
      </c>
      <c r="U1619" s="14">
        <v>252</v>
      </c>
      <c r="V1619" s="14">
        <v>2024</v>
      </c>
      <c r="W1619" s="10" t="s">
        <v>168</v>
      </c>
    </row>
    <row r="1620" spans="1:23" s="9" customFormat="1" ht="15.75" hidden="1" customHeight="1" x14ac:dyDescent="0.25">
      <c r="A1620" s="4" t="s">
        <v>4918</v>
      </c>
      <c r="B1620" s="4" t="s">
        <v>4919</v>
      </c>
      <c r="C1620" s="4" t="s">
        <v>4920</v>
      </c>
      <c r="D1620" s="21" t="s">
        <v>6086</v>
      </c>
      <c r="E1620" s="4" t="s">
        <v>51</v>
      </c>
      <c r="F1620" s="4" t="s">
        <v>56</v>
      </c>
      <c r="G1620" s="4" t="s">
        <v>5</v>
      </c>
      <c r="H1620" s="4" t="s">
        <v>88</v>
      </c>
      <c r="I1620" s="5">
        <v>44963</v>
      </c>
      <c r="J1620" s="4" t="s">
        <v>30</v>
      </c>
      <c r="K1620" s="5">
        <v>45320</v>
      </c>
      <c r="L1620" s="4" t="s">
        <v>31</v>
      </c>
      <c r="M1620" s="6">
        <v>79119</v>
      </c>
      <c r="N1620" s="6">
        <v>8668</v>
      </c>
      <c r="O1620" s="4" t="s">
        <v>32</v>
      </c>
      <c r="P1620" s="4" t="s">
        <v>32</v>
      </c>
      <c r="Q1620" s="4" t="s">
        <v>33</v>
      </c>
      <c r="R1620" s="4" t="s">
        <v>33</v>
      </c>
      <c r="S1620" s="4" t="s">
        <v>34</v>
      </c>
      <c r="T1620" s="7">
        <v>9.1277000000000008</v>
      </c>
      <c r="U1620" s="8">
        <v>357</v>
      </c>
      <c r="V1620" s="8">
        <v>2024</v>
      </c>
      <c r="W1620" s="4" t="s">
        <v>73</v>
      </c>
    </row>
    <row r="1621" spans="1:23" s="9" customFormat="1" ht="15.75" hidden="1" customHeight="1" x14ac:dyDescent="0.25">
      <c r="A1621" s="10" t="s">
        <v>4921</v>
      </c>
      <c r="B1621" s="10" t="s">
        <v>4922</v>
      </c>
      <c r="C1621" s="10" t="s">
        <v>4923</v>
      </c>
      <c r="D1621" s="21" t="s">
        <v>6086</v>
      </c>
      <c r="E1621" s="10" t="s">
        <v>26</v>
      </c>
      <c r="F1621" s="10" t="s">
        <v>46</v>
      </c>
      <c r="G1621" s="10" t="s">
        <v>57</v>
      </c>
      <c r="H1621" s="10" t="s">
        <v>39</v>
      </c>
      <c r="I1621" s="11">
        <v>45321</v>
      </c>
      <c r="J1621" s="10" t="s">
        <v>40</v>
      </c>
      <c r="K1621" s="11">
        <v>45353</v>
      </c>
      <c r="L1621" s="10" t="s">
        <v>66</v>
      </c>
      <c r="M1621" s="12">
        <v>90652</v>
      </c>
      <c r="N1621" s="12">
        <v>5416</v>
      </c>
      <c r="O1621" s="10" t="s">
        <v>32</v>
      </c>
      <c r="P1621" s="10" t="s">
        <v>32</v>
      </c>
      <c r="Q1621" s="10" t="s">
        <v>33</v>
      </c>
      <c r="R1621" s="10" t="s">
        <v>33</v>
      </c>
      <c r="S1621" s="10" t="s">
        <v>41</v>
      </c>
      <c r="T1621" s="13">
        <v>16.7378</v>
      </c>
      <c r="U1621" s="14">
        <v>32</v>
      </c>
      <c r="V1621" s="14">
        <v>2024</v>
      </c>
      <c r="W1621" s="10" t="s">
        <v>77</v>
      </c>
    </row>
    <row r="1622" spans="1:23" s="9" customFormat="1" ht="15.75" hidden="1" customHeight="1" x14ac:dyDescent="0.25">
      <c r="A1622" s="4" t="s">
        <v>4924</v>
      </c>
      <c r="B1622" s="4" t="s">
        <v>4925</v>
      </c>
      <c r="C1622" s="4" t="s">
        <v>4926</v>
      </c>
      <c r="D1622" s="21" t="s">
        <v>6086</v>
      </c>
      <c r="E1622" s="4" t="s">
        <v>51</v>
      </c>
      <c r="F1622" s="4" t="s">
        <v>71</v>
      </c>
      <c r="G1622" s="4" t="s">
        <v>28</v>
      </c>
      <c r="H1622" s="4" t="s">
        <v>161</v>
      </c>
      <c r="I1622" s="5">
        <v>45352</v>
      </c>
      <c r="J1622" s="4" t="s">
        <v>30</v>
      </c>
      <c r="K1622" s="5">
        <v>45498</v>
      </c>
      <c r="L1622" s="4" t="s">
        <v>31</v>
      </c>
      <c r="M1622" s="6">
        <v>21433</v>
      </c>
      <c r="N1622" s="6">
        <v>1136</v>
      </c>
      <c r="O1622" s="4" t="s">
        <v>32</v>
      </c>
      <c r="P1622" s="4" t="s">
        <v>32</v>
      </c>
      <c r="Q1622" s="4" t="s">
        <v>33</v>
      </c>
      <c r="R1622" s="4" t="s">
        <v>33</v>
      </c>
      <c r="S1622" s="4" t="s">
        <v>34</v>
      </c>
      <c r="T1622" s="7">
        <v>18.867100000000001</v>
      </c>
      <c r="U1622" s="8">
        <v>146</v>
      </c>
      <c r="V1622" s="8">
        <v>2024</v>
      </c>
      <c r="W1622" s="4" t="s">
        <v>42</v>
      </c>
    </row>
    <row r="1623" spans="1:23" s="9" customFormat="1" ht="15.75" hidden="1" customHeight="1" x14ac:dyDescent="0.25">
      <c r="A1623" s="10" t="s">
        <v>4927</v>
      </c>
      <c r="B1623" s="10" t="s">
        <v>4928</v>
      </c>
      <c r="C1623" s="10" t="s">
        <v>4929</v>
      </c>
      <c r="D1623" s="22" t="s">
        <v>6087</v>
      </c>
      <c r="E1623" s="10" t="s">
        <v>51</v>
      </c>
      <c r="F1623" s="10" t="s">
        <v>65</v>
      </c>
      <c r="G1623" s="10" t="s">
        <v>5</v>
      </c>
      <c r="H1623" s="10" t="s">
        <v>58</v>
      </c>
      <c r="I1623" s="11">
        <v>45320</v>
      </c>
      <c r="J1623" s="10" t="s">
        <v>40</v>
      </c>
      <c r="K1623" s="11">
        <v>45621</v>
      </c>
      <c r="L1623" s="10" t="s">
        <v>66</v>
      </c>
      <c r="M1623" s="12">
        <v>4555</v>
      </c>
      <c r="N1623" s="12">
        <v>4628</v>
      </c>
      <c r="O1623" s="10" t="s">
        <v>32</v>
      </c>
      <c r="P1623" s="10" t="s">
        <v>32</v>
      </c>
      <c r="Q1623" s="10" t="s">
        <v>33</v>
      </c>
      <c r="R1623" s="10" t="s">
        <v>33</v>
      </c>
      <c r="S1623" s="10" t="s">
        <v>41</v>
      </c>
      <c r="T1623" s="13">
        <v>0.98419999999999996</v>
      </c>
      <c r="U1623" s="14">
        <v>301</v>
      </c>
      <c r="V1623" s="14">
        <v>2024</v>
      </c>
      <c r="W1623" s="10" t="s">
        <v>61</v>
      </c>
    </row>
    <row r="1624" spans="1:23" s="9" customFormat="1" ht="15.75" hidden="1" customHeight="1" x14ac:dyDescent="0.25">
      <c r="A1624" s="4" t="s">
        <v>4930</v>
      </c>
      <c r="B1624" s="4" t="s">
        <v>4931</v>
      </c>
      <c r="C1624" s="4" t="s">
        <v>4932</v>
      </c>
      <c r="D1624" s="21" t="s">
        <v>6091</v>
      </c>
      <c r="E1624" s="4" t="s">
        <v>26</v>
      </c>
      <c r="F1624" s="21" t="s">
        <v>6092</v>
      </c>
      <c r="G1624" s="4" t="s">
        <v>57</v>
      </c>
      <c r="H1624" s="4" t="s">
        <v>39</v>
      </c>
      <c r="I1624" s="5">
        <v>45331</v>
      </c>
      <c r="J1624" s="4" t="s">
        <v>40</v>
      </c>
      <c r="K1624" s="5">
        <v>45560</v>
      </c>
      <c r="L1624" s="4" t="s">
        <v>59</v>
      </c>
      <c r="M1624" s="6">
        <v>19949</v>
      </c>
      <c r="N1624" s="6">
        <v>7999</v>
      </c>
      <c r="O1624" s="4">
        <v>41</v>
      </c>
      <c r="P1624" s="5">
        <v>45601</v>
      </c>
      <c r="Q1624" s="4" t="s">
        <v>33</v>
      </c>
      <c r="R1624" s="4" t="s">
        <v>33</v>
      </c>
      <c r="S1624" s="4" t="s">
        <v>34</v>
      </c>
      <c r="T1624" s="7">
        <v>2.4939</v>
      </c>
      <c r="U1624" s="8">
        <v>229</v>
      </c>
      <c r="V1624" s="8">
        <v>2024</v>
      </c>
      <c r="W1624" s="4" t="s">
        <v>168</v>
      </c>
    </row>
    <row r="1625" spans="1:23" s="9" customFormat="1" ht="15.75" hidden="1" customHeight="1" x14ac:dyDescent="0.25">
      <c r="A1625" s="10" t="s">
        <v>4933</v>
      </c>
      <c r="B1625" s="10" t="s">
        <v>4934</v>
      </c>
      <c r="C1625" s="10" t="s">
        <v>4935</v>
      </c>
      <c r="D1625" s="22" t="s">
        <v>6090</v>
      </c>
      <c r="E1625" s="10" t="s">
        <v>26</v>
      </c>
      <c r="F1625" s="10" t="s">
        <v>46</v>
      </c>
      <c r="G1625" s="10" t="s">
        <v>28</v>
      </c>
      <c r="H1625" s="10" t="s">
        <v>72</v>
      </c>
      <c r="I1625" s="11">
        <v>45126</v>
      </c>
      <c r="J1625" s="10" t="s">
        <v>30</v>
      </c>
      <c r="K1625" s="11">
        <v>45435</v>
      </c>
      <c r="L1625" s="10" t="s">
        <v>59</v>
      </c>
      <c r="M1625" s="12">
        <v>43940</v>
      </c>
      <c r="N1625" s="12">
        <v>2381</v>
      </c>
      <c r="O1625" s="10">
        <v>8</v>
      </c>
      <c r="P1625" s="11">
        <v>45443</v>
      </c>
      <c r="Q1625" s="10" t="s">
        <v>33</v>
      </c>
      <c r="R1625" s="10" t="s">
        <v>33</v>
      </c>
      <c r="S1625" s="10" t="s">
        <v>34</v>
      </c>
      <c r="T1625" s="13">
        <v>18.4544</v>
      </c>
      <c r="U1625" s="14">
        <v>309</v>
      </c>
      <c r="V1625" s="14">
        <v>2024</v>
      </c>
      <c r="W1625" s="10" t="s">
        <v>52</v>
      </c>
    </row>
    <row r="1626" spans="1:23" s="9" customFormat="1" ht="15.75" hidden="1" customHeight="1" x14ac:dyDescent="0.25">
      <c r="A1626" s="4" t="s">
        <v>4936</v>
      </c>
      <c r="B1626" s="4" t="s">
        <v>4937</v>
      </c>
      <c r="C1626" s="4" t="s">
        <v>4938</v>
      </c>
      <c r="D1626" s="21" t="s">
        <v>6089</v>
      </c>
      <c r="E1626" s="4" t="s">
        <v>26</v>
      </c>
      <c r="F1626" s="4" t="s">
        <v>65</v>
      </c>
      <c r="G1626" s="4" t="s">
        <v>5</v>
      </c>
      <c r="H1626" s="4" t="s">
        <v>88</v>
      </c>
      <c r="I1626" s="5">
        <v>45354</v>
      </c>
      <c r="J1626" s="4" t="s">
        <v>30</v>
      </c>
      <c r="K1626" s="5">
        <v>45575</v>
      </c>
      <c r="L1626" s="4" t="s">
        <v>59</v>
      </c>
      <c r="M1626" s="6">
        <v>34553</v>
      </c>
      <c r="N1626" s="6">
        <v>4238</v>
      </c>
      <c r="O1626" s="4">
        <v>12</v>
      </c>
      <c r="P1626" s="5">
        <v>45587</v>
      </c>
      <c r="Q1626" s="4" t="s">
        <v>33</v>
      </c>
      <c r="R1626" s="4" t="s">
        <v>33</v>
      </c>
      <c r="S1626" s="4" t="s">
        <v>60</v>
      </c>
      <c r="T1626" s="7">
        <v>8.1531000000000002</v>
      </c>
      <c r="U1626" s="8">
        <v>221</v>
      </c>
      <c r="V1626" s="8">
        <v>2024</v>
      </c>
      <c r="W1626" s="4" t="s">
        <v>95</v>
      </c>
    </row>
    <row r="1627" spans="1:23" s="9" customFormat="1" ht="15.75" hidden="1" customHeight="1" x14ac:dyDescent="0.25">
      <c r="A1627" s="10" t="s">
        <v>4939</v>
      </c>
      <c r="B1627" s="10" t="s">
        <v>4940</v>
      </c>
      <c r="C1627" s="10" t="s">
        <v>4941</v>
      </c>
      <c r="D1627" s="21" t="s">
        <v>6088</v>
      </c>
      <c r="E1627" s="10" t="s">
        <v>51</v>
      </c>
      <c r="F1627" s="10" t="s">
        <v>56</v>
      </c>
      <c r="G1627" s="10" t="s">
        <v>28</v>
      </c>
      <c r="H1627" s="10" t="s">
        <v>161</v>
      </c>
      <c r="I1627" s="11">
        <v>45200</v>
      </c>
      <c r="J1627" s="10" t="s">
        <v>30</v>
      </c>
      <c r="K1627" s="11">
        <v>45563</v>
      </c>
      <c r="L1627" s="10" t="s">
        <v>31</v>
      </c>
      <c r="M1627" s="12">
        <v>58887</v>
      </c>
      <c r="N1627" s="12">
        <v>4923</v>
      </c>
      <c r="O1627" s="10" t="s">
        <v>32</v>
      </c>
      <c r="P1627" s="10" t="s">
        <v>32</v>
      </c>
      <c r="Q1627" s="10" t="s">
        <v>33</v>
      </c>
      <c r="R1627" s="10" t="s">
        <v>33</v>
      </c>
      <c r="S1627" s="10" t="s">
        <v>60</v>
      </c>
      <c r="T1627" s="13">
        <v>11.961600000000001</v>
      </c>
      <c r="U1627" s="14">
        <v>363</v>
      </c>
      <c r="V1627" s="14">
        <v>2024</v>
      </c>
      <c r="W1627" s="10" t="s">
        <v>168</v>
      </c>
    </row>
    <row r="1628" spans="1:23" s="9" customFormat="1" ht="15.75" hidden="1" customHeight="1" x14ac:dyDescent="0.25">
      <c r="A1628" s="4" t="s">
        <v>4942</v>
      </c>
      <c r="B1628" s="4" t="s">
        <v>4943</v>
      </c>
      <c r="C1628" s="4" t="s">
        <v>4944</v>
      </c>
      <c r="D1628" s="22" t="s">
        <v>6087</v>
      </c>
      <c r="E1628" s="4" t="s">
        <v>26</v>
      </c>
      <c r="F1628" s="4" t="s">
        <v>65</v>
      </c>
      <c r="G1628" s="4" t="s">
        <v>5</v>
      </c>
      <c r="H1628" s="4" t="s">
        <v>72</v>
      </c>
      <c r="I1628" s="5">
        <v>45118</v>
      </c>
      <c r="J1628" s="4" t="s">
        <v>40</v>
      </c>
      <c r="K1628" s="5">
        <v>45327</v>
      </c>
      <c r="L1628" s="4" t="s">
        <v>59</v>
      </c>
      <c r="M1628" s="6">
        <v>2815</v>
      </c>
      <c r="N1628" s="6">
        <v>7349</v>
      </c>
      <c r="O1628" s="4">
        <v>40</v>
      </c>
      <c r="P1628" s="5">
        <v>45367</v>
      </c>
      <c r="Q1628" s="4" t="s">
        <v>33</v>
      </c>
      <c r="R1628" s="4" t="s">
        <v>33</v>
      </c>
      <c r="S1628" s="4" t="s">
        <v>60</v>
      </c>
      <c r="T1628" s="7">
        <v>0.38300000000000001</v>
      </c>
      <c r="U1628" s="8">
        <v>209</v>
      </c>
      <c r="V1628" s="8">
        <v>2024</v>
      </c>
      <c r="W1628" s="4" t="s">
        <v>35</v>
      </c>
    </row>
    <row r="1629" spans="1:23" s="9" customFormat="1" ht="15.75" hidden="1" customHeight="1" x14ac:dyDescent="0.25">
      <c r="A1629" s="10" t="s">
        <v>4945</v>
      </c>
      <c r="B1629" s="10" t="s">
        <v>4946</v>
      </c>
      <c r="C1629" s="10" t="s">
        <v>4947</v>
      </c>
      <c r="D1629" s="21" t="s">
        <v>6086</v>
      </c>
      <c r="E1629" s="10" t="s">
        <v>51</v>
      </c>
      <c r="F1629" s="10" t="s">
        <v>71</v>
      </c>
      <c r="G1629" s="10" t="s">
        <v>57</v>
      </c>
      <c r="H1629" s="10" t="s">
        <v>58</v>
      </c>
      <c r="I1629" s="11">
        <v>45299</v>
      </c>
      <c r="J1629" s="10" t="s">
        <v>40</v>
      </c>
      <c r="K1629" s="11">
        <v>45508</v>
      </c>
      <c r="L1629" s="10" t="s">
        <v>66</v>
      </c>
      <c r="M1629" s="12">
        <v>19422</v>
      </c>
      <c r="N1629" s="12">
        <v>4141</v>
      </c>
      <c r="O1629" s="10" t="s">
        <v>32</v>
      </c>
      <c r="P1629" s="10" t="s">
        <v>32</v>
      </c>
      <c r="Q1629" s="10" t="s">
        <v>33</v>
      </c>
      <c r="R1629" s="10" t="s">
        <v>33</v>
      </c>
      <c r="S1629" s="10" t="s">
        <v>41</v>
      </c>
      <c r="T1629" s="13">
        <v>4.6901999999999999</v>
      </c>
      <c r="U1629" s="14">
        <v>209</v>
      </c>
      <c r="V1629" s="14">
        <v>2024</v>
      </c>
      <c r="W1629" s="10" t="s">
        <v>114</v>
      </c>
    </row>
    <row r="1630" spans="1:23" s="9" customFormat="1" ht="15.75" hidden="1" customHeight="1" x14ac:dyDescent="0.25">
      <c r="A1630" s="4" t="s">
        <v>4948</v>
      </c>
      <c r="B1630" s="4" t="s">
        <v>4949</v>
      </c>
      <c r="C1630" s="4" t="s">
        <v>4950</v>
      </c>
      <c r="D1630" s="22" t="s">
        <v>6090</v>
      </c>
      <c r="E1630" s="4" t="s">
        <v>26</v>
      </c>
      <c r="F1630" s="4" t="s">
        <v>27</v>
      </c>
      <c r="G1630" s="4" t="s">
        <v>57</v>
      </c>
      <c r="H1630" s="4" t="s">
        <v>29</v>
      </c>
      <c r="I1630" s="5">
        <v>45027</v>
      </c>
      <c r="J1630" s="4" t="s">
        <v>40</v>
      </c>
      <c r="K1630" s="5">
        <v>45316</v>
      </c>
      <c r="L1630" s="4" t="s">
        <v>59</v>
      </c>
      <c r="M1630" s="6">
        <v>53468</v>
      </c>
      <c r="N1630" s="6">
        <v>8000</v>
      </c>
      <c r="O1630" s="4">
        <v>6</v>
      </c>
      <c r="P1630" s="5">
        <v>45322</v>
      </c>
      <c r="Q1630" s="4" t="s">
        <v>94</v>
      </c>
      <c r="R1630" s="4" t="s">
        <v>33</v>
      </c>
      <c r="S1630" s="4" t="s">
        <v>60</v>
      </c>
      <c r="T1630" s="7">
        <v>6.6835000000000004</v>
      </c>
      <c r="U1630" s="8">
        <v>289</v>
      </c>
      <c r="V1630" s="8">
        <v>2024</v>
      </c>
      <c r="W1630" s="4" t="s">
        <v>73</v>
      </c>
    </row>
    <row r="1631" spans="1:23" s="9" customFormat="1" ht="15.75" hidden="1" customHeight="1" x14ac:dyDescent="0.25">
      <c r="A1631" s="10" t="s">
        <v>4951</v>
      </c>
      <c r="B1631" s="10" t="s">
        <v>4952</v>
      </c>
      <c r="C1631" s="10" t="s">
        <v>4953</v>
      </c>
      <c r="D1631" s="22" t="s">
        <v>6090</v>
      </c>
      <c r="E1631" s="10" t="s">
        <v>51</v>
      </c>
      <c r="F1631" s="10" t="s">
        <v>71</v>
      </c>
      <c r="G1631" s="10" t="s">
        <v>57</v>
      </c>
      <c r="H1631" s="10" t="s">
        <v>161</v>
      </c>
      <c r="I1631" s="11">
        <v>45253</v>
      </c>
      <c r="J1631" s="10" t="s">
        <v>30</v>
      </c>
      <c r="K1631" s="11">
        <v>45475</v>
      </c>
      <c r="L1631" s="10" t="s">
        <v>59</v>
      </c>
      <c r="M1631" s="12">
        <v>48107</v>
      </c>
      <c r="N1631" s="12">
        <v>5084</v>
      </c>
      <c r="O1631" s="10">
        <v>38</v>
      </c>
      <c r="P1631" s="11">
        <v>45513</v>
      </c>
      <c r="Q1631" s="10" t="s">
        <v>33</v>
      </c>
      <c r="R1631" s="10" t="s">
        <v>33</v>
      </c>
      <c r="S1631" s="10" t="s">
        <v>41</v>
      </c>
      <c r="T1631" s="13">
        <v>9.4624000000000006</v>
      </c>
      <c r="U1631" s="14">
        <v>222</v>
      </c>
      <c r="V1631" s="14">
        <v>2024</v>
      </c>
      <c r="W1631" s="10" t="s">
        <v>42</v>
      </c>
    </row>
    <row r="1632" spans="1:23" s="9" customFormat="1" ht="15.75" hidden="1" customHeight="1" x14ac:dyDescent="0.25">
      <c r="A1632" s="4" t="s">
        <v>4954</v>
      </c>
      <c r="B1632" s="4" t="s">
        <v>4955</v>
      </c>
      <c r="C1632" s="4" t="s">
        <v>4956</v>
      </c>
      <c r="D1632" s="21" t="s">
        <v>6086</v>
      </c>
      <c r="E1632" s="4" t="s">
        <v>26</v>
      </c>
      <c r="F1632" s="4" t="s">
        <v>27</v>
      </c>
      <c r="G1632" s="4" t="s">
        <v>5</v>
      </c>
      <c r="H1632" s="4" t="s">
        <v>58</v>
      </c>
      <c r="I1632" s="5">
        <v>45391</v>
      </c>
      <c r="J1632" s="4" t="s">
        <v>30</v>
      </c>
      <c r="K1632" s="5">
        <v>45568</v>
      </c>
      <c r="L1632" s="4" t="s">
        <v>59</v>
      </c>
      <c r="M1632" s="6">
        <v>55191</v>
      </c>
      <c r="N1632" s="6">
        <v>1411</v>
      </c>
      <c r="O1632" s="4">
        <v>31</v>
      </c>
      <c r="P1632" s="5">
        <v>45599</v>
      </c>
      <c r="Q1632" s="4" t="s">
        <v>94</v>
      </c>
      <c r="R1632" s="4" t="s">
        <v>94</v>
      </c>
      <c r="S1632" s="4" t="s">
        <v>41</v>
      </c>
      <c r="T1632" s="7">
        <v>39.114800000000002</v>
      </c>
      <c r="U1632" s="8">
        <v>177</v>
      </c>
      <c r="V1632" s="8">
        <v>2024</v>
      </c>
      <c r="W1632" s="4" t="s">
        <v>95</v>
      </c>
    </row>
    <row r="1633" spans="1:23" s="9" customFormat="1" ht="15.75" hidden="1" customHeight="1" x14ac:dyDescent="0.25">
      <c r="A1633" s="10" t="s">
        <v>4957</v>
      </c>
      <c r="B1633" s="10" t="s">
        <v>4958</v>
      </c>
      <c r="C1633" s="10" t="s">
        <v>4959</v>
      </c>
      <c r="D1633" s="21" t="s">
        <v>6088</v>
      </c>
      <c r="E1633" s="10" t="s">
        <v>51</v>
      </c>
      <c r="F1633" s="21" t="s">
        <v>6092</v>
      </c>
      <c r="G1633" s="10" t="s">
        <v>5</v>
      </c>
      <c r="H1633" s="10" t="s">
        <v>161</v>
      </c>
      <c r="I1633" s="11">
        <v>45544</v>
      </c>
      <c r="J1633" s="10" t="s">
        <v>30</v>
      </c>
      <c r="K1633" s="11">
        <v>45617</v>
      </c>
      <c r="L1633" s="10" t="s">
        <v>31</v>
      </c>
      <c r="M1633" s="12">
        <v>61285</v>
      </c>
      <c r="N1633" s="12">
        <v>7587</v>
      </c>
      <c r="O1633" s="10" t="s">
        <v>32</v>
      </c>
      <c r="P1633" s="10" t="s">
        <v>32</v>
      </c>
      <c r="Q1633" s="10" t="s">
        <v>33</v>
      </c>
      <c r="R1633" s="10" t="s">
        <v>33</v>
      </c>
      <c r="S1633" s="10" t="s">
        <v>60</v>
      </c>
      <c r="T1633" s="13">
        <v>8.0776000000000003</v>
      </c>
      <c r="U1633" s="14">
        <v>73</v>
      </c>
      <c r="V1633" s="14">
        <v>2024</v>
      </c>
      <c r="W1633" s="10" t="s">
        <v>61</v>
      </c>
    </row>
    <row r="1634" spans="1:23" s="9" customFormat="1" ht="15.75" hidden="1" customHeight="1" x14ac:dyDescent="0.25">
      <c r="A1634" s="4" t="s">
        <v>4960</v>
      </c>
      <c r="B1634" s="4" t="s">
        <v>4961</v>
      </c>
      <c r="C1634" s="4" t="s">
        <v>4962</v>
      </c>
      <c r="D1634" s="22" t="s">
        <v>6087</v>
      </c>
      <c r="E1634" s="4" t="s">
        <v>26</v>
      </c>
      <c r="F1634" s="4" t="s">
        <v>56</v>
      </c>
      <c r="G1634" s="4" t="s">
        <v>57</v>
      </c>
      <c r="H1634" s="4" t="s">
        <v>88</v>
      </c>
      <c r="I1634" s="5">
        <v>45084</v>
      </c>
      <c r="J1634" s="4" t="s">
        <v>30</v>
      </c>
      <c r="K1634" s="5">
        <v>45421</v>
      </c>
      <c r="L1634" s="4" t="s">
        <v>59</v>
      </c>
      <c r="M1634" s="6">
        <v>2036</v>
      </c>
      <c r="N1634" s="6">
        <v>3734</v>
      </c>
      <c r="O1634" s="4">
        <v>36</v>
      </c>
      <c r="P1634" s="5">
        <v>45457</v>
      </c>
      <c r="Q1634" s="4" t="s">
        <v>33</v>
      </c>
      <c r="R1634" s="4" t="s">
        <v>33</v>
      </c>
      <c r="S1634" s="4" t="s">
        <v>60</v>
      </c>
      <c r="T1634" s="7">
        <v>0.54530000000000001</v>
      </c>
      <c r="U1634" s="8">
        <v>337</v>
      </c>
      <c r="V1634" s="8">
        <v>2024</v>
      </c>
      <c r="W1634" s="4" t="s">
        <v>52</v>
      </c>
    </row>
    <row r="1635" spans="1:23" s="9" customFormat="1" ht="15.75" hidden="1" customHeight="1" x14ac:dyDescent="0.25">
      <c r="A1635" s="10" t="s">
        <v>4963</v>
      </c>
      <c r="B1635" s="10" t="s">
        <v>4964</v>
      </c>
      <c r="C1635" s="10" t="s">
        <v>4965</v>
      </c>
      <c r="D1635" s="21" t="s">
        <v>6091</v>
      </c>
      <c r="E1635" s="10" t="s">
        <v>51</v>
      </c>
      <c r="F1635" s="10" t="s">
        <v>56</v>
      </c>
      <c r="G1635" s="10" t="s">
        <v>57</v>
      </c>
      <c r="H1635" s="10" t="s">
        <v>39</v>
      </c>
      <c r="I1635" s="11">
        <v>45481</v>
      </c>
      <c r="J1635" s="10" t="s">
        <v>40</v>
      </c>
      <c r="K1635" s="11">
        <v>45634</v>
      </c>
      <c r="L1635" s="10" t="s">
        <v>59</v>
      </c>
      <c r="M1635" s="12">
        <v>11547</v>
      </c>
      <c r="N1635" s="12">
        <v>2240</v>
      </c>
      <c r="O1635" s="10">
        <v>34</v>
      </c>
      <c r="P1635" s="11">
        <v>45668</v>
      </c>
      <c r="Q1635" s="10" t="s">
        <v>94</v>
      </c>
      <c r="R1635" s="10" t="s">
        <v>94</v>
      </c>
      <c r="S1635" s="10" t="s">
        <v>60</v>
      </c>
      <c r="T1635" s="13">
        <v>5.1548999999999996</v>
      </c>
      <c r="U1635" s="14">
        <v>153</v>
      </c>
      <c r="V1635" s="14">
        <v>2024</v>
      </c>
      <c r="W1635" s="10" t="s">
        <v>89</v>
      </c>
    </row>
    <row r="1636" spans="1:23" s="9" customFormat="1" ht="15.75" hidden="1" customHeight="1" x14ac:dyDescent="0.25">
      <c r="A1636" s="4" t="s">
        <v>4966</v>
      </c>
      <c r="B1636" s="4" t="s">
        <v>4967</v>
      </c>
      <c r="C1636" s="4" t="s">
        <v>4968</v>
      </c>
      <c r="D1636" s="22" t="s">
        <v>6090</v>
      </c>
      <c r="E1636" s="4" t="s">
        <v>26</v>
      </c>
      <c r="F1636" s="4" t="s">
        <v>56</v>
      </c>
      <c r="G1636" s="4" t="s">
        <v>57</v>
      </c>
      <c r="H1636" s="4" t="s">
        <v>93</v>
      </c>
      <c r="I1636" s="5">
        <v>45044</v>
      </c>
      <c r="J1636" s="4" t="s">
        <v>30</v>
      </c>
      <c r="K1636" s="5">
        <v>45390</v>
      </c>
      <c r="L1636" s="4" t="s">
        <v>31</v>
      </c>
      <c r="M1636" s="6">
        <v>21867</v>
      </c>
      <c r="N1636" s="6">
        <v>2141</v>
      </c>
      <c r="O1636" s="4" t="s">
        <v>32</v>
      </c>
      <c r="P1636" s="4" t="s">
        <v>32</v>
      </c>
      <c r="Q1636" s="4" t="s">
        <v>33</v>
      </c>
      <c r="R1636" s="4" t="s">
        <v>33</v>
      </c>
      <c r="S1636" s="4" t="s">
        <v>60</v>
      </c>
      <c r="T1636" s="7">
        <v>10.2135</v>
      </c>
      <c r="U1636" s="8">
        <v>346</v>
      </c>
      <c r="V1636" s="8">
        <v>2024</v>
      </c>
      <c r="W1636" s="4" t="s">
        <v>47</v>
      </c>
    </row>
    <row r="1637" spans="1:23" s="9" customFormat="1" ht="15.75" hidden="1" customHeight="1" x14ac:dyDescent="0.25">
      <c r="A1637" s="10" t="s">
        <v>4969</v>
      </c>
      <c r="B1637" s="10" t="s">
        <v>4970</v>
      </c>
      <c r="C1637" s="10" t="s">
        <v>4971</v>
      </c>
      <c r="D1637" s="22" t="s">
        <v>6087</v>
      </c>
      <c r="E1637" s="10" t="s">
        <v>87</v>
      </c>
      <c r="F1637" s="10" t="s">
        <v>65</v>
      </c>
      <c r="G1637" s="10" t="s">
        <v>28</v>
      </c>
      <c r="H1637" s="10" t="s">
        <v>29</v>
      </c>
      <c r="I1637" s="11">
        <v>45489</v>
      </c>
      <c r="J1637" s="10" t="s">
        <v>40</v>
      </c>
      <c r="K1637" s="11">
        <v>45558</v>
      </c>
      <c r="L1637" s="10" t="s">
        <v>59</v>
      </c>
      <c r="M1637" s="12">
        <v>23063</v>
      </c>
      <c r="N1637" s="12">
        <v>4973</v>
      </c>
      <c r="O1637" s="10">
        <v>40</v>
      </c>
      <c r="P1637" s="11">
        <v>45598</v>
      </c>
      <c r="Q1637" s="10" t="s">
        <v>33</v>
      </c>
      <c r="R1637" s="10" t="s">
        <v>33</v>
      </c>
      <c r="S1637" s="10" t="s">
        <v>34</v>
      </c>
      <c r="T1637" s="13">
        <v>4.6375999999999999</v>
      </c>
      <c r="U1637" s="14">
        <v>69</v>
      </c>
      <c r="V1637" s="14">
        <v>2024</v>
      </c>
      <c r="W1637" s="10" t="s">
        <v>168</v>
      </c>
    </row>
    <row r="1638" spans="1:23" s="9" customFormat="1" ht="15.75" hidden="1" customHeight="1" x14ac:dyDescent="0.25">
      <c r="A1638" s="4" t="s">
        <v>4972</v>
      </c>
      <c r="B1638" s="4" t="s">
        <v>4973</v>
      </c>
      <c r="C1638" s="4" t="s">
        <v>4974</v>
      </c>
      <c r="D1638" s="22" t="s">
        <v>6090</v>
      </c>
      <c r="E1638" s="4" t="s">
        <v>26</v>
      </c>
      <c r="F1638" s="4" t="s">
        <v>46</v>
      </c>
      <c r="G1638" s="4" t="s">
        <v>5</v>
      </c>
      <c r="H1638" s="4" t="s">
        <v>161</v>
      </c>
      <c r="I1638" s="5">
        <v>45569</v>
      </c>
      <c r="J1638" s="4" t="s">
        <v>30</v>
      </c>
      <c r="K1638" s="5">
        <v>45605</v>
      </c>
      <c r="L1638" s="4" t="s">
        <v>59</v>
      </c>
      <c r="M1638" s="6">
        <v>47043</v>
      </c>
      <c r="N1638" s="6">
        <v>4505</v>
      </c>
      <c r="O1638" s="4">
        <v>6</v>
      </c>
      <c r="P1638" s="5">
        <v>45611</v>
      </c>
      <c r="Q1638" s="4" t="s">
        <v>94</v>
      </c>
      <c r="R1638" s="4" t="s">
        <v>94</v>
      </c>
      <c r="S1638" s="4" t="s">
        <v>60</v>
      </c>
      <c r="T1638" s="7">
        <v>10.442399999999999</v>
      </c>
      <c r="U1638" s="8">
        <v>36</v>
      </c>
      <c r="V1638" s="8">
        <v>2024</v>
      </c>
      <c r="W1638" s="4" t="s">
        <v>61</v>
      </c>
    </row>
    <row r="1639" spans="1:23" s="9" customFormat="1" ht="27.75" customHeight="1" x14ac:dyDescent="0.25">
      <c r="A1639" s="10" t="s">
        <v>4975</v>
      </c>
      <c r="B1639" s="10" t="s">
        <v>4976</v>
      </c>
      <c r="C1639" s="10" t="s">
        <v>4977</v>
      </c>
      <c r="D1639" s="22" t="s">
        <v>6090</v>
      </c>
      <c r="E1639" s="10" t="s">
        <v>51</v>
      </c>
      <c r="F1639" s="10" t="s">
        <v>6092</v>
      </c>
      <c r="G1639" s="10" t="s">
        <v>57</v>
      </c>
      <c r="H1639" s="10" t="s">
        <v>161</v>
      </c>
      <c r="I1639" s="11">
        <v>45507</v>
      </c>
      <c r="J1639" s="10" t="s">
        <v>30</v>
      </c>
      <c r="K1639" s="11">
        <v>45651</v>
      </c>
      <c r="L1639" s="10" t="s">
        <v>31</v>
      </c>
      <c r="M1639" s="12">
        <v>41736</v>
      </c>
      <c r="N1639" s="12">
        <v>1894</v>
      </c>
      <c r="O1639" s="10" t="s">
        <v>32</v>
      </c>
      <c r="P1639" s="10" t="s">
        <v>32</v>
      </c>
      <c r="Q1639" s="10" t="s">
        <v>94</v>
      </c>
      <c r="R1639" s="10" t="s">
        <v>94</v>
      </c>
      <c r="S1639" s="10" t="s">
        <v>34</v>
      </c>
      <c r="T1639" s="13">
        <v>22.035900000000002</v>
      </c>
      <c r="U1639" s="14">
        <v>144</v>
      </c>
      <c r="V1639" s="14">
        <v>2024</v>
      </c>
      <c r="W1639" s="10" t="s">
        <v>89</v>
      </c>
    </row>
    <row r="1640" spans="1:23" s="9" customFormat="1" ht="15.75" hidden="1" customHeight="1" x14ac:dyDescent="0.25">
      <c r="A1640" s="4" t="s">
        <v>4978</v>
      </c>
      <c r="B1640" s="4" t="s">
        <v>4979</v>
      </c>
      <c r="C1640" s="4" t="s">
        <v>4980</v>
      </c>
      <c r="D1640" s="22" t="s">
        <v>6090</v>
      </c>
      <c r="E1640" s="4" t="s">
        <v>26</v>
      </c>
      <c r="F1640" s="4" t="s">
        <v>46</v>
      </c>
      <c r="G1640" s="4" t="s">
        <v>28</v>
      </c>
      <c r="H1640" s="4" t="s">
        <v>161</v>
      </c>
      <c r="I1640" s="5">
        <v>45444</v>
      </c>
      <c r="J1640" s="4" t="s">
        <v>30</v>
      </c>
      <c r="K1640" s="5">
        <v>45575</v>
      </c>
      <c r="L1640" s="4" t="s">
        <v>59</v>
      </c>
      <c r="M1640" s="6">
        <v>8278</v>
      </c>
      <c r="N1640" s="6">
        <v>1834</v>
      </c>
      <c r="O1640" s="4">
        <v>23</v>
      </c>
      <c r="P1640" s="5">
        <v>45598</v>
      </c>
      <c r="Q1640" s="4" t="s">
        <v>33</v>
      </c>
      <c r="R1640" s="4" t="s">
        <v>33</v>
      </c>
      <c r="S1640" s="4" t="s">
        <v>41</v>
      </c>
      <c r="T1640" s="7">
        <v>4.5136000000000003</v>
      </c>
      <c r="U1640" s="8">
        <v>131</v>
      </c>
      <c r="V1640" s="8">
        <v>2024</v>
      </c>
      <c r="W1640" s="4" t="s">
        <v>95</v>
      </c>
    </row>
    <row r="1641" spans="1:23" s="9" customFormat="1" ht="15.75" hidden="1" customHeight="1" x14ac:dyDescent="0.25">
      <c r="A1641" s="10" t="s">
        <v>4981</v>
      </c>
      <c r="B1641" s="10" t="s">
        <v>4982</v>
      </c>
      <c r="C1641" s="10" t="s">
        <v>4983</v>
      </c>
      <c r="D1641" s="21" t="s">
        <v>6086</v>
      </c>
      <c r="E1641" s="10" t="s">
        <v>51</v>
      </c>
      <c r="F1641" s="10" t="s">
        <v>65</v>
      </c>
      <c r="G1641" s="10" t="s">
        <v>5</v>
      </c>
      <c r="H1641" s="10" t="s">
        <v>39</v>
      </c>
      <c r="I1641" s="11">
        <v>45167</v>
      </c>
      <c r="J1641" s="10" t="s">
        <v>40</v>
      </c>
      <c r="K1641" s="11">
        <v>45306</v>
      </c>
      <c r="L1641" s="10" t="s">
        <v>59</v>
      </c>
      <c r="M1641" s="12">
        <v>74445</v>
      </c>
      <c r="N1641" s="12">
        <v>1712</v>
      </c>
      <c r="O1641" s="10">
        <v>38</v>
      </c>
      <c r="P1641" s="11">
        <v>45344</v>
      </c>
      <c r="Q1641" s="10" t="s">
        <v>33</v>
      </c>
      <c r="R1641" s="10" t="s">
        <v>33</v>
      </c>
      <c r="S1641" s="10" t="s">
        <v>41</v>
      </c>
      <c r="T1641" s="13">
        <v>43.484200000000001</v>
      </c>
      <c r="U1641" s="14">
        <v>139</v>
      </c>
      <c r="V1641" s="14">
        <v>2024</v>
      </c>
      <c r="W1641" s="10" t="s">
        <v>73</v>
      </c>
    </row>
    <row r="1642" spans="1:23" s="9" customFormat="1" ht="15.75" hidden="1" customHeight="1" x14ac:dyDescent="0.25">
      <c r="A1642" s="4" t="s">
        <v>4984</v>
      </c>
      <c r="B1642" s="4" t="s">
        <v>4985</v>
      </c>
      <c r="C1642" s="4" t="s">
        <v>4986</v>
      </c>
      <c r="D1642" s="21" t="s">
        <v>6088</v>
      </c>
      <c r="E1642" s="4" t="s">
        <v>87</v>
      </c>
      <c r="F1642" s="21" t="s">
        <v>6092</v>
      </c>
      <c r="G1642" s="4" t="s">
        <v>28</v>
      </c>
      <c r="H1642" s="4" t="s">
        <v>93</v>
      </c>
      <c r="I1642" s="5">
        <v>45357</v>
      </c>
      <c r="J1642" s="4" t="s">
        <v>40</v>
      </c>
      <c r="K1642" s="5">
        <v>45440</v>
      </c>
      <c r="L1642" s="4" t="s">
        <v>59</v>
      </c>
      <c r="M1642" s="6">
        <v>33082</v>
      </c>
      <c r="N1642" s="6">
        <v>8233</v>
      </c>
      <c r="O1642" s="4">
        <v>26</v>
      </c>
      <c r="P1642" s="5">
        <v>45466</v>
      </c>
      <c r="Q1642" s="4" t="s">
        <v>33</v>
      </c>
      <c r="R1642" s="4" t="s">
        <v>33</v>
      </c>
      <c r="S1642" s="4" t="s">
        <v>41</v>
      </c>
      <c r="T1642" s="7">
        <v>4.0182000000000002</v>
      </c>
      <c r="U1642" s="8">
        <v>83</v>
      </c>
      <c r="V1642" s="8">
        <v>2024</v>
      </c>
      <c r="W1642" s="4" t="s">
        <v>52</v>
      </c>
    </row>
    <row r="1643" spans="1:23" s="9" customFormat="1" ht="15.75" hidden="1" customHeight="1" x14ac:dyDescent="0.25">
      <c r="A1643" s="10" t="s">
        <v>4987</v>
      </c>
      <c r="B1643" s="10" t="s">
        <v>4988</v>
      </c>
      <c r="C1643" s="10" t="s">
        <v>4989</v>
      </c>
      <c r="D1643" s="22" t="s">
        <v>6090</v>
      </c>
      <c r="E1643" s="10" t="s">
        <v>87</v>
      </c>
      <c r="F1643" s="10" t="s">
        <v>71</v>
      </c>
      <c r="G1643" s="10" t="s">
        <v>57</v>
      </c>
      <c r="H1643" s="10" t="s">
        <v>39</v>
      </c>
      <c r="I1643" s="11">
        <v>45392</v>
      </c>
      <c r="J1643" s="10" t="s">
        <v>40</v>
      </c>
      <c r="K1643" s="11">
        <v>45533</v>
      </c>
      <c r="L1643" s="10" t="s">
        <v>66</v>
      </c>
      <c r="M1643" s="12">
        <v>4291</v>
      </c>
      <c r="N1643" s="12">
        <v>8037</v>
      </c>
      <c r="O1643" s="10" t="s">
        <v>32</v>
      </c>
      <c r="P1643" s="10" t="s">
        <v>32</v>
      </c>
      <c r="Q1643" s="10" t="s">
        <v>33</v>
      </c>
      <c r="R1643" s="10" t="s">
        <v>33</v>
      </c>
      <c r="S1643" s="10" t="s">
        <v>60</v>
      </c>
      <c r="T1643" s="13">
        <v>0.53390000000000004</v>
      </c>
      <c r="U1643" s="14">
        <v>141</v>
      </c>
      <c r="V1643" s="14">
        <v>2024</v>
      </c>
      <c r="W1643" s="10" t="s">
        <v>114</v>
      </c>
    </row>
    <row r="1644" spans="1:23" s="9" customFormat="1" ht="15.75" hidden="1" customHeight="1" x14ac:dyDescent="0.25">
      <c r="A1644" s="4" t="s">
        <v>4990</v>
      </c>
      <c r="B1644" s="4" t="s">
        <v>4991</v>
      </c>
      <c r="C1644" s="4" t="s">
        <v>4992</v>
      </c>
      <c r="D1644" s="21" t="s">
        <v>6086</v>
      </c>
      <c r="E1644" s="4" t="s">
        <v>26</v>
      </c>
      <c r="F1644" s="4" t="s">
        <v>71</v>
      </c>
      <c r="G1644" s="4" t="s">
        <v>57</v>
      </c>
      <c r="H1644" s="4" t="s">
        <v>161</v>
      </c>
      <c r="I1644" s="5">
        <v>45231</v>
      </c>
      <c r="J1644" s="4" t="s">
        <v>30</v>
      </c>
      <c r="K1644" s="5">
        <v>45402</v>
      </c>
      <c r="L1644" s="4" t="s">
        <v>59</v>
      </c>
      <c r="M1644" s="6">
        <v>54399</v>
      </c>
      <c r="N1644" s="6">
        <v>8264</v>
      </c>
      <c r="O1644" s="4">
        <v>16</v>
      </c>
      <c r="P1644" s="5">
        <v>45418</v>
      </c>
      <c r="Q1644" s="4" t="s">
        <v>33</v>
      </c>
      <c r="R1644" s="4" t="s">
        <v>33</v>
      </c>
      <c r="S1644" s="4" t="s">
        <v>60</v>
      </c>
      <c r="T1644" s="7">
        <v>6.5826000000000002</v>
      </c>
      <c r="U1644" s="8">
        <v>171</v>
      </c>
      <c r="V1644" s="8">
        <v>2024</v>
      </c>
      <c r="W1644" s="4" t="s">
        <v>47</v>
      </c>
    </row>
    <row r="1645" spans="1:23" s="9" customFormat="1" ht="15.75" hidden="1" customHeight="1" x14ac:dyDescent="0.25">
      <c r="A1645" s="10" t="s">
        <v>4993</v>
      </c>
      <c r="B1645" s="10" t="s">
        <v>4994</v>
      </c>
      <c r="C1645" s="10" t="s">
        <v>4995</v>
      </c>
      <c r="D1645" s="21" t="s">
        <v>6088</v>
      </c>
      <c r="E1645" s="10" t="s">
        <v>87</v>
      </c>
      <c r="F1645" s="10" t="s">
        <v>27</v>
      </c>
      <c r="G1645" s="10" t="s">
        <v>28</v>
      </c>
      <c r="H1645" s="10" t="s">
        <v>118</v>
      </c>
      <c r="I1645" s="11">
        <v>45420</v>
      </c>
      <c r="J1645" s="10" t="s">
        <v>40</v>
      </c>
      <c r="K1645" s="11">
        <v>45565</v>
      </c>
      <c r="L1645" s="10" t="s">
        <v>59</v>
      </c>
      <c r="M1645" s="12">
        <v>28193</v>
      </c>
      <c r="N1645" s="12">
        <v>4863</v>
      </c>
      <c r="O1645" s="10">
        <v>7</v>
      </c>
      <c r="P1645" s="11">
        <v>45572</v>
      </c>
      <c r="Q1645" s="10" t="s">
        <v>33</v>
      </c>
      <c r="R1645" s="10" t="s">
        <v>33</v>
      </c>
      <c r="S1645" s="10" t="s">
        <v>41</v>
      </c>
      <c r="T1645" s="13">
        <v>5.7975000000000003</v>
      </c>
      <c r="U1645" s="14">
        <v>145</v>
      </c>
      <c r="V1645" s="14">
        <v>2024</v>
      </c>
      <c r="W1645" s="10" t="s">
        <v>168</v>
      </c>
    </row>
    <row r="1646" spans="1:23" s="9" customFormat="1" ht="15.75" hidden="1" customHeight="1" x14ac:dyDescent="0.25">
      <c r="A1646" s="4" t="s">
        <v>4996</v>
      </c>
      <c r="B1646" s="4" t="s">
        <v>4997</v>
      </c>
      <c r="C1646" s="4" t="s">
        <v>4998</v>
      </c>
      <c r="D1646" s="22" t="s">
        <v>6087</v>
      </c>
      <c r="E1646" s="4" t="s">
        <v>26</v>
      </c>
      <c r="F1646" s="4" t="s">
        <v>56</v>
      </c>
      <c r="G1646" s="4" t="s">
        <v>28</v>
      </c>
      <c r="H1646" s="4" t="s">
        <v>161</v>
      </c>
      <c r="I1646" s="5">
        <v>45354</v>
      </c>
      <c r="J1646" s="4" t="s">
        <v>30</v>
      </c>
      <c r="K1646" s="5">
        <v>45405</v>
      </c>
      <c r="L1646" s="4" t="s">
        <v>59</v>
      </c>
      <c r="M1646" s="6">
        <v>31998</v>
      </c>
      <c r="N1646" s="6">
        <v>3336</v>
      </c>
      <c r="O1646" s="4">
        <v>40</v>
      </c>
      <c r="P1646" s="5">
        <v>45445</v>
      </c>
      <c r="Q1646" s="4" t="s">
        <v>94</v>
      </c>
      <c r="R1646" s="4" t="s">
        <v>94</v>
      </c>
      <c r="S1646" s="4" t="s">
        <v>60</v>
      </c>
      <c r="T1646" s="7">
        <v>9.5916999999999994</v>
      </c>
      <c r="U1646" s="8">
        <v>51</v>
      </c>
      <c r="V1646" s="8">
        <v>2024</v>
      </c>
      <c r="W1646" s="4" t="s">
        <v>47</v>
      </c>
    </row>
    <row r="1647" spans="1:23" s="9" customFormat="1" ht="15.75" hidden="1" customHeight="1" x14ac:dyDescent="0.25">
      <c r="A1647" s="10" t="s">
        <v>4999</v>
      </c>
      <c r="B1647" s="10" t="s">
        <v>5000</v>
      </c>
      <c r="C1647" s="10" t="s">
        <v>5001</v>
      </c>
      <c r="D1647" s="22" t="s">
        <v>6090</v>
      </c>
      <c r="E1647" s="10" t="s">
        <v>87</v>
      </c>
      <c r="F1647" s="10" t="s">
        <v>65</v>
      </c>
      <c r="G1647" s="10" t="s">
        <v>28</v>
      </c>
      <c r="H1647" s="10" t="s">
        <v>88</v>
      </c>
      <c r="I1647" s="11">
        <v>45275</v>
      </c>
      <c r="J1647" s="10" t="s">
        <v>30</v>
      </c>
      <c r="K1647" s="11">
        <v>45637</v>
      </c>
      <c r="L1647" s="10" t="s">
        <v>59</v>
      </c>
      <c r="M1647" s="12">
        <v>18509</v>
      </c>
      <c r="N1647" s="12">
        <v>629</v>
      </c>
      <c r="O1647" s="10">
        <v>8</v>
      </c>
      <c r="P1647" s="11">
        <v>45645</v>
      </c>
      <c r="Q1647" s="10" t="s">
        <v>33</v>
      </c>
      <c r="R1647" s="10" t="s">
        <v>33</v>
      </c>
      <c r="S1647" s="10" t="s">
        <v>41</v>
      </c>
      <c r="T1647" s="13">
        <v>29.426100000000002</v>
      </c>
      <c r="U1647" s="14">
        <v>362</v>
      </c>
      <c r="V1647" s="14">
        <v>2024</v>
      </c>
      <c r="W1647" s="10" t="s">
        <v>89</v>
      </c>
    </row>
    <row r="1648" spans="1:23" s="9" customFormat="1" ht="15.75" hidden="1" customHeight="1" x14ac:dyDescent="0.25">
      <c r="A1648" s="4" t="s">
        <v>5002</v>
      </c>
      <c r="B1648" s="4" t="s">
        <v>5003</v>
      </c>
      <c r="C1648" s="4" t="s">
        <v>5004</v>
      </c>
      <c r="D1648" s="21" t="s">
        <v>6089</v>
      </c>
      <c r="E1648" s="4" t="s">
        <v>51</v>
      </c>
      <c r="F1648" s="4" t="s">
        <v>65</v>
      </c>
      <c r="G1648" s="4" t="s">
        <v>57</v>
      </c>
      <c r="H1648" s="4" t="s">
        <v>93</v>
      </c>
      <c r="I1648" s="5">
        <v>45413</v>
      </c>
      <c r="J1648" s="4" t="s">
        <v>40</v>
      </c>
      <c r="K1648" s="5">
        <v>45476</v>
      </c>
      <c r="L1648" s="4" t="s">
        <v>59</v>
      </c>
      <c r="M1648" s="6">
        <v>39482</v>
      </c>
      <c r="N1648" s="6">
        <v>6295</v>
      </c>
      <c r="O1648" s="4">
        <v>5</v>
      </c>
      <c r="P1648" s="5">
        <v>45481</v>
      </c>
      <c r="Q1648" s="4" t="s">
        <v>33</v>
      </c>
      <c r="R1648" s="4" t="s">
        <v>33</v>
      </c>
      <c r="S1648" s="4" t="s">
        <v>34</v>
      </c>
      <c r="T1648" s="7">
        <v>6.2720000000000002</v>
      </c>
      <c r="U1648" s="8">
        <v>63</v>
      </c>
      <c r="V1648" s="8">
        <v>2024</v>
      </c>
      <c r="W1648" s="4" t="s">
        <v>42</v>
      </c>
    </row>
    <row r="1649" spans="1:23" s="9" customFormat="1" ht="15.75" hidden="1" customHeight="1" x14ac:dyDescent="0.25">
      <c r="A1649" s="10" t="s">
        <v>5005</v>
      </c>
      <c r="B1649" s="10" t="s">
        <v>5006</v>
      </c>
      <c r="C1649" s="10" t="s">
        <v>5007</v>
      </c>
      <c r="D1649" s="21" t="s">
        <v>6088</v>
      </c>
      <c r="E1649" s="10" t="s">
        <v>51</v>
      </c>
      <c r="F1649" s="10" t="s">
        <v>27</v>
      </c>
      <c r="G1649" s="10" t="s">
        <v>28</v>
      </c>
      <c r="H1649" s="10" t="s">
        <v>118</v>
      </c>
      <c r="I1649" s="11">
        <v>45246</v>
      </c>
      <c r="J1649" s="10" t="s">
        <v>40</v>
      </c>
      <c r="K1649" s="11">
        <v>45456</v>
      </c>
      <c r="L1649" s="10" t="s">
        <v>59</v>
      </c>
      <c r="M1649" s="12">
        <v>45857</v>
      </c>
      <c r="N1649" s="12">
        <v>1502</v>
      </c>
      <c r="O1649" s="10">
        <v>43</v>
      </c>
      <c r="P1649" s="11">
        <v>45499</v>
      </c>
      <c r="Q1649" s="10" t="s">
        <v>33</v>
      </c>
      <c r="R1649" s="10" t="s">
        <v>33</v>
      </c>
      <c r="S1649" s="10" t="s">
        <v>34</v>
      </c>
      <c r="T1649" s="13">
        <v>30.5306</v>
      </c>
      <c r="U1649" s="14">
        <v>210</v>
      </c>
      <c r="V1649" s="14">
        <v>2024</v>
      </c>
      <c r="W1649" s="10" t="s">
        <v>67</v>
      </c>
    </row>
    <row r="1650" spans="1:23" s="9" customFormat="1" ht="15.75" hidden="1" customHeight="1" x14ac:dyDescent="0.25">
      <c r="A1650" s="4" t="s">
        <v>5008</v>
      </c>
      <c r="B1650" s="4" t="s">
        <v>5009</v>
      </c>
      <c r="C1650" s="4" t="s">
        <v>5010</v>
      </c>
      <c r="D1650" s="21" t="s">
        <v>6086</v>
      </c>
      <c r="E1650" s="4" t="s">
        <v>26</v>
      </c>
      <c r="F1650" s="4" t="s">
        <v>56</v>
      </c>
      <c r="G1650" s="4" t="s">
        <v>5</v>
      </c>
      <c r="H1650" s="4" t="s">
        <v>58</v>
      </c>
      <c r="I1650" s="5">
        <v>45203</v>
      </c>
      <c r="J1650" s="4" t="s">
        <v>40</v>
      </c>
      <c r="K1650" s="5">
        <v>45416</v>
      </c>
      <c r="L1650" s="4" t="s">
        <v>31</v>
      </c>
      <c r="M1650" s="6">
        <v>33895</v>
      </c>
      <c r="N1650" s="6">
        <v>4765</v>
      </c>
      <c r="O1650" s="4" t="s">
        <v>32</v>
      </c>
      <c r="P1650" s="4" t="s">
        <v>32</v>
      </c>
      <c r="Q1650" s="4" t="s">
        <v>33</v>
      </c>
      <c r="R1650" s="4" t="s">
        <v>33</v>
      </c>
      <c r="S1650" s="4" t="s">
        <v>60</v>
      </c>
      <c r="T1650" s="7">
        <v>7.1132999999999997</v>
      </c>
      <c r="U1650" s="8">
        <v>213</v>
      </c>
      <c r="V1650" s="8">
        <v>2024</v>
      </c>
      <c r="W1650" s="4" t="s">
        <v>52</v>
      </c>
    </row>
    <row r="1651" spans="1:23" s="9" customFormat="1" ht="15.75" hidden="1" customHeight="1" x14ac:dyDescent="0.25">
      <c r="A1651" s="10" t="s">
        <v>5011</v>
      </c>
      <c r="B1651" s="10" t="s">
        <v>5012</v>
      </c>
      <c r="C1651" s="10" t="s">
        <v>5013</v>
      </c>
      <c r="D1651" s="22" t="s">
        <v>6087</v>
      </c>
      <c r="E1651" s="10" t="s">
        <v>51</v>
      </c>
      <c r="F1651" s="10" t="s">
        <v>56</v>
      </c>
      <c r="G1651" s="10" t="s">
        <v>5</v>
      </c>
      <c r="H1651" s="10" t="s">
        <v>39</v>
      </c>
      <c r="I1651" s="11">
        <v>44968</v>
      </c>
      <c r="J1651" s="10" t="s">
        <v>30</v>
      </c>
      <c r="K1651" s="11">
        <v>45331</v>
      </c>
      <c r="L1651" s="10" t="s">
        <v>59</v>
      </c>
      <c r="M1651" s="12">
        <v>7391</v>
      </c>
      <c r="N1651" s="12">
        <v>4532</v>
      </c>
      <c r="O1651" s="10">
        <v>4</v>
      </c>
      <c r="P1651" s="11">
        <v>45335</v>
      </c>
      <c r="Q1651" s="10" t="s">
        <v>33</v>
      </c>
      <c r="R1651" s="10" t="s">
        <v>33</v>
      </c>
      <c r="S1651" s="10" t="s">
        <v>34</v>
      </c>
      <c r="T1651" s="13">
        <v>1.6308</v>
      </c>
      <c r="U1651" s="14">
        <v>363</v>
      </c>
      <c r="V1651" s="14">
        <v>2024</v>
      </c>
      <c r="W1651" s="10" t="s">
        <v>35</v>
      </c>
    </row>
    <row r="1652" spans="1:23" s="9" customFormat="1" ht="15.75" hidden="1" customHeight="1" x14ac:dyDescent="0.25">
      <c r="A1652" s="4" t="s">
        <v>5014</v>
      </c>
      <c r="B1652" s="4" t="s">
        <v>5015</v>
      </c>
      <c r="C1652" s="4" t="s">
        <v>5016</v>
      </c>
      <c r="D1652" s="21" t="s">
        <v>6086</v>
      </c>
      <c r="E1652" s="4" t="s">
        <v>87</v>
      </c>
      <c r="F1652" s="4" t="s">
        <v>27</v>
      </c>
      <c r="G1652" s="4" t="s">
        <v>57</v>
      </c>
      <c r="H1652" s="4" t="s">
        <v>58</v>
      </c>
      <c r="I1652" s="5">
        <v>45301</v>
      </c>
      <c r="J1652" s="4" t="s">
        <v>40</v>
      </c>
      <c r="K1652" s="5">
        <v>45569</v>
      </c>
      <c r="L1652" s="4" t="s">
        <v>31</v>
      </c>
      <c r="M1652" s="6">
        <v>52355</v>
      </c>
      <c r="N1652" s="6">
        <v>8826</v>
      </c>
      <c r="O1652" s="4" t="s">
        <v>32</v>
      </c>
      <c r="P1652" s="4" t="s">
        <v>32</v>
      </c>
      <c r="Q1652" s="4" t="s">
        <v>94</v>
      </c>
      <c r="R1652" s="4" t="s">
        <v>94</v>
      </c>
      <c r="S1652" s="4" t="s">
        <v>60</v>
      </c>
      <c r="T1652" s="7">
        <v>5.9318999999999997</v>
      </c>
      <c r="U1652" s="8">
        <v>268</v>
      </c>
      <c r="V1652" s="8">
        <v>2024</v>
      </c>
      <c r="W1652" s="4" t="s">
        <v>95</v>
      </c>
    </row>
    <row r="1653" spans="1:23" s="9" customFormat="1" ht="15.75" hidden="1" customHeight="1" x14ac:dyDescent="0.25">
      <c r="A1653" s="10" t="s">
        <v>5017</v>
      </c>
      <c r="B1653" s="10" t="s">
        <v>5018</v>
      </c>
      <c r="C1653" s="10" t="s">
        <v>5019</v>
      </c>
      <c r="D1653" s="22" t="s">
        <v>6087</v>
      </c>
      <c r="E1653" s="10" t="s">
        <v>51</v>
      </c>
      <c r="F1653" s="10" t="s">
        <v>56</v>
      </c>
      <c r="G1653" s="10" t="s">
        <v>5</v>
      </c>
      <c r="H1653" s="10" t="s">
        <v>118</v>
      </c>
      <c r="I1653" s="11">
        <v>45132</v>
      </c>
      <c r="J1653" s="10" t="s">
        <v>30</v>
      </c>
      <c r="K1653" s="11">
        <v>45479</v>
      </c>
      <c r="L1653" s="10" t="s">
        <v>59</v>
      </c>
      <c r="M1653" s="12">
        <v>8563</v>
      </c>
      <c r="N1653" s="12">
        <v>1007</v>
      </c>
      <c r="O1653" s="10">
        <v>4</v>
      </c>
      <c r="P1653" s="11">
        <v>45483</v>
      </c>
      <c r="Q1653" s="10" t="s">
        <v>33</v>
      </c>
      <c r="R1653" s="10" t="s">
        <v>33</v>
      </c>
      <c r="S1653" s="10" t="s">
        <v>34</v>
      </c>
      <c r="T1653" s="13">
        <v>8.5035000000000007</v>
      </c>
      <c r="U1653" s="14">
        <v>347</v>
      </c>
      <c r="V1653" s="14">
        <v>2024</v>
      </c>
      <c r="W1653" s="10" t="s">
        <v>42</v>
      </c>
    </row>
    <row r="1654" spans="1:23" s="9" customFormat="1" ht="15.75" hidden="1" customHeight="1" x14ac:dyDescent="0.25">
      <c r="A1654" s="4" t="s">
        <v>5020</v>
      </c>
      <c r="B1654" s="4" t="s">
        <v>5021</v>
      </c>
      <c r="C1654" s="4" t="s">
        <v>5022</v>
      </c>
      <c r="D1654" s="22" t="s">
        <v>6090</v>
      </c>
      <c r="E1654" s="4" t="s">
        <v>51</v>
      </c>
      <c r="F1654" s="4" t="s">
        <v>56</v>
      </c>
      <c r="G1654" s="4" t="s">
        <v>5</v>
      </c>
      <c r="H1654" s="4" t="s">
        <v>72</v>
      </c>
      <c r="I1654" s="5">
        <v>45200</v>
      </c>
      <c r="J1654" s="4" t="s">
        <v>30</v>
      </c>
      <c r="K1654" s="5">
        <v>45536</v>
      </c>
      <c r="L1654" s="4" t="s">
        <v>59</v>
      </c>
      <c r="M1654" s="6">
        <v>33757</v>
      </c>
      <c r="N1654" s="6">
        <v>4501</v>
      </c>
      <c r="O1654" s="4">
        <v>14</v>
      </c>
      <c r="P1654" s="5">
        <v>45550</v>
      </c>
      <c r="Q1654" s="4" t="s">
        <v>33</v>
      </c>
      <c r="R1654" s="4" t="s">
        <v>33</v>
      </c>
      <c r="S1654" s="4" t="s">
        <v>41</v>
      </c>
      <c r="T1654" s="7">
        <v>7.4999000000000002</v>
      </c>
      <c r="U1654" s="8">
        <v>336</v>
      </c>
      <c r="V1654" s="8">
        <v>2024</v>
      </c>
      <c r="W1654" s="4" t="s">
        <v>168</v>
      </c>
    </row>
    <row r="1655" spans="1:23" s="9" customFormat="1" ht="15.75" hidden="1" customHeight="1" x14ac:dyDescent="0.25">
      <c r="A1655" s="10" t="s">
        <v>5023</v>
      </c>
      <c r="B1655" s="10" t="s">
        <v>5024</v>
      </c>
      <c r="C1655" s="10" t="s">
        <v>5025</v>
      </c>
      <c r="D1655" s="21" t="s">
        <v>6089</v>
      </c>
      <c r="E1655" s="10" t="s">
        <v>87</v>
      </c>
      <c r="F1655" s="10" t="s">
        <v>71</v>
      </c>
      <c r="G1655" s="10" t="s">
        <v>57</v>
      </c>
      <c r="H1655" s="10" t="s">
        <v>88</v>
      </c>
      <c r="I1655" s="11">
        <v>45090</v>
      </c>
      <c r="J1655" s="10" t="s">
        <v>30</v>
      </c>
      <c r="K1655" s="11">
        <v>45434</v>
      </c>
      <c r="L1655" s="10" t="s">
        <v>59</v>
      </c>
      <c r="M1655" s="12">
        <v>22619</v>
      </c>
      <c r="N1655" s="12">
        <v>1107</v>
      </c>
      <c r="O1655" s="10">
        <v>29</v>
      </c>
      <c r="P1655" s="11">
        <v>45463</v>
      </c>
      <c r="Q1655" s="10" t="s">
        <v>33</v>
      </c>
      <c r="R1655" s="10" t="s">
        <v>33</v>
      </c>
      <c r="S1655" s="10" t="s">
        <v>60</v>
      </c>
      <c r="T1655" s="13">
        <v>20.432700000000001</v>
      </c>
      <c r="U1655" s="14">
        <v>344</v>
      </c>
      <c r="V1655" s="14">
        <v>2024</v>
      </c>
      <c r="W1655" s="10" t="s">
        <v>52</v>
      </c>
    </row>
    <row r="1656" spans="1:23" s="9" customFormat="1" ht="15.75" hidden="1" customHeight="1" x14ac:dyDescent="0.25">
      <c r="A1656" s="4" t="s">
        <v>5026</v>
      </c>
      <c r="B1656" s="4" t="s">
        <v>5027</v>
      </c>
      <c r="C1656" s="4" t="s">
        <v>5028</v>
      </c>
      <c r="D1656" s="22" t="s">
        <v>6090</v>
      </c>
      <c r="E1656" s="4" t="s">
        <v>51</v>
      </c>
      <c r="F1656" s="4" t="s">
        <v>65</v>
      </c>
      <c r="G1656" s="4" t="s">
        <v>57</v>
      </c>
      <c r="H1656" s="4" t="s">
        <v>93</v>
      </c>
      <c r="I1656" s="5">
        <v>45064</v>
      </c>
      <c r="J1656" s="4" t="s">
        <v>40</v>
      </c>
      <c r="K1656" s="5">
        <v>45363</v>
      </c>
      <c r="L1656" s="4" t="s">
        <v>31</v>
      </c>
      <c r="M1656" s="6">
        <v>8011</v>
      </c>
      <c r="N1656" s="6">
        <v>1676</v>
      </c>
      <c r="O1656" s="4" t="s">
        <v>32</v>
      </c>
      <c r="P1656" s="4" t="s">
        <v>32</v>
      </c>
      <c r="Q1656" s="4" t="s">
        <v>33</v>
      </c>
      <c r="R1656" s="4" t="s">
        <v>33</v>
      </c>
      <c r="S1656" s="4" t="s">
        <v>41</v>
      </c>
      <c r="T1656" s="7">
        <v>4.7797999999999998</v>
      </c>
      <c r="U1656" s="8">
        <v>299</v>
      </c>
      <c r="V1656" s="8">
        <v>2024</v>
      </c>
      <c r="W1656" s="4" t="s">
        <v>77</v>
      </c>
    </row>
    <row r="1657" spans="1:23" s="9" customFormat="1" ht="15.75" hidden="1" customHeight="1" x14ac:dyDescent="0.25">
      <c r="A1657" s="10" t="s">
        <v>5029</v>
      </c>
      <c r="B1657" s="10" t="s">
        <v>5030</v>
      </c>
      <c r="C1657" s="10" t="s">
        <v>5031</v>
      </c>
      <c r="D1657" s="22" t="s">
        <v>6090</v>
      </c>
      <c r="E1657" s="10" t="s">
        <v>87</v>
      </c>
      <c r="F1657" s="10" t="s">
        <v>65</v>
      </c>
      <c r="G1657" s="10" t="s">
        <v>28</v>
      </c>
      <c r="H1657" s="10" t="s">
        <v>39</v>
      </c>
      <c r="I1657" s="11">
        <v>45185</v>
      </c>
      <c r="J1657" s="10" t="s">
        <v>30</v>
      </c>
      <c r="K1657" s="11">
        <v>45419</v>
      </c>
      <c r="L1657" s="10" t="s">
        <v>31</v>
      </c>
      <c r="M1657" s="12">
        <v>49809</v>
      </c>
      <c r="N1657" s="12">
        <v>8416</v>
      </c>
      <c r="O1657" s="10" t="s">
        <v>32</v>
      </c>
      <c r="P1657" s="10" t="s">
        <v>32</v>
      </c>
      <c r="Q1657" s="10" t="s">
        <v>33</v>
      </c>
      <c r="R1657" s="10" t="s">
        <v>33</v>
      </c>
      <c r="S1657" s="10" t="s">
        <v>60</v>
      </c>
      <c r="T1657" s="13">
        <v>5.9184000000000001</v>
      </c>
      <c r="U1657" s="14">
        <v>234</v>
      </c>
      <c r="V1657" s="14">
        <v>2024</v>
      </c>
      <c r="W1657" s="10" t="s">
        <v>52</v>
      </c>
    </row>
    <row r="1658" spans="1:23" s="9" customFormat="1" ht="15.75" hidden="1" customHeight="1" x14ac:dyDescent="0.25">
      <c r="A1658" s="4" t="s">
        <v>5032</v>
      </c>
      <c r="B1658" s="4" t="s">
        <v>5033</v>
      </c>
      <c r="C1658" s="4" t="s">
        <v>5034</v>
      </c>
      <c r="D1658" s="22" t="s">
        <v>6087</v>
      </c>
      <c r="E1658" s="4" t="s">
        <v>87</v>
      </c>
      <c r="F1658" s="4" t="s">
        <v>46</v>
      </c>
      <c r="G1658" s="4" t="s">
        <v>28</v>
      </c>
      <c r="H1658" s="4" t="s">
        <v>161</v>
      </c>
      <c r="I1658" s="5">
        <v>45326</v>
      </c>
      <c r="J1658" s="4" t="s">
        <v>40</v>
      </c>
      <c r="K1658" s="5">
        <v>45568</v>
      </c>
      <c r="L1658" s="4" t="s">
        <v>31</v>
      </c>
      <c r="M1658" s="6">
        <v>38783</v>
      </c>
      <c r="N1658" s="6">
        <v>7386</v>
      </c>
      <c r="O1658" s="4" t="s">
        <v>32</v>
      </c>
      <c r="P1658" s="4" t="s">
        <v>32</v>
      </c>
      <c r="Q1658" s="4" t="s">
        <v>33</v>
      </c>
      <c r="R1658" s="4" t="s">
        <v>33</v>
      </c>
      <c r="S1658" s="4" t="s">
        <v>34</v>
      </c>
      <c r="T1658" s="7">
        <v>5.2508999999999997</v>
      </c>
      <c r="U1658" s="8">
        <v>242</v>
      </c>
      <c r="V1658" s="8">
        <v>2024</v>
      </c>
      <c r="W1658" s="4" t="s">
        <v>95</v>
      </c>
    </row>
    <row r="1659" spans="1:23" s="9" customFormat="1" ht="15.75" hidden="1" customHeight="1" x14ac:dyDescent="0.25">
      <c r="A1659" s="10" t="s">
        <v>5035</v>
      </c>
      <c r="B1659" s="10" t="s">
        <v>5036</v>
      </c>
      <c r="C1659" s="10" t="s">
        <v>5037</v>
      </c>
      <c r="D1659" s="21" t="s">
        <v>6088</v>
      </c>
      <c r="E1659" s="10" t="s">
        <v>51</v>
      </c>
      <c r="F1659" s="10" t="s">
        <v>71</v>
      </c>
      <c r="G1659" s="10" t="s">
        <v>28</v>
      </c>
      <c r="H1659" s="10" t="s">
        <v>58</v>
      </c>
      <c r="I1659" s="11">
        <v>45290</v>
      </c>
      <c r="J1659" s="10" t="s">
        <v>40</v>
      </c>
      <c r="K1659" s="11">
        <v>45638</v>
      </c>
      <c r="L1659" s="10" t="s">
        <v>59</v>
      </c>
      <c r="M1659" s="12">
        <v>28570</v>
      </c>
      <c r="N1659" s="12">
        <v>7237</v>
      </c>
      <c r="O1659" s="10">
        <v>41</v>
      </c>
      <c r="P1659" s="11">
        <v>45679</v>
      </c>
      <c r="Q1659" s="10" t="s">
        <v>94</v>
      </c>
      <c r="R1659" s="10" t="s">
        <v>33</v>
      </c>
      <c r="S1659" s="10" t="s">
        <v>34</v>
      </c>
      <c r="T1659" s="13">
        <v>3.9478</v>
      </c>
      <c r="U1659" s="14">
        <v>348</v>
      </c>
      <c r="V1659" s="14">
        <v>2024</v>
      </c>
      <c r="W1659" s="10" t="s">
        <v>89</v>
      </c>
    </row>
    <row r="1660" spans="1:23" s="9" customFormat="1" ht="15.75" hidden="1" customHeight="1" x14ac:dyDescent="0.25">
      <c r="A1660" s="4" t="s">
        <v>5038</v>
      </c>
      <c r="B1660" s="4" t="s">
        <v>5039</v>
      </c>
      <c r="C1660" s="4" t="s">
        <v>5040</v>
      </c>
      <c r="D1660" s="22" t="s">
        <v>6087</v>
      </c>
      <c r="E1660" s="4" t="s">
        <v>26</v>
      </c>
      <c r="F1660" s="4" t="s">
        <v>56</v>
      </c>
      <c r="G1660" s="4" t="s">
        <v>28</v>
      </c>
      <c r="H1660" s="4" t="s">
        <v>118</v>
      </c>
      <c r="I1660" s="5">
        <v>45294</v>
      </c>
      <c r="J1660" s="4" t="s">
        <v>40</v>
      </c>
      <c r="K1660" s="5">
        <v>45329</v>
      </c>
      <c r="L1660" s="4" t="s">
        <v>59</v>
      </c>
      <c r="M1660" s="6">
        <v>36124</v>
      </c>
      <c r="N1660" s="6">
        <v>2768</v>
      </c>
      <c r="O1660" s="4">
        <v>9</v>
      </c>
      <c r="P1660" s="5">
        <v>45338</v>
      </c>
      <c r="Q1660" s="4" t="s">
        <v>94</v>
      </c>
      <c r="R1660" s="4" t="s">
        <v>33</v>
      </c>
      <c r="S1660" s="4" t="s">
        <v>41</v>
      </c>
      <c r="T1660" s="7">
        <v>13.050599999999999</v>
      </c>
      <c r="U1660" s="8">
        <v>35</v>
      </c>
      <c r="V1660" s="8">
        <v>2024</v>
      </c>
      <c r="W1660" s="4" t="s">
        <v>35</v>
      </c>
    </row>
    <row r="1661" spans="1:23" s="9" customFormat="1" ht="15.75" hidden="1" customHeight="1" x14ac:dyDescent="0.25">
      <c r="A1661" s="10" t="s">
        <v>5041</v>
      </c>
      <c r="B1661" s="10" t="s">
        <v>5042</v>
      </c>
      <c r="C1661" s="10" t="s">
        <v>5043</v>
      </c>
      <c r="D1661" s="22" t="s">
        <v>6087</v>
      </c>
      <c r="E1661" s="10" t="s">
        <v>51</v>
      </c>
      <c r="F1661" s="10" t="s">
        <v>65</v>
      </c>
      <c r="G1661" s="10" t="s">
        <v>28</v>
      </c>
      <c r="H1661" s="10" t="s">
        <v>72</v>
      </c>
      <c r="I1661" s="11">
        <v>45372</v>
      </c>
      <c r="J1661" s="10" t="s">
        <v>30</v>
      </c>
      <c r="K1661" s="11">
        <v>45600</v>
      </c>
      <c r="L1661" s="10" t="s">
        <v>31</v>
      </c>
      <c r="M1661" s="12">
        <v>30870</v>
      </c>
      <c r="N1661" s="12">
        <v>4710</v>
      </c>
      <c r="O1661" s="10" t="s">
        <v>32</v>
      </c>
      <c r="P1661" s="10" t="s">
        <v>32</v>
      </c>
      <c r="Q1661" s="10" t="s">
        <v>33</v>
      </c>
      <c r="R1661" s="10" t="s">
        <v>33</v>
      </c>
      <c r="S1661" s="10" t="s">
        <v>34</v>
      </c>
      <c r="T1661" s="13">
        <v>6.5541</v>
      </c>
      <c r="U1661" s="14">
        <v>228</v>
      </c>
      <c r="V1661" s="14">
        <v>2024</v>
      </c>
      <c r="W1661" s="10" t="s">
        <v>61</v>
      </c>
    </row>
    <row r="1662" spans="1:23" s="9" customFormat="1" ht="15.75" hidden="1" customHeight="1" x14ac:dyDescent="0.25">
      <c r="A1662" s="4" t="s">
        <v>5044</v>
      </c>
      <c r="B1662" s="4" t="s">
        <v>5045</v>
      </c>
      <c r="C1662" s="4" t="s">
        <v>5046</v>
      </c>
      <c r="D1662" s="22" t="s">
        <v>6090</v>
      </c>
      <c r="E1662" s="4" t="s">
        <v>51</v>
      </c>
      <c r="F1662" s="21" t="s">
        <v>6092</v>
      </c>
      <c r="G1662" s="4" t="s">
        <v>5</v>
      </c>
      <c r="H1662" s="4" t="s">
        <v>93</v>
      </c>
      <c r="I1662" s="5">
        <v>45140</v>
      </c>
      <c r="J1662" s="4" t="s">
        <v>40</v>
      </c>
      <c r="K1662" s="5">
        <v>45442</v>
      </c>
      <c r="L1662" s="4" t="s">
        <v>59</v>
      </c>
      <c r="M1662" s="6">
        <v>42578</v>
      </c>
      <c r="N1662" s="6">
        <v>5119</v>
      </c>
      <c r="O1662" s="4">
        <v>45</v>
      </c>
      <c r="P1662" s="5">
        <v>45487</v>
      </c>
      <c r="Q1662" s="4" t="s">
        <v>33</v>
      </c>
      <c r="R1662" s="4" t="s">
        <v>33</v>
      </c>
      <c r="S1662" s="4" t="s">
        <v>41</v>
      </c>
      <c r="T1662" s="7">
        <v>8.3176000000000005</v>
      </c>
      <c r="U1662" s="8">
        <v>302</v>
      </c>
      <c r="V1662" s="8">
        <v>2024</v>
      </c>
      <c r="W1662" s="4" t="s">
        <v>52</v>
      </c>
    </row>
    <row r="1663" spans="1:23" s="9" customFormat="1" ht="15.75" hidden="1" customHeight="1" x14ac:dyDescent="0.25">
      <c r="A1663" s="10" t="s">
        <v>5047</v>
      </c>
      <c r="B1663" s="10" t="s">
        <v>5048</v>
      </c>
      <c r="C1663" s="10" t="s">
        <v>5049</v>
      </c>
      <c r="D1663" s="21" t="s">
        <v>6091</v>
      </c>
      <c r="E1663" s="10" t="s">
        <v>51</v>
      </c>
      <c r="F1663" s="10" t="s">
        <v>46</v>
      </c>
      <c r="G1663" s="10" t="s">
        <v>28</v>
      </c>
      <c r="H1663" s="10" t="s">
        <v>58</v>
      </c>
      <c r="I1663" s="11">
        <v>45194</v>
      </c>
      <c r="J1663" s="10" t="s">
        <v>40</v>
      </c>
      <c r="K1663" s="11">
        <v>45492</v>
      </c>
      <c r="L1663" s="10" t="s">
        <v>59</v>
      </c>
      <c r="M1663" s="12">
        <v>16039</v>
      </c>
      <c r="N1663" s="12">
        <v>2694</v>
      </c>
      <c r="O1663" s="10">
        <v>2</v>
      </c>
      <c r="P1663" s="11">
        <v>45494</v>
      </c>
      <c r="Q1663" s="10" t="s">
        <v>94</v>
      </c>
      <c r="R1663" s="10" t="s">
        <v>94</v>
      </c>
      <c r="S1663" s="10" t="s">
        <v>41</v>
      </c>
      <c r="T1663" s="13">
        <v>5.9535999999999998</v>
      </c>
      <c r="U1663" s="14">
        <v>298</v>
      </c>
      <c r="V1663" s="14">
        <v>2024</v>
      </c>
      <c r="W1663" s="10" t="s">
        <v>42</v>
      </c>
    </row>
    <row r="1664" spans="1:23" s="9" customFormat="1" ht="15.75" hidden="1" customHeight="1" x14ac:dyDescent="0.25">
      <c r="A1664" s="4" t="s">
        <v>5050</v>
      </c>
      <c r="B1664" s="4" t="s">
        <v>5051</v>
      </c>
      <c r="C1664" s="4" t="s">
        <v>5052</v>
      </c>
      <c r="D1664" s="21" t="s">
        <v>6088</v>
      </c>
      <c r="E1664" s="4" t="s">
        <v>26</v>
      </c>
      <c r="F1664" s="4" t="s">
        <v>65</v>
      </c>
      <c r="G1664" s="4" t="s">
        <v>5</v>
      </c>
      <c r="H1664" s="4" t="s">
        <v>118</v>
      </c>
      <c r="I1664" s="5">
        <v>45336</v>
      </c>
      <c r="J1664" s="4" t="s">
        <v>30</v>
      </c>
      <c r="K1664" s="5">
        <v>45469</v>
      </c>
      <c r="L1664" s="4" t="s">
        <v>59</v>
      </c>
      <c r="M1664" s="6">
        <v>59847</v>
      </c>
      <c r="N1664" s="6">
        <v>7257</v>
      </c>
      <c r="O1664" s="4">
        <v>38</v>
      </c>
      <c r="P1664" s="5">
        <v>45507</v>
      </c>
      <c r="Q1664" s="4" t="s">
        <v>33</v>
      </c>
      <c r="R1664" s="4" t="s">
        <v>33</v>
      </c>
      <c r="S1664" s="4" t="s">
        <v>34</v>
      </c>
      <c r="T1664" s="7">
        <v>8.2468000000000004</v>
      </c>
      <c r="U1664" s="8">
        <v>133</v>
      </c>
      <c r="V1664" s="8">
        <v>2024</v>
      </c>
      <c r="W1664" s="4" t="s">
        <v>67</v>
      </c>
    </row>
    <row r="1665" spans="1:23" s="9" customFormat="1" ht="15.75" hidden="1" customHeight="1" x14ac:dyDescent="0.25">
      <c r="A1665" s="10" t="s">
        <v>5053</v>
      </c>
      <c r="B1665" s="10" t="s">
        <v>5054</v>
      </c>
      <c r="C1665" s="10" t="s">
        <v>5055</v>
      </c>
      <c r="D1665" s="22" t="s">
        <v>6090</v>
      </c>
      <c r="E1665" s="10" t="s">
        <v>51</v>
      </c>
      <c r="F1665" s="10" t="s">
        <v>65</v>
      </c>
      <c r="G1665" s="10" t="s">
        <v>28</v>
      </c>
      <c r="H1665" s="10" t="s">
        <v>88</v>
      </c>
      <c r="I1665" s="11">
        <v>45346</v>
      </c>
      <c r="J1665" s="10" t="s">
        <v>40</v>
      </c>
      <c r="K1665" s="11">
        <v>45457</v>
      </c>
      <c r="L1665" s="10" t="s">
        <v>59</v>
      </c>
      <c r="M1665" s="12">
        <v>7744</v>
      </c>
      <c r="N1665" s="12">
        <v>1270</v>
      </c>
      <c r="O1665" s="10">
        <v>2</v>
      </c>
      <c r="P1665" s="11">
        <v>45459</v>
      </c>
      <c r="Q1665" s="10" t="s">
        <v>33</v>
      </c>
      <c r="R1665" s="10" t="s">
        <v>33</v>
      </c>
      <c r="S1665" s="10" t="s">
        <v>60</v>
      </c>
      <c r="T1665" s="13">
        <v>6.0975999999999999</v>
      </c>
      <c r="U1665" s="14">
        <v>111</v>
      </c>
      <c r="V1665" s="14">
        <v>2024</v>
      </c>
      <c r="W1665" s="10" t="s">
        <v>67</v>
      </c>
    </row>
    <row r="1666" spans="1:23" s="9" customFormat="1" ht="15.75" hidden="1" customHeight="1" x14ac:dyDescent="0.25">
      <c r="A1666" s="4" t="s">
        <v>5056</v>
      </c>
      <c r="B1666" s="4" t="s">
        <v>5057</v>
      </c>
      <c r="C1666" s="4" t="s">
        <v>5058</v>
      </c>
      <c r="D1666" s="22" t="s">
        <v>6090</v>
      </c>
      <c r="E1666" s="4" t="s">
        <v>26</v>
      </c>
      <c r="F1666" s="4" t="s">
        <v>56</v>
      </c>
      <c r="G1666" s="4" t="s">
        <v>28</v>
      </c>
      <c r="H1666" s="4" t="s">
        <v>39</v>
      </c>
      <c r="I1666" s="5">
        <v>45359</v>
      </c>
      <c r="J1666" s="4" t="s">
        <v>40</v>
      </c>
      <c r="K1666" s="5">
        <v>45403</v>
      </c>
      <c r="L1666" s="4" t="s">
        <v>31</v>
      </c>
      <c r="M1666" s="6">
        <v>26394</v>
      </c>
      <c r="N1666" s="6">
        <v>4286</v>
      </c>
      <c r="O1666" s="4" t="s">
        <v>32</v>
      </c>
      <c r="P1666" s="4" t="s">
        <v>32</v>
      </c>
      <c r="Q1666" s="4" t="s">
        <v>33</v>
      </c>
      <c r="R1666" s="4" t="s">
        <v>33</v>
      </c>
      <c r="S1666" s="4" t="s">
        <v>34</v>
      </c>
      <c r="T1666" s="7">
        <v>6.1581999999999999</v>
      </c>
      <c r="U1666" s="8">
        <v>44</v>
      </c>
      <c r="V1666" s="8">
        <v>2024</v>
      </c>
      <c r="W1666" s="4" t="s">
        <v>47</v>
      </c>
    </row>
    <row r="1667" spans="1:23" s="9" customFormat="1" ht="15.75" hidden="1" customHeight="1" x14ac:dyDescent="0.25">
      <c r="A1667" s="10" t="s">
        <v>5059</v>
      </c>
      <c r="B1667" s="10" t="s">
        <v>5060</v>
      </c>
      <c r="C1667" s="10" t="s">
        <v>5061</v>
      </c>
      <c r="D1667" s="21" t="s">
        <v>6091</v>
      </c>
      <c r="E1667" s="10" t="s">
        <v>51</v>
      </c>
      <c r="F1667" s="10" t="s">
        <v>56</v>
      </c>
      <c r="G1667" s="10" t="s">
        <v>57</v>
      </c>
      <c r="H1667" s="10" t="s">
        <v>118</v>
      </c>
      <c r="I1667" s="11">
        <v>45405</v>
      </c>
      <c r="J1667" s="10" t="s">
        <v>40</v>
      </c>
      <c r="K1667" s="11">
        <v>45585</v>
      </c>
      <c r="L1667" s="10" t="s">
        <v>59</v>
      </c>
      <c r="M1667" s="12">
        <v>12781</v>
      </c>
      <c r="N1667" s="12">
        <v>2550</v>
      </c>
      <c r="O1667" s="10">
        <v>29</v>
      </c>
      <c r="P1667" s="11">
        <v>45614</v>
      </c>
      <c r="Q1667" s="10" t="s">
        <v>94</v>
      </c>
      <c r="R1667" s="10" t="s">
        <v>94</v>
      </c>
      <c r="S1667" s="10" t="s">
        <v>41</v>
      </c>
      <c r="T1667" s="13">
        <v>5.0122</v>
      </c>
      <c r="U1667" s="14">
        <v>180</v>
      </c>
      <c r="V1667" s="14">
        <v>2024</v>
      </c>
      <c r="W1667" s="10" t="s">
        <v>95</v>
      </c>
    </row>
    <row r="1668" spans="1:23" s="9" customFormat="1" ht="15.75" hidden="1" customHeight="1" x14ac:dyDescent="0.25">
      <c r="A1668" s="4" t="s">
        <v>5062</v>
      </c>
      <c r="B1668" s="4" t="s">
        <v>5063</v>
      </c>
      <c r="C1668" s="4" t="s">
        <v>5064</v>
      </c>
      <c r="D1668" s="21" t="s">
        <v>6091</v>
      </c>
      <c r="E1668" s="4" t="s">
        <v>87</v>
      </c>
      <c r="F1668" s="21" t="s">
        <v>6092</v>
      </c>
      <c r="G1668" s="4" t="s">
        <v>57</v>
      </c>
      <c r="H1668" s="4" t="s">
        <v>161</v>
      </c>
      <c r="I1668" s="5">
        <v>45205</v>
      </c>
      <c r="J1668" s="4" t="s">
        <v>40</v>
      </c>
      <c r="K1668" s="5">
        <v>45312</v>
      </c>
      <c r="L1668" s="4" t="s">
        <v>59</v>
      </c>
      <c r="M1668" s="6">
        <v>18267</v>
      </c>
      <c r="N1668" s="6">
        <v>2168</v>
      </c>
      <c r="O1668" s="4">
        <v>34</v>
      </c>
      <c r="P1668" s="5">
        <v>45346</v>
      </c>
      <c r="Q1668" s="4" t="s">
        <v>33</v>
      </c>
      <c r="R1668" s="4" t="s">
        <v>33</v>
      </c>
      <c r="S1668" s="4" t="s">
        <v>34</v>
      </c>
      <c r="T1668" s="7">
        <v>8.4257000000000009</v>
      </c>
      <c r="U1668" s="8">
        <v>107</v>
      </c>
      <c r="V1668" s="8">
        <v>2024</v>
      </c>
      <c r="W1668" s="4" t="s">
        <v>73</v>
      </c>
    </row>
    <row r="1669" spans="1:23" s="9" customFormat="1" ht="15.75" hidden="1" customHeight="1" x14ac:dyDescent="0.25">
      <c r="A1669" s="10" t="s">
        <v>5065</v>
      </c>
      <c r="B1669" s="10" t="s">
        <v>5066</v>
      </c>
      <c r="C1669" s="10" t="s">
        <v>5067</v>
      </c>
      <c r="D1669" s="21" t="s">
        <v>6088</v>
      </c>
      <c r="E1669" s="10" t="s">
        <v>87</v>
      </c>
      <c r="F1669" s="10" t="s">
        <v>46</v>
      </c>
      <c r="G1669" s="10" t="s">
        <v>28</v>
      </c>
      <c r="H1669" s="10" t="s">
        <v>118</v>
      </c>
      <c r="I1669" s="11">
        <v>45458</v>
      </c>
      <c r="J1669" s="10" t="s">
        <v>30</v>
      </c>
      <c r="K1669" s="11">
        <v>45570</v>
      </c>
      <c r="L1669" s="10" t="s">
        <v>59</v>
      </c>
      <c r="M1669" s="12">
        <v>69474</v>
      </c>
      <c r="N1669" s="12">
        <v>7464</v>
      </c>
      <c r="O1669" s="10">
        <v>20</v>
      </c>
      <c r="P1669" s="11">
        <v>45590</v>
      </c>
      <c r="Q1669" s="10" t="s">
        <v>33</v>
      </c>
      <c r="R1669" s="10" t="s">
        <v>33</v>
      </c>
      <c r="S1669" s="10" t="s">
        <v>34</v>
      </c>
      <c r="T1669" s="13">
        <v>9.3079000000000001</v>
      </c>
      <c r="U1669" s="14">
        <v>112</v>
      </c>
      <c r="V1669" s="14">
        <v>2024</v>
      </c>
      <c r="W1669" s="10" t="s">
        <v>95</v>
      </c>
    </row>
    <row r="1670" spans="1:23" s="9" customFormat="1" ht="15.75" hidden="1" customHeight="1" x14ac:dyDescent="0.25">
      <c r="A1670" s="4" t="s">
        <v>5068</v>
      </c>
      <c r="B1670" s="4" t="s">
        <v>5069</v>
      </c>
      <c r="C1670" s="4" t="s">
        <v>5070</v>
      </c>
      <c r="D1670" s="22" t="s">
        <v>6090</v>
      </c>
      <c r="E1670" s="4" t="s">
        <v>51</v>
      </c>
      <c r="F1670" s="21" t="s">
        <v>6092</v>
      </c>
      <c r="G1670" s="4" t="s">
        <v>28</v>
      </c>
      <c r="H1670" s="4" t="s">
        <v>39</v>
      </c>
      <c r="I1670" s="5">
        <v>45062</v>
      </c>
      <c r="J1670" s="4" t="s">
        <v>40</v>
      </c>
      <c r="K1670" s="5">
        <v>45324</v>
      </c>
      <c r="L1670" s="4" t="s">
        <v>31</v>
      </c>
      <c r="M1670" s="6">
        <v>55993</v>
      </c>
      <c r="N1670" s="6">
        <v>7482</v>
      </c>
      <c r="O1670" s="4" t="s">
        <v>32</v>
      </c>
      <c r="P1670" s="4" t="s">
        <v>32</v>
      </c>
      <c r="Q1670" s="4" t="s">
        <v>33</v>
      </c>
      <c r="R1670" s="4" t="s">
        <v>33</v>
      </c>
      <c r="S1670" s="4" t="s">
        <v>41</v>
      </c>
      <c r="T1670" s="7">
        <v>7.4836999999999998</v>
      </c>
      <c r="U1670" s="8">
        <v>262</v>
      </c>
      <c r="V1670" s="8">
        <v>2024</v>
      </c>
      <c r="W1670" s="4" t="s">
        <v>35</v>
      </c>
    </row>
    <row r="1671" spans="1:23" s="9" customFormat="1" ht="15.75" hidden="1" customHeight="1" x14ac:dyDescent="0.25">
      <c r="A1671" s="10" t="s">
        <v>5071</v>
      </c>
      <c r="B1671" s="10" t="s">
        <v>5072</v>
      </c>
      <c r="C1671" s="10" t="s">
        <v>5073</v>
      </c>
      <c r="D1671" s="22" t="s">
        <v>6090</v>
      </c>
      <c r="E1671" s="10" t="s">
        <v>26</v>
      </c>
      <c r="F1671" s="10" t="s">
        <v>71</v>
      </c>
      <c r="G1671" s="10" t="s">
        <v>57</v>
      </c>
      <c r="H1671" s="10" t="s">
        <v>118</v>
      </c>
      <c r="I1671" s="11">
        <v>45085</v>
      </c>
      <c r="J1671" s="10" t="s">
        <v>30</v>
      </c>
      <c r="K1671" s="11">
        <v>45351</v>
      </c>
      <c r="L1671" s="10" t="s">
        <v>66</v>
      </c>
      <c r="M1671" s="12">
        <v>42691</v>
      </c>
      <c r="N1671" s="12">
        <v>5755</v>
      </c>
      <c r="O1671" s="10" t="s">
        <v>32</v>
      </c>
      <c r="P1671" s="10" t="s">
        <v>32</v>
      </c>
      <c r="Q1671" s="10" t="s">
        <v>33</v>
      </c>
      <c r="R1671" s="10" t="s">
        <v>33</v>
      </c>
      <c r="S1671" s="10" t="s">
        <v>34</v>
      </c>
      <c r="T1671" s="13">
        <v>7.4180999999999999</v>
      </c>
      <c r="U1671" s="14">
        <v>266</v>
      </c>
      <c r="V1671" s="14">
        <v>2024</v>
      </c>
      <c r="W1671" s="10" t="s">
        <v>35</v>
      </c>
    </row>
    <row r="1672" spans="1:23" s="9" customFormat="1" ht="15.75" hidden="1" customHeight="1" x14ac:dyDescent="0.25">
      <c r="A1672" s="4" t="s">
        <v>5074</v>
      </c>
      <c r="B1672" s="4" t="s">
        <v>5075</v>
      </c>
      <c r="C1672" s="4" t="s">
        <v>5076</v>
      </c>
      <c r="D1672" s="21" t="s">
        <v>6091</v>
      </c>
      <c r="E1672" s="4" t="s">
        <v>51</v>
      </c>
      <c r="F1672" s="4" t="s">
        <v>56</v>
      </c>
      <c r="G1672" s="4" t="s">
        <v>5</v>
      </c>
      <c r="H1672" s="4" t="s">
        <v>118</v>
      </c>
      <c r="I1672" s="5">
        <v>45243</v>
      </c>
      <c r="J1672" s="4" t="s">
        <v>40</v>
      </c>
      <c r="K1672" s="5">
        <v>45375</v>
      </c>
      <c r="L1672" s="4" t="s">
        <v>59</v>
      </c>
      <c r="M1672" s="6">
        <v>16585</v>
      </c>
      <c r="N1672" s="6">
        <v>2202</v>
      </c>
      <c r="O1672" s="4">
        <v>14</v>
      </c>
      <c r="P1672" s="5">
        <v>45389</v>
      </c>
      <c r="Q1672" s="4" t="s">
        <v>94</v>
      </c>
      <c r="R1672" s="4" t="s">
        <v>33</v>
      </c>
      <c r="S1672" s="4" t="s">
        <v>34</v>
      </c>
      <c r="T1672" s="7">
        <v>7.5317999999999996</v>
      </c>
      <c r="U1672" s="8">
        <v>132</v>
      </c>
      <c r="V1672" s="8">
        <v>2024</v>
      </c>
      <c r="W1672" s="4" t="s">
        <v>77</v>
      </c>
    </row>
    <row r="1673" spans="1:23" s="9" customFormat="1" ht="15.75" hidden="1" customHeight="1" x14ac:dyDescent="0.25">
      <c r="A1673" s="10" t="s">
        <v>5077</v>
      </c>
      <c r="B1673" s="10" t="s">
        <v>5078</v>
      </c>
      <c r="C1673" s="10" t="s">
        <v>5079</v>
      </c>
      <c r="D1673" s="22" t="s">
        <v>6090</v>
      </c>
      <c r="E1673" s="10" t="s">
        <v>51</v>
      </c>
      <c r="F1673" s="10" t="s">
        <v>65</v>
      </c>
      <c r="G1673" s="10" t="s">
        <v>57</v>
      </c>
      <c r="H1673" s="10" t="s">
        <v>29</v>
      </c>
      <c r="I1673" s="11">
        <v>45450</v>
      </c>
      <c r="J1673" s="10" t="s">
        <v>40</v>
      </c>
      <c r="K1673" s="11">
        <v>45572</v>
      </c>
      <c r="L1673" s="10" t="s">
        <v>59</v>
      </c>
      <c r="M1673" s="12">
        <v>53510</v>
      </c>
      <c r="N1673" s="12">
        <v>1806</v>
      </c>
      <c r="O1673" s="10">
        <v>26</v>
      </c>
      <c r="P1673" s="11">
        <v>45598</v>
      </c>
      <c r="Q1673" s="10" t="s">
        <v>94</v>
      </c>
      <c r="R1673" s="10" t="s">
        <v>33</v>
      </c>
      <c r="S1673" s="10" t="s">
        <v>34</v>
      </c>
      <c r="T1673" s="13">
        <v>29.629000000000001</v>
      </c>
      <c r="U1673" s="14">
        <v>122</v>
      </c>
      <c r="V1673" s="14">
        <v>2024</v>
      </c>
      <c r="W1673" s="10" t="s">
        <v>95</v>
      </c>
    </row>
    <row r="1674" spans="1:23" s="9" customFormat="1" ht="15.75" hidden="1" customHeight="1" x14ac:dyDescent="0.25">
      <c r="A1674" s="4" t="s">
        <v>5080</v>
      </c>
      <c r="B1674" s="4" t="s">
        <v>5081</v>
      </c>
      <c r="C1674" s="4" t="s">
        <v>5082</v>
      </c>
      <c r="D1674" s="22" t="s">
        <v>6087</v>
      </c>
      <c r="E1674" s="4" t="s">
        <v>26</v>
      </c>
      <c r="F1674" s="4" t="s">
        <v>46</v>
      </c>
      <c r="G1674" s="4" t="s">
        <v>28</v>
      </c>
      <c r="H1674" s="4" t="s">
        <v>72</v>
      </c>
      <c r="I1674" s="5">
        <v>45469</v>
      </c>
      <c r="J1674" s="4" t="s">
        <v>30</v>
      </c>
      <c r="K1674" s="5">
        <v>45511</v>
      </c>
      <c r="L1674" s="4" t="s">
        <v>31</v>
      </c>
      <c r="M1674" s="6">
        <v>39606</v>
      </c>
      <c r="N1674" s="6">
        <v>1508</v>
      </c>
      <c r="O1674" s="4" t="s">
        <v>32</v>
      </c>
      <c r="P1674" s="4" t="s">
        <v>32</v>
      </c>
      <c r="Q1674" s="4" t="s">
        <v>33</v>
      </c>
      <c r="R1674" s="4" t="s">
        <v>33</v>
      </c>
      <c r="S1674" s="4" t="s">
        <v>41</v>
      </c>
      <c r="T1674" s="7">
        <v>26.2639</v>
      </c>
      <c r="U1674" s="8">
        <v>42</v>
      </c>
      <c r="V1674" s="8">
        <v>2024</v>
      </c>
      <c r="W1674" s="4" t="s">
        <v>114</v>
      </c>
    </row>
    <row r="1675" spans="1:23" s="9" customFormat="1" ht="15.75" hidden="1" customHeight="1" x14ac:dyDescent="0.25">
      <c r="A1675" s="10" t="s">
        <v>5083</v>
      </c>
      <c r="B1675" s="10" t="s">
        <v>5084</v>
      </c>
      <c r="C1675" s="10" t="s">
        <v>5085</v>
      </c>
      <c r="D1675" s="21" t="s">
        <v>6089</v>
      </c>
      <c r="E1675" s="10" t="s">
        <v>87</v>
      </c>
      <c r="F1675" s="10" t="s">
        <v>65</v>
      </c>
      <c r="G1675" s="10" t="s">
        <v>57</v>
      </c>
      <c r="H1675" s="10" t="s">
        <v>118</v>
      </c>
      <c r="I1675" s="11">
        <v>44987</v>
      </c>
      <c r="J1675" s="10" t="s">
        <v>40</v>
      </c>
      <c r="K1675" s="11">
        <v>45310</v>
      </c>
      <c r="L1675" s="10" t="s">
        <v>59</v>
      </c>
      <c r="M1675" s="12">
        <v>40533</v>
      </c>
      <c r="N1675" s="12">
        <v>1861</v>
      </c>
      <c r="O1675" s="10">
        <v>11</v>
      </c>
      <c r="P1675" s="11">
        <v>45321</v>
      </c>
      <c r="Q1675" s="10" t="s">
        <v>94</v>
      </c>
      <c r="R1675" s="10" t="s">
        <v>33</v>
      </c>
      <c r="S1675" s="10" t="s">
        <v>60</v>
      </c>
      <c r="T1675" s="13">
        <v>21.780200000000001</v>
      </c>
      <c r="U1675" s="14">
        <v>323</v>
      </c>
      <c r="V1675" s="14">
        <v>2024</v>
      </c>
      <c r="W1675" s="10" t="s">
        <v>73</v>
      </c>
    </row>
    <row r="1676" spans="1:23" s="9" customFormat="1" ht="15.75" hidden="1" customHeight="1" x14ac:dyDescent="0.25">
      <c r="A1676" s="4" t="s">
        <v>5086</v>
      </c>
      <c r="B1676" s="4" t="s">
        <v>5087</v>
      </c>
      <c r="C1676" s="4" t="s">
        <v>5088</v>
      </c>
      <c r="D1676" s="22" t="s">
        <v>6087</v>
      </c>
      <c r="E1676" s="4" t="s">
        <v>26</v>
      </c>
      <c r="F1676" s="4" t="s">
        <v>56</v>
      </c>
      <c r="G1676" s="4" t="s">
        <v>5</v>
      </c>
      <c r="H1676" s="4" t="s">
        <v>93</v>
      </c>
      <c r="I1676" s="5">
        <v>45330</v>
      </c>
      <c r="J1676" s="4" t="s">
        <v>40</v>
      </c>
      <c r="K1676" s="5">
        <v>45655</v>
      </c>
      <c r="L1676" s="4" t="s">
        <v>66</v>
      </c>
      <c r="M1676" s="6">
        <v>8060</v>
      </c>
      <c r="N1676" s="6">
        <v>4320</v>
      </c>
      <c r="O1676" s="4" t="s">
        <v>32</v>
      </c>
      <c r="P1676" s="4" t="s">
        <v>32</v>
      </c>
      <c r="Q1676" s="4" t="s">
        <v>33</v>
      </c>
      <c r="R1676" s="4" t="s">
        <v>33</v>
      </c>
      <c r="S1676" s="4" t="s">
        <v>34</v>
      </c>
      <c r="T1676" s="7">
        <v>1.8656999999999999</v>
      </c>
      <c r="U1676" s="8">
        <v>325</v>
      </c>
      <c r="V1676" s="8">
        <v>2024</v>
      </c>
      <c r="W1676" s="4" t="s">
        <v>89</v>
      </c>
    </row>
    <row r="1677" spans="1:23" s="9" customFormat="1" ht="15.75" hidden="1" customHeight="1" x14ac:dyDescent="0.25">
      <c r="A1677" s="10" t="s">
        <v>5089</v>
      </c>
      <c r="B1677" s="10" t="s">
        <v>5090</v>
      </c>
      <c r="C1677" s="10" t="s">
        <v>5091</v>
      </c>
      <c r="D1677" s="22" t="s">
        <v>6090</v>
      </c>
      <c r="E1677" s="10" t="s">
        <v>26</v>
      </c>
      <c r="F1677" s="21" t="s">
        <v>6092</v>
      </c>
      <c r="G1677" s="10" t="s">
        <v>28</v>
      </c>
      <c r="H1677" s="10" t="s">
        <v>72</v>
      </c>
      <c r="I1677" s="11">
        <v>45398</v>
      </c>
      <c r="J1677" s="10" t="s">
        <v>30</v>
      </c>
      <c r="K1677" s="11">
        <v>45485</v>
      </c>
      <c r="L1677" s="10" t="s">
        <v>66</v>
      </c>
      <c r="M1677" s="12">
        <v>6254</v>
      </c>
      <c r="N1677" s="12">
        <v>2510</v>
      </c>
      <c r="O1677" s="10" t="s">
        <v>32</v>
      </c>
      <c r="P1677" s="10" t="s">
        <v>32</v>
      </c>
      <c r="Q1677" s="10" t="s">
        <v>33</v>
      </c>
      <c r="R1677" s="10" t="s">
        <v>33</v>
      </c>
      <c r="S1677" s="10" t="s">
        <v>41</v>
      </c>
      <c r="T1677" s="13">
        <v>2.4916</v>
      </c>
      <c r="U1677" s="14">
        <v>87</v>
      </c>
      <c r="V1677" s="14">
        <v>2024</v>
      </c>
      <c r="W1677" s="10" t="s">
        <v>42</v>
      </c>
    </row>
    <row r="1678" spans="1:23" s="9" customFormat="1" ht="15.75" hidden="1" customHeight="1" x14ac:dyDescent="0.25">
      <c r="A1678" s="4" t="s">
        <v>5092</v>
      </c>
      <c r="B1678" s="4" t="s">
        <v>5093</v>
      </c>
      <c r="C1678" s="4" t="s">
        <v>5094</v>
      </c>
      <c r="D1678" s="21" t="s">
        <v>6091</v>
      </c>
      <c r="E1678" s="4" t="s">
        <v>87</v>
      </c>
      <c r="F1678" s="4" t="s">
        <v>56</v>
      </c>
      <c r="G1678" s="4" t="s">
        <v>28</v>
      </c>
      <c r="H1678" s="4" t="s">
        <v>161</v>
      </c>
      <c r="I1678" s="5">
        <v>45389</v>
      </c>
      <c r="J1678" s="4" t="s">
        <v>30</v>
      </c>
      <c r="K1678" s="5">
        <v>45526</v>
      </c>
      <c r="L1678" s="4" t="s">
        <v>59</v>
      </c>
      <c r="M1678" s="6">
        <v>7685</v>
      </c>
      <c r="N1678" s="6">
        <v>6077</v>
      </c>
      <c r="O1678" s="4">
        <v>15</v>
      </c>
      <c r="P1678" s="5">
        <v>45541</v>
      </c>
      <c r="Q1678" s="4" t="s">
        <v>33</v>
      </c>
      <c r="R1678" s="4" t="s">
        <v>33</v>
      </c>
      <c r="S1678" s="4" t="s">
        <v>34</v>
      </c>
      <c r="T1678" s="7">
        <v>1.2645999999999999</v>
      </c>
      <c r="U1678" s="8">
        <v>137</v>
      </c>
      <c r="V1678" s="8">
        <v>2024</v>
      </c>
      <c r="W1678" s="4" t="s">
        <v>114</v>
      </c>
    </row>
    <row r="1679" spans="1:23" s="9" customFormat="1" ht="15.75" hidden="1" customHeight="1" x14ac:dyDescent="0.25">
      <c r="A1679" s="10" t="s">
        <v>5095</v>
      </c>
      <c r="B1679" s="10" t="s">
        <v>5096</v>
      </c>
      <c r="C1679" s="10" t="s">
        <v>5097</v>
      </c>
      <c r="D1679" s="22" t="s">
        <v>6087</v>
      </c>
      <c r="E1679" s="10" t="s">
        <v>26</v>
      </c>
      <c r="F1679" s="10" t="s">
        <v>71</v>
      </c>
      <c r="G1679" s="10" t="s">
        <v>28</v>
      </c>
      <c r="H1679" s="10" t="s">
        <v>88</v>
      </c>
      <c r="I1679" s="11">
        <v>45196</v>
      </c>
      <c r="J1679" s="10" t="s">
        <v>30</v>
      </c>
      <c r="K1679" s="11">
        <v>45371</v>
      </c>
      <c r="L1679" s="10" t="s">
        <v>59</v>
      </c>
      <c r="M1679" s="12">
        <v>37768</v>
      </c>
      <c r="N1679" s="12">
        <v>8722</v>
      </c>
      <c r="O1679" s="10">
        <v>22</v>
      </c>
      <c r="P1679" s="11">
        <v>45393</v>
      </c>
      <c r="Q1679" s="10" t="s">
        <v>33</v>
      </c>
      <c r="R1679" s="10" t="s">
        <v>33</v>
      </c>
      <c r="S1679" s="10" t="s">
        <v>34</v>
      </c>
      <c r="T1679" s="13">
        <v>4.3301999999999996</v>
      </c>
      <c r="U1679" s="14">
        <v>175</v>
      </c>
      <c r="V1679" s="14">
        <v>2024</v>
      </c>
      <c r="W1679" s="10" t="s">
        <v>77</v>
      </c>
    </row>
    <row r="1680" spans="1:23" s="9" customFormat="1" ht="15.75" hidden="1" customHeight="1" x14ac:dyDescent="0.25">
      <c r="A1680" s="4" t="s">
        <v>5098</v>
      </c>
      <c r="B1680" s="4" t="s">
        <v>5099</v>
      </c>
      <c r="C1680" s="4" t="s">
        <v>5100</v>
      </c>
      <c r="D1680" s="21" t="s">
        <v>6089</v>
      </c>
      <c r="E1680" s="4" t="s">
        <v>26</v>
      </c>
      <c r="F1680" s="4" t="s">
        <v>27</v>
      </c>
      <c r="G1680" s="4" t="s">
        <v>57</v>
      </c>
      <c r="H1680" s="4" t="s">
        <v>88</v>
      </c>
      <c r="I1680" s="5">
        <v>45344</v>
      </c>
      <c r="J1680" s="4" t="s">
        <v>30</v>
      </c>
      <c r="K1680" s="5">
        <v>45507</v>
      </c>
      <c r="L1680" s="4" t="s">
        <v>59</v>
      </c>
      <c r="M1680" s="6">
        <v>60671</v>
      </c>
      <c r="N1680" s="6">
        <v>4632</v>
      </c>
      <c r="O1680" s="4">
        <v>2</v>
      </c>
      <c r="P1680" s="5">
        <v>45509</v>
      </c>
      <c r="Q1680" s="4" t="s">
        <v>33</v>
      </c>
      <c r="R1680" s="4" t="s">
        <v>33</v>
      </c>
      <c r="S1680" s="4" t="s">
        <v>60</v>
      </c>
      <c r="T1680" s="7">
        <v>13.0982</v>
      </c>
      <c r="U1680" s="8">
        <v>163</v>
      </c>
      <c r="V1680" s="8">
        <v>2024</v>
      </c>
      <c r="W1680" s="4" t="s">
        <v>114</v>
      </c>
    </row>
    <row r="1681" spans="1:23" s="9" customFormat="1" ht="15.75" hidden="1" customHeight="1" x14ac:dyDescent="0.25">
      <c r="A1681" s="10" t="s">
        <v>5101</v>
      </c>
      <c r="B1681" s="10" t="s">
        <v>5102</v>
      </c>
      <c r="C1681" s="10" t="s">
        <v>5103</v>
      </c>
      <c r="D1681" s="21" t="s">
        <v>6086</v>
      </c>
      <c r="E1681" s="10" t="s">
        <v>87</v>
      </c>
      <c r="F1681" s="10" t="s">
        <v>71</v>
      </c>
      <c r="G1681" s="10" t="s">
        <v>5</v>
      </c>
      <c r="H1681" s="10" t="s">
        <v>161</v>
      </c>
      <c r="I1681" s="11">
        <v>45313</v>
      </c>
      <c r="J1681" s="10" t="s">
        <v>40</v>
      </c>
      <c r="K1681" s="11">
        <v>45529</v>
      </c>
      <c r="L1681" s="10" t="s">
        <v>31</v>
      </c>
      <c r="M1681" s="12">
        <v>69234</v>
      </c>
      <c r="N1681" s="12">
        <v>3535</v>
      </c>
      <c r="O1681" s="10" t="s">
        <v>32</v>
      </c>
      <c r="P1681" s="10" t="s">
        <v>32</v>
      </c>
      <c r="Q1681" s="10" t="s">
        <v>33</v>
      </c>
      <c r="R1681" s="10" t="s">
        <v>33</v>
      </c>
      <c r="S1681" s="10" t="s">
        <v>34</v>
      </c>
      <c r="T1681" s="13">
        <v>19.5853</v>
      </c>
      <c r="U1681" s="14">
        <v>216</v>
      </c>
      <c r="V1681" s="14">
        <v>2024</v>
      </c>
      <c r="W1681" s="10" t="s">
        <v>114</v>
      </c>
    </row>
    <row r="1682" spans="1:23" s="9" customFormat="1" ht="15.75" hidden="1" customHeight="1" x14ac:dyDescent="0.25">
      <c r="A1682" s="4" t="s">
        <v>5104</v>
      </c>
      <c r="B1682" s="4" t="s">
        <v>5105</v>
      </c>
      <c r="C1682" s="4" t="s">
        <v>5106</v>
      </c>
      <c r="D1682" s="21" t="s">
        <v>6091</v>
      </c>
      <c r="E1682" s="4" t="s">
        <v>51</v>
      </c>
      <c r="F1682" s="4" t="s">
        <v>46</v>
      </c>
      <c r="G1682" s="4" t="s">
        <v>28</v>
      </c>
      <c r="H1682" s="4" t="s">
        <v>88</v>
      </c>
      <c r="I1682" s="5">
        <v>45355</v>
      </c>
      <c r="J1682" s="4" t="s">
        <v>40</v>
      </c>
      <c r="K1682" s="5">
        <v>45484</v>
      </c>
      <c r="L1682" s="4" t="s">
        <v>59</v>
      </c>
      <c r="M1682" s="6">
        <v>11601</v>
      </c>
      <c r="N1682" s="6">
        <v>1919</v>
      </c>
      <c r="O1682" s="4">
        <v>41</v>
      </c>
      <c r="P1682" s="5">
        <v>45525</v>
      </c>
      <c r="Q1682" s="4" t="s">
        <v>33</v>
      </c>
      <c r="R1682" s="4" t="s">
        <v>33</v>
      </c>
      <c r="S1682" s="4" t="s">
        <v>34</v>
      </c>
      <c r="T1682" s="7">
        <v>6.0453000000000001</v>
      </c>
      <c r="U1682" s="8">
        <v>129</v>
      </c>
      <c r="V1682" s="8">
        <v>2024</v>
      </c>
      <c r="W1682" s="4" t="s">
        <v>42</v>
      </c>
    </row>
    <row r="1683" spans="1:23" s="9" customFormat="1" ht="15.75" hidden="1" customHeight="1" x14ac:dyDescent="0.25">
      <c r="A1683" s="10" t="s">
        <v>5107</v>
      </c>
      <c r="B1683" s="10" t="s">
        <v>5108</v>
      </c>
      <c r="C1683" s="10" t="s">
        <v>5109</v>
      </c>
      <c r="D1683" s="22" t="s">
        <v>6087</v>
      </c>
      <c r="E1683" s="10" t="s">
        <v>26</v>
      </c>
      <c r="F1683" s="10" t="s">
        <v>46</v>
      </c>
      <c r="G1683" s="10" t="s">
        <v>28</v>
      </c>
      <c r="H1683" s="10" t="s">
        <v>118</v>
      </c>
      <c r="I1683" s="11">
        <v>45231</v>
      </c>
      <c r="J1683" s="10" t="s">
        <v>30</v>
      </c>
      <c r="K1683" s="11">
        <v>45566</v>
      </c>
      <c r="L1683" s="10" t="s">
        <v>59</v>
      </c>
      <c r="M1683" s="12">
        <v>5420</v>
      </c>
      <c r="N1683" s="12">
        <v>738</v>
      </c>
      <c r="O1683" s="10">
        <v>44</v>
      </c>
      <c r="P1683" s="11">
        <v>45610</v>
      </c>
      <c r="Q1683" s="10" t="s">
        <v>33</v>
      </c>
      <c r="R1683" s="10" t="s">
        <v>33</v>
      </c>
      <c r="S1683" s="10" t="s">
        <v>41</v>
      </c>
      <c r="T1683" s="13">
        <v>7.3441999999999998</v>
      </c>
      <c r="U1683" s="14">
        <v>335</v>
      </c>
      <c r="V1683" s="14">
        <v>2024</v>
      </c>
      <c r="W1683" s="10" t="s">
        <v>95</v>
      </c>
    </row>
    <row r="1684" spans="1:23" s="9" customFormat="1" ht="15.75" hidden="1" customHeight="1" x14ac:dyDescent="0.25">
      <c r="A1684" s="4" t="s">
        <v>5110</v>
      </c>
      <c r="B1684" s="4" t="s">
        <v>5111</v>
      </c>
      <c r="C1684" s="4" t="s">
        <v>5112</v>
      </c>
      <c r="D1684" s="22" t="s">
        <v>6087</v>
      </c>
      <c r="E1684" s="4" t="s">
        <v>51</v>
      </c>
      <c r="F1684" s="4" t="s">
        <v>46</v>
      </c>
      <c r="G1684" s="4" t="s">
        <v>5</v>
      </c>
      <c r="H1684" s="4" t="s">
        <v>72</v>
      </c>
      <c r="I1684" s="5">
        <v>45327</v>
      </c>
      <c r="J1684" s="4" t="s">
        <v>30</v>
      </c>
      <c r="K1684" s="5">
        <v>45441</v>
      </c>
      <c r="L1684" s="4" t="s">
        <v>59</v>
      </c>
      <c r="M1684" s="6">
        <v>6416</v>
      </c>
      <c r="N1684" s="6">
        <v>1992</v>
      </c>
      <c r="O1684" s="4">
        <v>22</v>
      </c>
      <c r="P1684" s="5">
        <v>45463</v>
      </c>
      <c r="Q1684" s="4" t="s">
        <v>33</v>
      </c>
      <c r="R1684" s="4" t="s">
        <v>33</v>
      </c>
      <c r="S1684" s="4" t="s">
        <v>41</v>
      </c>
      <c r="T1684" s="7">
        <v>3.2208999999999999</v>
      </c>
      <c r="U1684" s="8">
        <v>114</v>
      </c>
      <c r="V1684" s="8">
        <v>2024</v>
      </c>
      <c r="W1684" s="4" t="s">
        <v>52</v>
      </c>
    </row>
    <row r="1685" spans="1:23" s="9" customFormat="1" ht="15.75" hidden="1" customHeight="1" x14ac:dyDescent="0.25">
      <c r="A1685" s="10" t="s">
        <v>5113</v>
      </c>
      <c r="B1685" s="10" t="s">
        <v>5114</v>
      </c>
      <c r="C1685" s="10" t="s">
        <v>5115</v>
      </c>
      <c r="D1685" s="21" t="s">
        <v>6091</v>
      </c>
      <c r="E1685" s="10" t="s">
        <v>51</v>
      </c>
      <c r="F1685" s="10" t="s">
        <v>27</v>
      </c>
      <c r="G1685" s="10" t="s">
        <v>57</v>
      </c>
      <c r="H1685" s="10" t="s">
        <v>118</v>
      </c>
      <c r="I1685" s="11">
        <v>45490</v>
      </c>
      <c r="J1685" s="10" t="s">
        <v>30</v>
      </c>
      <c r="K1685" s="11">
        <v>45525</v>
      </c>
      <c r="L1685" s="10" t="s">
        <v>59</v>
      </c>
      <c r="M1685" s="12">
        <v>2768</v>
      </c>
      <c r="N1685" s="12">
        <v>2909</v>
      </c>
      <c r="O1685" s="10">
        <v>27</v>
      </c>
      <c r="P1685" s="11">
        <v>45552</v>
      </c>
      <c r="Q1685" s="10" t="s">
        <v>33</v>
      </c>
      <c r="R1685" s="10" t="s">
        <v>33</v>
      </c>
      <c r="S1685" s="10" t="s">
        <v>41</v>
      </c>
      <c r="T1685" s="13">
        <v>0.95150000000000001</v>
      </c>
      <c r="U1685" s="14">
        <v>35</v>
      </c>
      <c r="V1685" s="14">
        <v>2024</v>
      </c>
      <c r="W1685" s="10" t="s">
        <v>114</v>
      </c>
    </row>
    <row r="1686" spans="1:23" s="9" customFormat="1" ht="15.75" hidden="1" customHeight="1" x14ac:dyDescent="0.25">
      <c r="A1686" s="4" t="s">
        <v>5116</v>
      </c>
      <c r="B1686" s="4" t="s">
        <v>5117</v>
      </c>
      <c r="C1686" s="4" t="s">
        <v>5118</v>
      </c>
      <c r="D1686" s="21" t="s">
        <v>6088</v>
      </c>
      <c r="E1686" s="4" t="s">
        <v>87</v>
      </c>
      <c r="F1686" s="4" t="s">
        <v>65</v>
      </c>
      <c r="G1686" s="4" t="s">
        <v>28</v>
      </c>
      <c r="H1686" s="4" t="s">
        <v>72</v>
      </c>
      <c r="I1686" s="5">
        <v>45262</v>
      </c>
      <c r="J1686" s="4" t="s">
        <v>30</v>
      </c>
      <c r="K1686" s="5">
        <v>45395</v>
      </c>
      <c r="L1686" s="4" t="s">
        <v>31</v>
      </c>
      <c r="M1686" s="6">
        <v>31031</v>
      </c>
      <c r="N1686" s="6">
        <v>6078</v>
      </c>
      <c r="O1686" s="4" t="s">
        <v>32</v>
      </c>
      <c r="P1686" s="4" t="s">
        <v>32</v>
      </c>
      <c r="Q1686" s="4" t="s">
        <v>33</v>
      </c>
      <c r="R1686" s="4" t="s">
        <v>33</v>
      </c>
      <c r="S1686" s="4" t="s">
        <v>34</v>
      </c>
      <c r="T1686" s="7">
        <v>5.1055000000000001</v>
      </c>
      <c r="U1686" s="8">
        <v>133</v>
      </c>
      <c r="V1686" s="8">
        <v>2024</v>
      </c>
      <c r="W1686" s="4" t="s">
        <v>47</v>
      </c>
    </row>
    <row r="1687" spans="1:23" s="9" customFormat="1" ht="15.75" hidden="1" customHeight="1" x14ac:dyDescent="0.25">
      <c r="A1687" s="10" t="s">
        <v>5119</v>
      </c>
      <c r="B1687" s="10" t="s">
        <v>5120</v>
      </c>
      <c r="C1687" s="10" t="s">
        <v>5121</v>
      </c>
      <c r="D1687" s="22" t="s">
        <v>6090</v>
      </c>
      <c r="E1687" s="10" t="s">
        <v>51</v>
      </c>
      <c r="F1687" s="21" t="s">
        <v>6092</v>
      </c>
      <c r="G1687" s="10" t="s">
        <v>57</v>
      </c>
      <c r="H1687" s="10" t="s">
        <v>39</v>
      </c>
      <c r="I1687" s="11">
        <v>45153</v>
      </c>
      <c r="J1687" s="10" t="s">
        <v>40</v>
      </c>
      <c r="K1687" s="11">
        <v>45473</v>
      </c>
      <c r="L1687" s="10" t="s">
        <v>59</v>
      </c>
      <c r="M1687" s="12">
        <v>36269</v>
      </c>
      <c r="N1687" s="12">
        <v>5729</v>
      </c>
      <c r="O1687" s="10">
        <v>6</v>
      </c>
      <c r="P1687" s="11">
        <v>45479</v>
      </c>
      <c r="Q1687" s="10" t="s">
        <v>33</v>
      </c>
      <c r="R1687" s="10" t="s">
        <v>33</v>
      </c>
      <c r="S1687" s="10" t="s">
        <v>41</v>
      </c>
      <c r="T1687" s="13">
        <v>6.3308</v>
      </c>
      <c r="U1687" s="14">
        <v>320</v>
      </c>
      <c r="V1687" s="14">
        <v>2024</v>
      </c>
      <c r="W1687" s="10" t="s">
        <v>67</v>
      </c>
    </row>
    <row r="1688" spans="1:23" s="9" customFormat="1" ht="15.75" hidden="1" customHeight="1" x14ac:dyDescent="0.25">
      <c r="A1688" s="4" t="s">
        <v>5122</v>
      </c>
      <c r="B1688" s="4" t="s">
        <v>5123</v>
      </c>
      <c r="C1688" s="4" t="s">
        <v>5124</v>
      </c>
      <c r="D1688" s="21" t="s">
        <v>6088</v>
      </c>
      <c r="E1688" s="4" t="s">
        <v>87</v>
      </c>
      <c r="F1688" s="4" t="s">
        <v>71</v>
      </c>
      <c r="G1688" s="4" t="s">
        <v>5</v>
      </c>
      <c r="H1688" s="4" t="s">
        <v>72</v>
      </c>
      <c r="I1688" s="5">
        <v>45375</v>
      </c>
      <c r="J1688" s="4" t="s">
        <v>40</v>
      </c>
      <c r="K1688" s="5">
        <v>45643</v>
      </c>
      <c r="L1688" s="4" t="s">
        <v>59</v>
      </c>
      <c r="M1688" s="6">
        <v>12659</v>
      </c>
      <c r="N1688" s="6">
        <v>4691</v>
      </c>
      <c r="O1688" s="4">
        <v>38</v>
      </c>
      <c r="P1688" s="5">
        <v>45681</v>
      </c>
      <c r="Q1688" s="4" t="s">
        <v>33</v>
      </c>
      <c r="R1688" s="4" t="s">
        <v>33</v>
      </c>
      <c r="S1688" s="4" t="s">
        <v>60</v>
      </c>
      <c r="T1688" s="7">
        <v>2.6985999999999999</v>
      </c>
      <c r="U1688" s="8">
        <v>268</v>
      </c>
      <c r="V1688" s="8">
        <v>2024</v>
      </c>
      <c r="W1688" s="4" t="s">
        <v>89</v>
      </c>
    </row>
    <row r="1689" spans="1:23" s="9" customFormat="1" ht="15.75" hidden="1" customHeight="1" x14ac:dyDescent="0.25">
      <c r="A1689" s="10" t="s">
        <v>5125</v>
      </c>
      <c r="B1689" s="10" t="s">
        <v>5126</v>
      </c>
      <c r="C1689" s="10" t="s">
        <v>5127</v>
      </c>
      <c r="D1689" s="22" t="s">
        <v>6087</v>
      </c>
      <c r="E1689" s="10" t="s">
        <v>87</v>
      </c>
      <c r="F1689" s="10" t="s">
        <v>27</v>
      </c>
      <c r="G1689" s="10" t="s">
        <v>28</v>
      </c>
      <c r="H1689" s="10" t="s">
        <v>161</v>
      </c>
      <c r="I1689" s="11">
        <v>45461</v>
      </c>
      <c r="J1689" s="10" t="s">
        <v>30</v>
      </c>
      <c r="K1689" s="11">
        <v>45632</v>
      </c>
      <c r="L1689" s="10" t="s">
        <v>59</v>
      </c>
      <c r="M1689" s="12">
        <v>17974</v>
      </c>
      <c r="N1689" s="12">
        <v>7628</v>
      </c>
      <c r="O1689" s="10">
        <v>8</v>
      </c>
      <c r="P1689" s="11">
        <v>45640</v>
      </c>
      <c r="Q1689" s="10" t="s">
        <v>94</v>
      </c>
      <c r="R1689" s="10" t="s">
        <v>33</v>
      </c>
      <c r="S1689" s="10" t="s">
        <v>34</v>
      </c>
      <c r="T1689" s="13">
        <v>2.3563000000000001</v>
      </c>
      <c r="U1689" s="14">
        <v>171</v>
      </c>
      <c r="V1689" s="14">
        <v>2024</v>
      </c>
      <c r="W1689" s="10" t="s">
        <v>89</v>
      </c>
    </row>
    <row r="1690" spans="1:23" s="9" customFormat="1" ht="15.75" hidden="1" customHeight="1" x14ac:dyDescent="0.25">
      <c r="A1690" s="4" t="s">
        <v>5128</v>
      </c>
      <c r="B1690" s="4" t="s">
        <v>5129</v>
      </c>
      <c r="C1690" s="4" t="s">
        <v>5130</v>
      </c>
      <c r="D1690" s="22" t="s">
        <v>6090</v>
      </c>
      <c r="E1690" s="4" t="s">
        <v>51</v>
      </c>
      <c r="F1690" s="4" t="s">
        <v>65</v>
      </c>
      <c r="G1690" s="4" t="s">
        <v>28</v>
      </c>
      <c r="H1690" s="4" t="s">
        <v>93</v>
      </c>
      <c r="I1690" s="5">
        <v>45394</v>
      </c>
      <c r="J1690" s="4" t="s">
        <v>30</v>
      </c>
      <c r="K1690" s="5">
        <v>45559</v>
      </c>
      <c r="L1690" s="4" t="s">
        <v>31</v>
      </c>
      <c r="M1690" s="6">
        <v>38672</v>
      </c>
      <c r="N1690" s="6">
        <v>5426</v>
      </c>
      <c r="O1690" s="4" t="s">
        <v>32</v>
      </c>
      <c r="P1690" s="4" t="s">
        <v>32</v>
      </c>
      <c r="Q1690" s="4" t="s">
        <v>33</v>
      </c>
      <c r="R1690" s="4" t="s">
        <v>33</v>
      </c>
      <c r="S1690" s="4" t="s">
        <v>34</v>
      </c>
      <c r="T1690" s="7">
        <v>7.1272000000000002</v>
      </c>
      <c r="U1690" s="8">
        <v>165</v>
      </c>
      <c r="V1690" s="8">
        <v>2024</v>
      </c>
      <c r="W1690" s="4" t="s">
        <v>168</v>
      </c>
    </row>
    <row r="1691" spans="1:23" s="9" customFormat="1" ht="15.75" hidden="1" customHeight="1" x14ac:dyDescent="0.25">
      <c r="A1691" s="10" t="s">
        <v>5131</v>
      </c>
      <c r="B1691" s="10" t="s">
        <v>5132</v>
      </c>
      <c r="C1691" s="10" t="s">
        <v>5133</v>
      </c>
      <c r="D1691" s="22" t="s">
        <v>6090</v>
      </c>
      <c r="E1691" s="10" t="s">
        <v>26</v>
      </c>
      <c r="F1691" s="10" t="s">
        <v>46</v>
      </c>
      <c r="G1691" s="10" t="s">
        <v>57</v>
      </c>
      <c r="H1691" s="10" t="s">
        <v>118</v>
      </c>
      <c r="I1691" s="11">
        <v>45318</v>
      </c>
      <c r="J1691" s="10" t="s">
        <v>40</v>
      </c>
      <c r="K1691" s="11">
        <v>45424</v>
      </c>
      <c r="L1691" s="10" t="s">
        <v>31</v>
      </c>
      <c r="M1691" s="12">
        <v>32482</v>
      </c>
      <c r="N1691" s="12">
        <v>7665</v>
      </c>
      <c r="O1691" s="10" t="s">
        <v>32</v>
      </c>
      <c r="P1691" s="10" t="s">
        <v>32</v>
      </c>
      <c r="Q1691" s="10" t="s">
        <v>33</v>
      </c>
      <c r="R1691" s="10" t="s">
        <v>33</v>
      </c>
      <c r="S1691" s="10" t="s">
        <v>41</v>
      </c>
      <c r="T1691" s="13">
        <v>4.2377000000000002</v>
      </c>
      <c r="U1691" s="14">
        <v>106</v>
      </c>
      <c r="V1691" s="14">
        <v>2024</v>
      </c>
      <c r="W1691" s="10" t="s">
        <v>52</v>
      </c>
    </row>
    <row r="1692" spans="1:23" s="9" customFormat="1" ht="15.75" hidden="1" customHeight="1" x14ac:dyDescent="0.25">
      <c r="A1692" s="4" t="s">
        <v>5134</v>
      </c>
      <c r="B1692" s="4" t="s">
        <v>5135</v>
      </c>
      <c r="C1692" s="4" t="s">
        <v>5136</v>
      </c>
      <c r="D1692" s="22" t="s">
        <v>6090</v>
      </c>
      <c r="E1692" s="4" t="s">
        <v>51</v>
      </c>
      <c r="F1692" s="4" t="s">
        <v>65</v>
      </c>
      <c r="G1692" s="4" t="s">
        <v>57</v>
      </c>
      <c r="H1692" s="4" t="s">
        <v>58</v>
      </c>
      <c r="I1692" s="5">
        <v>45397</v>
      </c>
      <c r="J1692" s="4" t="s">
        <v>30</v>
      </c>
      <c r="K1692" s="5">
        <v>45470</v>
      </c>
      <c r="L1692" s="4" t="s">
        <v>59</v>
      </c>
      <c r="M1692" s="6">
        <v>5636</v>
      </c>
      <c r="N1692" s="6">
        <v>6963</v>
      </c>
      <c r="O1692" s="4">
        <v>25</v>
      </c>
      <c r="P1692" s="5">
        <v>45495</v>
      </c>
      <c r="Q1692" s="4" t="s">
        <v>94</v>
      </c>
      <c r="R1692" s="4" t="s">
        <v>94</v>
      </c>
      <c r="S1692" s="4" t="s">
        <v>34</v>
      </c>
      <c r="T1692" s="7">
        <v>0.80940000000000001</v>
      </c>
      <c r="U1692" s="8">
        <v>73</v>
      </c>
      <c r="V1692" s="8">
        <v>2024</v>
      </c>
      <c r="W1692" s="4" t="s">
        <v>67</v>
      </c>
    </row>
    <row r="1693" spans="1:23" s="9" customFormat="1" ht="15.75" hidden="1" customHeight="1" x14ac:dyDescent="0.25">
      <c r="A1693" s="10" t="s">
        <v>5137</v>
      </c>
      <c r="B1693" s="10" t="s">
        <v>5138</v>
      </c>
      <c r="C1693" s="10" t="s">
        <v>5139</v>
      </c>
      <c r="D1693" s="22" t="s">
        <v>6090</v>
      </c>
      <c r="E1693" s="10" t="s">
        <v>87</v>
      </c>
      <c r="F1693" s="10" t="s">
        <v>27</v>
      </c>
      <c r="G1693" s="10" t="s">
        <v>57</v>
      </c>
      <c r="H1693" s="10" t="s">
        <v>72</v>
      </c>
      <c r="I1693" s="11">
        <v>45128</v>
      </c>
      <c r="J1693" s="10" t="s">
        <v>30</v>
      </c>
      <c r="K1693" s="11">
        <v>45467</v>
      </c>
      <c r="L1693" s="10" t="s">
        <v>59</v>
      </c>
      <c r="M1693" s="12">
        <v>10745</v>
      </c>
      <c r="N1693" s="12">
        <v>5998</v>
      </c>
      <c r="O1693" s="10">
        <v>11</v>
      </c>
      <c r="P1693" s="11">
        <v>45478</v>
      </c>
      <c r="Q1693" s="10" t="s">
        <v>94</v>
      </c>
      <c r="R1693" s="10" t="s">
        <v>94</v>
      </c>
      <c r="S1693" s="10" t="s">
        <v>34</v>
      </c>
      <c r="T1693" s="13">
        <v>1.7914000000000001</v>
      </c>
      <c r="U1693" s="14">
        <v>339</v>
      </c>
      <c r="V1693" s="14">
        <v>2024</v>
      </c>
      <c r="W1693" s="10" t="s">
        <v>67</v>
      </c>
    </row>
    <row r="1694" spans="1:23" s="9" customFormat="1" ht="15.75" hidden="1" customHeight="1" x14ac:dyDescent="0.25">
      <c r="A1694" s="4" t="s">
        <v>5140</v>
      </c>
      <c r="B1694" s="4" t="s">
        <v>5141</v>
      </c>
      <c r="C1694" s="4" t="s">
        <v>5142</v>
      </c>
      <c r="D1694" s="21" t="s">
        <v>6086</v>
      </c>
      <c r="E1694" s="4" t="s">
        <v>51</v>
      </c>
      <c r="F1694" s="4" t="s">
        <v>46</v>
      </c>
      <c r="G1694" s="4" t="s">
        <v>5</v>
      </c>
      <c r="H1694" s="4" t="s">
        <v>93</v>
      </c>
      <c r="I1694" s="5">
        <v>45463</v>
      </c>
      <c r="J1694" s="4" t="s">
        <v>30</v>
      </c>
      <c r="K1694" s="5">
        <v>45506</v>
      </c>
      <c r="L1694" s="4" t="s">
        <v>59</v>
      </c>
      <c r="M1694" s="6">
        <v>21905</v>
      </c>
      <c r="N1694" s="6">
        <v>501</v>
      </c>
      <c r="O1694" s="4">
        <v>37</v>
      </c>
      <c r="P1694" s="5">
        <v>45543</v>
      </c>
      <c r="Q1694" s="4" t="s">
        <v>33</v>
      </c>
      <c r="R1694" s="4" t="s">
        <v>33</v>
      </c>
      <c r="S1694" s="4" t="s">
        <v>34</v>
      </c>
      <c r="T1694" s="7">
        <v>43.7226</v>
      </c>
      <c r="U1694" s="8">
        <v>43</v>
      </c>
      <c r="V1694" s="8">
        <v>2024</v>
      </c>
      <c r="W1694" s="4" t="s">
        <v>114</v>
      </c>
    </row>
    <row r="1695" spans="1:23" s="9" customFormat="1" ht="15.75" hidden="1" customHeight="1" x14ac:dyDescent="0.25">
      <c r="A1695" s="10" t="s">
        <v>5143</v>
      </c>
      <c r="B1695" s="10" t="s">
        <v>5144</v>
      </c>
      <c r="C1695" s="10" t="s">
        <v>5145</v>
      </c>
      <c r="D1695" s="22" t="s">
        <v>6087</v>
      </c>
      <c r="E1695" s="10" t="s">
        <v>51</v>
      </c>
      <c r="F1695" s="10" t="s">
        <v>65</v>
      </c>
      <c r="G1695" s="10" t="s">
        <v>5</v>
      </c>
      <c r="H1695" s="10" t="s">
        <v>93</v>
      </c>
      <c r="I1695" s="11">
        <v>45181</v>
      </c>
      <c r="J1695" s="10" t="s">
        <v>40</v>
      </c>
      <c r="K1695" s="11">
        <v>45335</v>
      </c>
      <c r="L1695" s="10" t="s">
        <v>66</v>
      </c>
      <c r="M1695" s="12">
        <v>28822</v>
      </c>
      <c r="N1695" s="12">
        <v>8746</v>
      </c>
      <c r="O1695" s="10" t="s">
        <v>32</v>
      </c>
      <c r="P1695" s="10" t="s">
        <v>32</v>
      </c>
      <c r="Q1695" s="10" t="s">
        <v>33</v>
      </c>
      <c r="R1695" s="10" t="s">
        <v>33</v>
      </c>
      <c r="S1695" s="10" t="s">
        <v>60</v>
      </c>
      <c r="T1695" s="13">
        <v>3.2953999999999999</v>
      </c>
      <c r="U1695" s="14">
        <v>154</v>
      </c>
      <c r="V1695" s="14">
        <v>2024</v>
      </c>
      <c r="W1695" s="10" t="s">
        <v>35</v>
      </c>
    </row>
    <row r="1696" spans="1:23" s="9" customFormat="1" ht="15.75" hidden="1" customHeight="1" x14ac:dyDescent="0.25">
      <c r="A1696" s="4" t="s">
        <v>5146</v>
      </c>
      <c r="B1696" s="4" t="s">
        <v>5147</v>
      </c>
      <c r="C1696" s="4" t="s">
        <v>5148</v>
      </c>
      <c r="D1696" s="22" t="s">
        <v>6090</v>
      </c>
      <c r="E1696" s="4" t="s">
        <v>51</v>
      </c>
      <c r="F1696" s="4" t="s">
        <v>46</v>
      </c>
      <c r="G1696" s="4" t="s">
        <v>28</v>
      </c>
      <c r="H1696" s="4" t="s">
        <v>29</v>
      </c>
      <c r="I1696" s="5">
        <v>45100</v>
      </c>
      <c r="J1696" s="4" t="s">
        <v>40</v>
      </c>
      <c r="K1696" s="5">
        <v>45391</v>
      </c>
      <c r="L1696" s="4" t="s">
        <v>31</v>
      </c>
      <c r="M1696" s="6">
        <v>59910</v>
      </c>
      <c r="N1696" s="6">
        <v>2062</v>
      </c>
      <c r="O1696" s="4" t="s">
        <v>32</v>
      </c>
      <c r="P1696" s="4" t="s">
        <v>32</v>
      </c>
      <c r="Q1696" s="4" t="s">
        <v>33</v>
      </c>
      <c r="R1696" s="4" t="s">
        <v>33</v>
      </c>
      <c r="S1696" s="4" t="s">
        <v>41</v>
      </c>
      <c r="T1696" s="7">
        <v>29.054300000000001</v>
      </c>
      <c r="U1696" s="8">
        <v>291</v>
      </c>
      <c r="V1696" s="8">
        <v>2024</v>
      </c>
      <c r="W1696" s="4" t="s">
        <v>47</v>
      </c>
    </row>
    <row r="1697" spans="1:23" s="9" customFormat="1" ht="15.75" hidden="1" customHeight="1" x14ac:dyDescent="0.25">
      <c r="A1697" s="10" t="s">
        <v>5149</v>
      </c>
      <c r="B1697" s="10" t="s">
        <v>5150</v>
      </c>
      <c r="C1697" s="10" t="s">
        <v>5151</v>
      </c>
      <c r="D1697" s="22" t="s">
        <v>6090</v>
      </c>
      <c r="E1697" s="10" t="s">
        <v>87</v>
      </c>
      <c r="F1697" s="10" t="s">
        <v>56</v>
      </c>
      <c r="G1697" s="10" t="s">
        <v>28</v>
      </c>
      <c r="H1697" s="10" t="s">
        <v>29</v>
      </c>
      <c r="I1697" s="11">
        <v>45210</v>
      </c>
      <c r="J1697" s="10" t="s">
        <v>40</v>
      </c>
      <c r="K1697" s="11">
        <v>45384</v>
      </c>
      <c r="L1697" s="10" t="s">
        <v>59</v>
      </c>
      <c r="M1697" s="12">
        <v>39707</v>
      </c>
      <c r="N1697" s="12">
        <v>7688</v>
      </c>
      <c r="O1697" s="10">
        <v>26</v>
      </c>
      <c r="P1697" s="11">
        <v>45410</v>
      </c>
      <c r="Q1697" s="10" t="s">
        <v>33</v>
      </c>
      <c r="R1697" s="10" t="s">
        <v>33</v>
      </c>
      <c r="S1697" s="10" t="s">
        <v>34</v>
      </c>
      <c r="T1697" s="13">
        <v>5.1647999999999996</v>
      </c>
      <c r="U1697" s="14">
        <v>174</v>
      </c>
      <c r="V1697" s="14">
        <v>2024</v>
      </c>
      <c r="W1697" s="10" t="s">
        <v>47</v>
      </c>
    </row>
    <row r="1698" spans="1:23" s="9" customFormat="1" ht="15.75" hidden="1" customHeight="1" x14ac:dyDescent="0.25">
      <c r="A1698" s="4" t="s">
        <v>5152</v>
      </c>
      <c r="B1698" s="4" t="s">
        <v>5153</v>
      </c>
      <c r="C1698" s="4" t="s">
        <v>5154</v>
      </c>
      <c r="D1698" s="22" t="s">
        <v>6090</v>
      </c>
      <c r="E1698" s="4" t="s">
        <v>26</v>
      </c>
      <c r="F1698" s="4" t="s">
        <v>27</v>
      </c>
      <c r="G1698" s="4" t="s">
        <v>57</v>
      </c>
      <c r="H1698" s="4" t="s">
        <v>58</v>
      </c>
      <c r="I1698" s="5">
        <v>45328</v>
      </c>
      <c r="J1698" s="4" t="s">
        <v>40</v>
      </c>
      <c r="K1698" s="5">
        <v>45649</v>
      </c>
      <c r="L1698" s="4" t="s">
        <v>31</v>
      </c>
      <c r="M1698" s="6">
        <v>44372</v>
      </c>
      <c r="N1698" s="6">
        <v>8123</v>
      </c>
      <c r="O1698" s="4" t="s">
        <v>32</v>
      </c>
      <c r="P1698" s="4" t="s">
        <v>32</v>
      </c>
      <c r="Q1698" s="4" t="s">
        <v>33</v>
      </c>
      <c r="R1698" s="4" t="s">
        <v>33</v>
      </c>
      <c r="S1698" s="4" t="s">
        <v>41</v>
      </c>
      <c r="T1698" s="7">
        <v>5.4625000000000004</v>
      </c>
      <c r="U1698" s="8">
        <v>321</v>
      </c>
      <c r="V1698" s="8">
        <v>2024</v>
      </c>
      <c r="W1698" s="4" t="s">
        <v>89</v>
      </c>
    </row>
    <row r="1699" spans="1:23" s="9" customFormat="1" ht="15.75" hidden="1" customHeight="1" x14ac:dyDescent="0.25">
      <c r="A1699" s="10" t="s">
        <v>5155</v>
      </c>
      <c r="B1699" s="10" t="s">
        <v>5156</v>
      </c>
      <c r="C1699" s="10" t="s">
        <v>5157</v>
      </c>
      <c r="D1699" s="22" t="s">
        <v>6087</v>
      </c>
      <c r="E1699" s="10" t="s">
        <v>26</v>
      </c>
      <c r="F1699" s="21" t="s">
        <v>6092</v>
      </c>
      <c r="G1699" s="10" t="s">
        <v>57</v>
      </c>
      <c r="H1699" s="10" t="s">
        <v>58</v>
      </c>
      <c r="I1699" s="11">
        <v>45197</v>
      </c>
      <c r="J1699" s="10" t="s">
        <v>40</v>
      </c>
      <c r="K1699" s="11">
        <v>45546</v>
      </c>
      <c r="L1699" s="10" t="s">
        <v>31</v>
      </c>
      <c r="M1699" s="12">
        <v>23106</v>
      </c>
      <c r="N1699" s="12">
        <v>1313</v>
      </c>
      <c r="O1699" s="10" t="s">
        <v>32</v>
      </c>
      <c r="P1699" s="10" t="s">
        <v>32</v>
      </c>
      <c r="Q1699" s="10" t="s">
        <v>33</v>
      </c>
      <c r="R1699" s="10" t="s">
        <v>33</v>
      </c>
      <c r="S1699" s="10" t="s">
        <v>41</v>
      </c>
      <c r="T1699" s="13">
        <v>17.597899999999999</v>
      </c>
      <c r="U1699" s="14">
        <v>349</v>
      </c>
      <c r="V1699" s="14">
        <v>2024</v>
      </c>
      <c r="W1699" s="10" t="s">
        <v>168</v>
      </c>
    </row>
    <row r="1700" spans="1:23" s="9" customFormat="1" ht="15.75" hidden="1" customHeight="1" x14ac:dyDescent="0.25">
      <c r="A1700" s="4" t="s">
        <v>5158</v>
      </c>
      <c r="B1700" s="4" t="s">
        <v>5159</v>
      </c>
      <c r="C1700" s="4" t="s">
        <v>5160</v>
      </c>
      <c r="D1700" s="21" t="s">
        <v>6086</v>
      </c>
      <c r="E1700" s="4" t="s">
        <v>87</v>
      </c>
      <c r="F1700" s="21" t="s">
        <v>6092</v>
      </c>
      <c r="G1700" s="4" t="s">
        <v>57</v>
      </c>
      <c r="H1700" s="4" t="s">
        <v>88</v>
      </c>
      <c r="I1700" s="5">
        <v>45232</v>
      </c>
      <c r="J1700" s="4" t="s">
        <v>40</v>
      </c>
      <c r="K1700" s="5">
        <v>45517</v>
      </c>
      <c r="L1700" s="4" t="s">
        <v>59</v>
      </c>
      <c r="M1700" s="6">
        <v>87982</v>
      </c>
      <c r="N1700" s="6">
        <v>4172</v>
      </c>
      <c r="O1700" s="4">
        <v>3</v>
      </c>
      <c r="P1700" s="5">
        <v>45520</v>
      </c>
      <c r="Q1700" s="4" t="s">
        <v>33</v>
      </c>
      <c r="R1700" s="4" t="s">
        <v>33</v>
      </c>
      <c r="S1700" s="4" t="s">
        <v>34</v>
      </c>
      <c r="T1700" s="7">
        <v>21.088699999999999</v>
      </c>
      <c r="U1700" s="8">
        <v>285</v>
      </c>
      <c r="V1700" s="8">
        <v>2024</v>
      </c>
      <c r="W1700" s="4" t="s">
        <v>114</v>
      </c>
    </row>
    <row r="1701" spans="1:23" s="9" customFormat="1" ht="15.75" hidden="1" customHeight="1" x14ac:dyDescent="0.25">
      <c r="A1701" s="10" t="s">
        <v>5161</v>
      </c>
      <c r="B1701" s="10" t="s">
        <v>5162</v>
      </c>
      <c r="C1701" s="10" t="s">
        <v>5163</v>
      </c>
      <c r="D1701" s="22" t="s">
        <v>6087</v>
      </c>
      <c r="E1701" s="10" t="s">
        <v>87</v>
      </c>
      <c r="F1701" s="10" t="s">
        <v>65</v>
      </c>
      <c r="G1701" s="10" t="s">
        <v>57</v>
      </c>
      <c r="H1701" s="10" t="s">
        <v>58</v>
      </c>
      <c r="I1701" s="11">
        <v>45224</v>
      </c>
      <c r="J1701" s="10" t="s">
        <v>40</v>
      </c>
      <c r="K1701" s="11">
        <v>45403</v>
      </c>
      <c r="L1701" s="10" t="s">
        <v>31</v>
      </c>
      <c r="M1701" s="12">
        <v>26126</v>
      </c>
      <c r="N1701" s="12">
        <v>2145</v>
      </c>
      <c r="O1701" s="10" t="s">
        <v>32</v>
      </c>
      <c r="P1701" s="10" t="s">
        <v>32</v>
      </c>
      <c r="Q1701" s="10" t="s">
        <v>33</v>
      </c>
      <c r="R1701" s="10" t="s">
        <v>33</v>
      </c>
      <c r="S1701" s="10" t="s">
        <v>41</v>
      </c>
      <c r="T1701" s="13">
        <v>12.18</v>
      </c>
      <c r="U1701" s="14">
        <v>179</v>
      </c>
      <c r="V1701" s="14">
        <v>2024</v>
      </c>
      <c r="W1701" s="10" t="s">
        <v>47</v>
      </c>
    </row>
    <row r="1702" spans="1:23" s="9" customFormat="1" ht="15.75" hidden="1" customHeight="1" x14ac:dyDescent="0.25">
      <c r="A1702" s="4" t="s">
        <v>5164</v>
      </c>
      <c r="B1702" s="4" t="s">
        <v>5165</v>
      </c>
      <c r="C1702" s="4" t="s">
        <v>5166</v>
      </c>
      <c r="D1702" s="22" t="s">
        <v>6090</v>
      </c>
      <c r="E1702" s="4" t="s">
        <v>51</v>
      </c>
      <c r="F1702" s="21" t="s">
        <v>6092</v>
      </c>
      <c r="G1702" s="4" t="s">
        <v>5</v>
      </c>
      <c r="H1702" s="4" t="s">
        <v>72</v>
      </c>
      <c r="I1702" s="5">
        <v>45349</v>
      </c>
      <c r="J1702" s="4" t="s">
        <v>40</v>
      </c>
      <c r="K1702" s="5">
        <v>45411</v>
      </c>
      <c r="L1702" s="4" t="s">
        <v>59</v>
      </c>
      <c r="M1702" s="6">
        <v>55418</v>
      </c>
      <c r="N1702" s="6">
        <v>1829</v>
      </c>
      <c r="O1702" s="4">
        <v>4</v>
      </c>
      <c r="P1702" s="5">
        <v>45415</v>
      </c>
      <c r="Q1702" s="4" t="s">
        <v>33</v>
      </c>
      <c r="R1702" s="4" t="s">
        <v>33</v>
      </c>
      <c r="S1702" s="4" t="s">
        <v>60</v>
      </c>
      <c r="T1702" s="7">
        <v>30.299600000000002</v>
      </c>
      <c r="U1702" s="8">
        <v>62</v>
      </c>
      <c r="V1702" s="8">
        <v>2024</v>
      </c>
      <c r="W1702" s="4" t="s">
        <v>47</v>
      </c>
    </row>
    <row r="1703" spans="1:23" s="9" customFormat="1" ht="15.75" hidden="1" customHeight="1" x14ac:dyDescent="0.25">
      <c r="A1703" s="10" t="s">
        <v>5167</v>
      </c>
      <c r="B1703" s="10" t="s">
        <v>5168</v>
      </c>
      <c r="C1703" s="10" t="s">
        <v>5169</v>
      </c>
      <c r="D1703" s="22" t="s">
        <v>6090</v>
      </c>
      <c r="E1703" s="10" t="s">
        <v>51</v>
      </c>
      <c r="F1703" s="10" t="s">
        <v>27</v>
      </c>
      <c r="G1703" s="10" t="s">
        <v>28</v>
      </c>
      <c r="H1703" s="10" t="s">
        <v>29</v>
      </c>
      <c r="I1703" s="11">
        <v>45175</v>
      </c>
      <c r="J1703" s="10" t="s">
        <v>30</v>
      </c>
      <c r="K1703" s="11">
        <v>45417</v>
      </c>
      <c r="L1703" s="10" t="s">
        <v>66</v>
      </c>
      <c r="M1703" s="12">
        <v>31584</v>
      </c>
      <c r="N1703" s="12">
        <v>5436</v>
      </c>
      <c r="O1703" s="10" t="s">
        <v>32</v>
      </c>
      <c r="P1703" s="10" t="s">
        <v>32</v>
      </c>
      <c r="Q1703" s="10" t="s">
        <v>33</v>
      </c>
      <c r="R1703" s="10" t="s">
        <v>33</v>
      </c>
      <c r="S1703" s="10" t="s">
        <v>60</v>
      </c>
      <c r="T1703" s="13">
        <v>5.8102</v>
      </c>
      <c r="U1703" s="14">
        <v>242</v>
      </c>
      <c r="V1703" s="14">
        <v>2024</v>
      </c>
      <c r="W1703" s="10" t="s">
        <v>52</v>
      </c>
    </row>
    <row r="1704" spans="1:23" s="9" customFormat="1" ht="15.75" hidden="1" customHeight="1" x14ac:dyDescent="0.25">
      <c r="A1704" s="4" t="s">
        <v>5170</v>
      </c>
      <c r="B1704" s="4" t="s">
        <v>5171</v>
      </c>
      <c r="C1704" s="4" t="s">
        <v>5172</v>
      </c>
      <c r="D1704" s="21" t="s">
        <v>6089</v>
      </c>
      <c r="E1704" s="4" t="s">
        <v>87</v>
      </c>
      <c r="F1704" s="4" t="s">
        <v>65</v>
      </c>
      <c r="G1704" s="4" t="s">
        <v>5</v>
      </c>
      <c r="H1704" s="4" t="s">
        <v>93</v>
      </c>
      <c r="I1704" s="5">
        <v>45349</v>
      </c>
      <c r="J1704" s="4" t="s">
        <v>30</v>
      </c>
      <c r="K1704" s="5">
        <v>45567</v>
      </c>
      <c r="L1704" s="4" t="s">
        <v>59</v>
      </c>
      <c r="M1704" s="6">
        <v>62635</v>
      </c>
      <c r="N1704" s="6">
        <v>4138</v>
      </c>
      <c r="O1704" s="4">
        <v>44</v>
      </c>
      <c r="P1704" s="5">
        <v>45611</v>
      </c>
      <c r="Q1704" s="4" t="s">
        <v>33</v>
      </c>
      <c r="R1704" s="4" t="s">
        <v>33</v>
      </c>
      <c r="S1704" s="4" t="s">
        <v>41</v>
      </c>
      <c r="T1704" s="7">
        <v>15.1365</v>
      </c>
      <c r="U1704" s="8">
        <v>218</v>
      </c>
      <c r="V1704" s="8">
        <v>2024</v>
      </c>
      <c r="W1704" s="4" t="s">
        <v>95</v>
      </c>
    </row>
    <row r="1705" spans="1:23" s="9" customFormat="1" ht="15.75" hidden="1" customHeight="1" x14ac:dyDescent="0.25">
      <c r="A1705" s="10" t="s">
        <v>5173</v>
      </c>
      <c r="B1705" s="10" t="s">
        <v>5174</v>
      </c>
      <c r="C1705" s="10" t="s">
        <v>5175</v>
      </c>
      <c r="D1705" s="21" t="s">
        <v>6086</v>
      </c>
      <c r="E1705" s="10" t="s">
        <v>87</v>
      </c>
      <c r="F1705" s="10" t="s">
        <v>46</v>
      </c>
      <c r="G1705" s="10" t="s">
        <v>57</v>
      </c>
      <c r="H1705" s="10" t="s">
        <v>93</v>
      </c>
      <c r="I1705" s="11">
        <v>45220</v>
      </c>
      <c r="J1705" s="10" t="s">
        <v>40</v>
      </c>
      <c r="K1705" s="11">
        <v>45360</v>
      </c>
      <c r="L1705" s="10" t="s">
        <v>66</v>
      </c>
      <c r="M1705" s="12">
        <v>63053</v>
      </c>
      <c r="N1705" s="12">
        <v>5142</v>
      </c>
      <c r="O1705" s="10" t="s">
        <v>32</v>
      </c>
      <c r="P1705" s="10" t="s">
        <v>32</v>
      </c>
      <c r="Q1705" s="10" t="s">
        <v>33</v>
      </c>
      <c r="R1705" s="10" t="s">
        <v>33</v>
      </c>
      <c r="S1705" s="10" t="s">
        <v>41</v>
      </c>
      <c r="T1705" s="13">
        <v>12.2623</v>
      </c>
      <c r="U1705" s="14">
        <v>140</v>
      </c>
      <c r="V1705" s="14">
        <v>2024</v>
      </c>
      <c r="W1705" s="10" t="s">
        <v>77</v>
      </c>
    </row>
    <row r="1706" spans="1:23" s="9" customFormat="1" ht="15.75" hidden="1" customHeight="1" x14ac:dyDescent="0.25">
      <c r="A1706" s="4" t="s">
        <v>5176</v>
      </c>
      <c r="B1706" s="4" t="s">
        <v>5177</v>
      </c>
      <c r="C1706" s="4" t="s">
        <v>5178</v>
      </c>
      <c r="D1706" s="22" t="s">
        <v>6087</v>
      </c>
      <c r="E1706" s="4" t="s">
        <v>26</v>
      </c>
      <c r="F1706" s="4" t="s">
        <v>65</v>
      </c>
      <c r="G1706" s="4" t="s">
        <v>28</v>
      </c>
      <c r="H1706" s="4" t="s">
        <v>29</v>
      </c>
      <c r="I1706" s="5">
        <v>45233</v>
      </c>
      <c r="J1706" s="4" t="s">
        <v>30</v>
      </c>
      <c r="K1706" s="5">
        <v>45317</v>
      </c>
      <c r="L1706" s="4" t="s">
        <v>59</v>
      </c>
      <c r="M1706" s="6">
        <v>3003</v>
      </c>
      <c r="N1706" s="6">
        <v>5685</v>
      </c>
      <c r="O1706" s="4">
        <v>28</v>
      </c>
      <c r="P1706" s="5">
        <v>45345</v>
      </c>
      <c r="Q1706" s="4" t="s">
        <v>33</v>
      </c>
      <c r="R1706" s="4" t="s">
        <v>33</v>
      </c>
      <c r="S1706" s="4" t="s">
        <v>60</v>
      </c>
      <c r="T1706" s="7">
        <v>0.5282</v>
      </c>
      <c r="U1706" s="8">
        <v>84</v>
      </c>
      <c r="V1706" s="8">
        <v>2024</v>
      </c>
      <c r="W1706" s="4" t="s">
        <v>73</v>
      </c>
    </row>
    <row r="1707" spans="1:23" s="9" customFormat="1" ht="15.75" hidden="1" customHeight="1" x14ac:dyDescent="0.25">
      <c r="A1707" s="10" t="s">
        <v>5179</v>
      </c>
      <c r="B1707" s="10" t="s">
        <v>5180</v>
      </c>
      <c r="C1707" s="10" t="s">
        <v>5181</v>
      </c>
      <c r="D1707" s="21" t="s">
        <v>6086</v>
      </c>
      <c r="E1707" s="10" t="s">
        <v>87</v>
      </c>
      <c r="F1707" s="21" t="s">
        <v>6092</v>
      </c>
      <c r="G1707" s="10" t="s">
        <v>57</v>
      </c>
      <c r="H1707" s="10" t="s">
        <v>29</v>
      </c>
      <c r="I1707" s="11">
        <v>45457</v>
      </c>
      <c r="J1707" s="10" t="s">
        <v>30</v>
      </c>
      <c r="K1707" s="11">
        <v>45523</v>
      </c>
      <c r="L1707" s="10" t="s">
        <v>59</v>
      </c>
      <c r="M1707" s="12">
        <v>34947</v>
      </c>
      <c r="N1707" s="12">
        <v>3233</v>
      </c>
      <c r="O1707" s="10">
        <v>8</v>
      </c>
      <c r="P1707" s="11">
        <v>45531</v>
      </c>
      <c r="Q1707" s="10" t="s">
        <v>33</v>
      </c>
      <c r="R1707" s="10" t="s">
        <v>33</v>
      </c>
      <c r="S1707" s="10" t="s">
        <v>41</v>
      </c>
      <c r="T1707" s="13">
        <v>10.8095</v>
      </c>
      <c r="U1707" s="14">
        <v>66</v>
      </c>
      <c r="V1707" s="14">
        <v>2024</v>
      </c>
      <c r="W1707" s="10" t="s">
        <v>114</v>
      </c>
    </row>
    <row r="1708" spans="1:23" s="9" customFormat="1" ht="15.75" hidden="1" customHeight="1" x14ac:dyDescent="0.25">
      <c r="A1708" s="4" t="s">
        <v>5182</v>
      </c>
      <c r="B1708" s="4" t="s">
        <v>5183</v>
      </c>
      <c r="C1708" s="4" t="s">
        <v>5184</v>
      </c>
      <c r="D1708" s="22" t="s">
        <v>6090</v>
      </c>
      <c r="E1708" s="4" t="s">
        <v>26</v>
      </c>
      <c r="F1708" s="4" t="s">
        <v>71</v>
      </c>
      <c r="G1708" s="4" t="s">
        <v>57</v>
      </c>
      <c r="H1708" s="4" t="s">
        <v>93</v>
      </c>
      <c r="I1708" s="5">
        <v>45329</v>
      </c>
      <c r="J1708" s="4" t="s">
        <v>40</v>
      </c>
      <c r="K1708" s="5">
        <v>45647</v>
      </c>
      <c r="L1708" s="4" t="s">
        <v>31</v>
      </c>
      <c r="M1708" s="6">
        <v>5121</v>
      </c>
      <c r="N1708" s="6">
        <v>6602</v>
      </c>
      <c r="O1708" s="4" t="s">
        <v>32</v>
      </c>
      <c r="P1708" s="4" t="s">
        <v>32</v>
      </c>
      <c r="Q1708" s="4" t="s">
        <v>33</v>
      </c>
      <c r="R1708" s="4" t="s">
        <v>33</v>
      </c>
      <c r="S1708" s="4" t="s">
        <v>34</v>
      </c>
      <c r="T1708" s="7">
        <v>0.77569999999999995</v>
      </c>
      <c r="U1708" s="8">
        <v>318</v>
      </c>
      <c r="V1708" s="8">
        <v>2024</v>
      </c>
      <c r="W1708" s="4" t="s">
        <v>89</v>
      </c>
    </row>
    <row r="1709" spans="1:23" s="9" customFormat="1" ht="27.75" customHeight="1" x14ac:dyDescent="0.25">
      <c r="A1709" s="10" t="s">
        <v>5185</v>
      </c>
      <c r="B1709" s="10" t="s">
        <v>5186</v>
      </c>
      <c r="C1709" s="10" t="s">
        <v>5187</v>
      </c>
      <c r="D1709" s="21" t="s">
        <v>6086</v>
      </c>
      <c r="E1709" s="10" t="s">
        <v>51</v>
      </c>
      <c r="F1709" s="10" t="s">
        <v>6092</v>
      </c>
      <c r="G1709" s="10" t="s">
        <v>5</v>
      </c>
      <c r="H1709" s="10" t="s">
        <v>118</v>
      </c>
      <c r="I1709" s="11">
        <v>45009</v>
      </c>
      <c r="J1709" s="10" t="s">
        <v>40</v>
      </c>
      <c r="K1709" s="11">
        <v>45317</v>
      </c>
      <c r="L1709" s="10" t="s">
        <v>59</v>
      </c>
      <c r="M1709" s="12">
        <v>83635</v>
      </c>
      <c r="N1709" s="12">
        <v>2227</v>
      </c>
      <c r="O1709" s="10">
        <v>2</v>
      </c>
      <c r="P1709" s="11">
        <v>45319</v>
      </c>
      <c r="Q1709" s="10" t="s">
        <v>94</v>
      </c>
      <c r="R1709" s="10" t="s">
        <v>94</v>
      </c>
      <c r="S1709" s="10" t="s">
        <v>60</v>
      </c>
      <c r="T1709" s="13">
        <v>37.555</v>
      </c>
      <c r="U1709" s="14">
        <v>308</v>
      </c>
      <c r="V1709" s="14">
        <v>2024</v>
      </c>
      <c r="W1709" s="10" t="s">
        <v>73</v>
      </c>
    </row>
    <row r="1710" spans="1:23" s="9" customFormat="1" ht="15.75" hidden="1" customHeight="1" x14ac:dyDescent="0.25">
      <c r="A1710" s="4" t="s">
        <v>5188</v>
      </c>
      <c r="B1710" s="4" t="s">
        <v>5189</v>
      </c>
      <c r="C1710" s="4" t="s">
        <v>5190</v>
      </c>
      <c r="D1710" s="21" t="s">
        <v>6089</v>
      </c>
      <c r="E1710" s="4" t="s">
        <v>51</v>
      </c>
      <c r="F1710" s="4" t="s">
        <v>71</v>
      </c>
      <c r="G1710" s="4" t="s">
        <v>57</v>
      </c>
      <c r="H1710" s="4" t="s">
        <v>58</v>
      </c>
      <c r="I1710" s="5">
        <v>45168</v>
      </c>
      <c r="J1710" s="4" t="s">
        <v>40</v>
      </c>
      <c r="K1710" s="5">
        <v>45411</v>
      </c>
      <c r="L1710" s="4" t="s">
        <v>66</v>
      </c>
      <c r="M1710" s="6">
        <v>32096</v>
      </c>
      <c r="N1710" s="6">
        <v>4793</v>
      </c>
      <c r="O1710" s="4" t="s">
        <v>32</v>
      </c>
      <c r="P1710" s="4" t="s">
        <v>32</v>
      </c>
      <c r="Q1710" s="4" t="s">
        <v>33</v>
      </c>
      <c r="R1710" s="4" t="s">
        <v>33</v>
      </c>
      <c r="S1710" s="4" t="s">
        <v>41</v>
      </c>
      <c r="T1710" s="7">
        <v>6.6963999999999997</v>
      </c>
      <c r="U1710" s="8">
        <v>243</v>
      </c>
      <c r="V1710" s="8">
        <v>2024</v>
      </c>
      <c r="W1710" s="4" t="s">
        <v>47</v>
      </c>
    </row>
    <row r="1711" spans="1:23" s="9" customFormat="1" ht="15.75" hidden="1" customHeight="1" x14ac:dyDescent="0.25">
      <c r="A1711" s="10" t="s">
        <v>5191</v>
      </c>
      <c r="B1711" s="10" t="s">
        <v>5192</v>
      </c>
      <c r="C1711" s="10" t="s">
        <v>5193</v>
      </c>
      <c r="D1711" s="22" t="s">
        <v>6087</v>
      </c>
      <c r="E1711" s="10" t="s">
        <v>26</v>
      </c>
      <c r="F1711" s="10" t="s">
        <v>46</v>
      </c>
      <c r="G1711" s="10" t="s">
        <v>5</v>
      </c>
      <c r="H1711" s="10" t="s">
        <v>72</v>
      </c>
      <c r="I1711" s="11">
        <v>45078</v>
      </c>
      <c r="J1711" s="10" t="s">
        <v>30</v>
      </c>
      <c r="K1711" s="11">
        <v>45431</v>
      </c>
      <c r="L1711" s="10" t="s">
        <v>59</v>
      </c>
      <c r="M1711" s="12">
        <v>3782</v>
      </c>
      <c r="N1711" s="12">
        <v>2403</v>
      </c>
      <c r="O1711" s="10">
        <v>26</v>
      </c>
      <c r="P1711" s="11">
        <v>45457</v>
      </c>
      <c r="Q1711" s="10" t="s">
        <v>33</v>
      </c>
      <c r="R1711" s="10" t="s">
        <v>33</v>
      </c>
      <c r="S1711" s="10" t="s">
        <v>41</v>
      </c>
      <c r="T1711" s="13">
        <v>1.5739000000000001</v>
      </c>
      <c r="U1711" s="14">
        <v>353</v>
      </c>
      <c r="V1711" s="14">
        <v>2024</v>
      </c>
      <c r="W1711" s="10" t="s">
        <v>52</v>
      </c>
    </row>
    <row r="1712" spans="1:23" s="9" customFormat="1" ht="15.75" hidden="1" customHeight="1" x14ac:dyDescent="0.25">
      <c r="A1712" s="4" t="s">
        <v>5194</v>
      </c>
      <c r="B1712" s="4" t="s">
        <v>5195</v>
      </c>
      <c r="C1712" s="4" t="s">
        <v>5196</v>
      </c>
      <c r="D1712" s="22" t="s">
        <v>6090</v>
      </c>
      <c r="E1712" s="4" t="s">
        <v>87</v>
      </c>
      <c r="F1712" s="4" t="s">
        <v>65</v>
      </c>
      <c r="G1712" s="4" t="s">
        <v>28</v>
      </c>
      <c r="H1712" s="4" t="s">
        <v>39</v>
      </c>
      <c r="I1712" s="5">
        <v>45262</v>
      </c>
      <c r="J1712" s="4" t="s">
        <v>40</v>
      </c>
      <c r="K1712" s="5">
        <v>45452</v>
      </c>
      <c r="L1712" s="4" t="s">
        <v>59</v>
      </c>
      <c r="M1712" s="6">
        <v>3444</v>
      </c>
      <c r="N1712" s="6">
        <v>6919</v>
      </c>
      <c r="O1712" s="4">
        <v>11</v>
      </c>
      <c r="P1712" s="5">
        <v>45463</v>
      </c>
      <c r="Q1712" s="4" t="s">
        <v>33</v>
      </c>
      <c r="R1712" s="4" t="s">
        <v>33</v>
      </c>
      <c r="S1712" s="4" t="s">
        <v>60</v>
      </c>
      <c r="T1712" s="7">
        <v>0.49780000000000002</v>
      </c>
      <c r="U1712" s="8">
        <v>190</v>
      </c>
      <c r="V1712" s="8">
        <v>2024</v>
      </c>
      <c r="W1712" s="4" t="s">
        <v>67</v>
      </c>
    </row>
    <row r="1713" spans="1:23" s="9" customFormat="1" ht="15.75" hidden="1" customHeight="1" x14ac:dyDescent="0.25">
      <c r="A1713" s="10" t="s">
        <v>5197</v>
      </c>
      <c r="B1713" s="10" t="s">
        <v>5198</v>
      </c>
      <c r="C1713" s="10" t="s">
        <v>5199</v>
      </c>
      <c r="D1713" s="22" t="s">
        <v>6087</v>
      </c>
      <c r="E1713" s="10" t="s">
        <v>26</v>
      </c>
      <c r="F1713" s="21" t="s">
        <v>6092</v>
      </c>
      <c r="G1713" s="10" t="s">
        <v>28</v>
      </c>
      <c r="H1713" s="10" t="s">
        <v>88</v>
      </c>
      <c r="I1713" s="11">
        <v>45189</v>
      </c>
      <c r="J1713" s="10" t="s">
        <v>30</v>
      </c>
      <c r="K1713" s="11">
        <v>45467</v>
      </c>
      <c r="L1713" s="10" t="s">
        <v>59</v>
      </c>
      <c r="M1713" s="12">
        <v>19989</v>
      </c>
      <c r="N1713" s="12">
        <v>7746</v>
      </c>
      <c r="O1713" s="10">
        <v>25</v>
      </c>
      <c r="P1713" s="11">
        <v>45492</v>
      </c>
      <c r="Q1713" s="10" t="s">
        <v>33</v>
      </c>
      <c r="R1713" s="10" t="s">
        <v>33</v>
      </c>
      <c r="S1713" s="10" t="s">
        <v>41</v>
      </c>
      <c r="T1713" s="13">
        <v>2.5806</v>
      </c>
      <c r="U1713" s="14">
        <v>278</v>
      </c>
      <c r="V1713" s="14">
        <v>2024</v>
      </c>
      <c r="W1713" s="10" t="s">
        <v>67</v>
      </c>
    </row>
    <row r="1714" spans="1:23" s="9" customFormat="1" ht="15.75" hidden="1" customHeight="1" x14ac:dyDescent="0.25">
      <c r="A1714" s="4" t="s">
        <v>5200</v>
      </c>
      <c r="B1714" s="4" t="s">
        <v>5201</v>
      </c>
      <c r="C1714" s="4" t="s">
        <v>5202</v>
      </c>
      <c r="D1714" s="22" t="s">
        <v>6087</v>
      </c>
      <c r="E1714" s="4" t="s">
        <v>87</v>
      </c>
      <c r="F1714" s="4" t="s">
        <v>65</v>
      </c>
      <c r="G1714" s="4" t="s">
        <v>57</v>
      </c>
      <c r="H1714" s="4" t="s">
        <v>161</v>
      </c>
      <c r="I1714" s="5">
        <v>45245</v>
      </c>
      <c r="J1714" s="4" t="s">
        <v>40</v>
      </c>
      <c r="K1714" s="5">
        <v>45404</v>
      </c>
      <c r="L1714" s="4" t="s">
        <v>59</v>
      </c>
      <c r="M1714" s="6">
        <v>27497</v>
      </c>
      <c r="N1714" s="6">
        <v>1308</v>
      </c>
      <c r="O1714" s="4">
        <v>8</v>
      </c>
      <c r="P1714" s="5">
        <v>45412</v>
      </c>
      <c r="Q1714" s="4" t="s">
        <v>33</v>
      </c>
      <c r="R1714" s="4" t="s">
        <v>33</v>
      </c>
      <c r="S1714" s="4" t="s">
        <v>60</v>
      </c>
      <c r="T1714" s="7">
        <v>21.022200000000002</v>
      </c>
      <c r="U1714" s="8">
        <v>159</v>
      </c>
      <c r="V1714" s="8">
        <v>2024</v>
      </c>
      <c r="W1714" s="4" t="s">
        <v>47</v>
      </c>
    </row>
    <row r="1715" spans="1:23" s="9" customFormat="1" ht="15.75" hidden="1" customHeight="1" x14ac:dyDescent="0.25">
      <c r="A1715" s="10" t="s">
        <v>5203</v>
      </c>
      <c r="B1715" s="10" t="s">
        <v>5204</v>
      </c>
      <c r="C1715" s="10" t="s">
        <v>5205</v>
      </c>
      <c r="D1715" s="22" t="s">
        <v>6087</v>
      </c>
      <c r="E1715" s="10" t="s">
        <v>51</v>
      </c>
      <c r="F1715" s="21" t="s">
        <v>6092</v>
      </c>
      <c r="G1715" s="10" t="s">
        <v>28</v>
      </c>
      <c r="H1715" s="10" t="s">
        <v>58</v>
      </c>
      <c r="I1715" s="11">
        <v>45360</v>
      </c>
      <c r="J1715" s="10" t="s">
        <v>30</v>
      </c>
      <c r="K1715" s="11">
        <v>45452</v>
      </c>
      <c r="L1715" s="10" t="s">
        <v>59</v>
      </c>
      <c r="M1715" s="12">
        <v>26406</v>
      </c>
      <c r="N1715" s="12">
        <v>6179</v>
      </c>
      <c r="O1715" s="10">
        <v>9</v>
      </c>
      <c r="P1715" s="11">
        <v>45461</v>
      </c>
      <c r="Q1715" s="10" t="s">
        <v>33</v>
      </c>
      <c r="R1715" s="10" t="s">
        <v>33</v>
      </c>
      <c r="S1715" s="10" t="s">
        <v>41</v>
      </c>
      <c r="T1715" s="13">
        <v>4.2735000000000003</v>
      </c>
      <c r="U1715" s="14">
        <v>92</v>
      </c>
      <c r="V1715" s="14">
        <v>2024</v>
      </c>
      <c r="W1715" s="10" t="s">
        <v>67</v>
      </c>
    </row>
    <row r="1716" spans="1:23" s="9" customFormat="1" ht="15.75" hidden="1" customHeight="1" x14ac:dyDescent="0.25">
      <c r="A1716" s="4" t="s">
        <v>5206</v>
      </c>
      <c r="B1716" s="4" t="s">
        <v>5207</v>
      </c>
      <c r="C1716" s="4" t="s">
        <v>5208</v>
      </c>
      <c r="D1716" s="21" t="s">
        <v>6091</v>
      </c>
      <c r="E1716" s="4" t="s">
        <v>26</v>
      </c>
      <c r="F1716" s="4" t="s">
        <v>71</v>
      </c>
      <c r="G1716" s="4" t="s">
        <v>57</v>
      </c>
      <c r="H1716" s="4" t="s">
        <v>72</v>
      </c>
      <c r="I1716" s="5">
        <v>45283</v>
      </c>
      <c r="J1716" s="4" t="s">
        <v>30</v>
      </c>
      <c r="K1716" s="5">
        <v>45408</v>
      </c>
      <c r="L1716" s="4" t="s">
        <v>59</v>
      </c>
      <c r="M1716" s="6">
        <v>15950</v>
      </c>
      <c r="N1716" s="6">
        <v>6461</v>
      </c>
      <c r="O1716" s="4">
        <v>33</v>
      </c>
      <c r="P1716" s="5">
        <v>45441</v>
      </c>
      <c r="Q1716" s="4" t="s">
        <v>33</v>
      </c>
      <c r="R1716" s="4" t="s">
        <v>33</v>
      </c>
      <c r="S1716" s="4" t="s">
        <v>41</v>
      </c>
      <c r="T1716" s="7">
        <v>2.4687000000000001</v>
      </c>
      <c r="U1716" s="8">
        <v>125</v>
      </c>
      <c r="V1716" s="8">
        <v>2024</v>
      </c>
      <c r="W1716" s="4" t="s">
        <v>47</v>
      </c>
    </row>
    <row r="1717" spans="1:23" s="9" customFormat="1" ht="15.75" hidden="1" customHeight="1" x14ac:dyDescent="0.25">
      <c r="A1717" s="10" t="s">
        <v>5209</v>
      </c>
      <c r="B1717" s="10" t="s">
        <v>5210</v>
      </c>
      <c r="C1717" s="10" t="s">
        <v>5211</v>
      </c>
      <c r="D1717" s="21" t="s">
        <v>6088</v>
      </c>
      <c r="E1717" s="10" t="s">
        <v>87</v>
      </c>
      <c r="F1717" s="10" t="s">
        <v>56</v>
      </c>
      <c r="G1717" s="10" t="s">
        <v>28</v>
      </c>
      <c r="H1717" s="10" t="s">
        <v>39</v>
      </c>
      <c r="I1717" s="11">
        <v>45426</v>
      </c>
      <c r="J1717" s="10" t="s">
        <v>30</v>
      </c>
      <c r="K1717" s="11">
        <v>45576</v>
      </c>
      <c r="L1717" s="10" t="s">
        <v>66</v>
      </c>
      <c r="M1717" s="12">
        <v>47514</v>
      </c>
      <c r="N1717" s="12">
        <v>3000</v>
      </c>
      <c r="O1717" s="10" t="s">
        <v>32</v>
      </c>
      <c r="P1717" s="10" t="s">
        <v>32</v>
      </c>
      <c r="Q1717" s="10" t="s">
        <v>33</v>
      </c>
      <c r="R1717" s="10" t="s">
        <v>33</v>
      </c>
      <c r="S1717" s="10" t="s">
        <v>34</v>
      </c>
      <c r="T1717" s="13">
        <v>15.837999999999999</v>
      </c>
      <c r="U1717" s="14">
        <v>150</v>
      </c>
      <c r="V1717" s="14">
        <v>2024</v>
      </c>
      <c r="W1717" s="10" t="s">
        <v>95</v>
      </c>
    </row>
    <row r="1718" spans="1:23" s="9" customFormat="1" ht="15.75" hidden="1" customHeight="1" x14ac:dyDescent="0.25">
      <c r="A1718" s="4" t="s">
        <v>5212</v>
      </c>
      <c r="B1718" s="4" t="s">
        <v>5213</v>
      </c>
      <c r="C1718" s="4" t="s">
        <v>5214</v>
      </c>
      <c r="D1718" s="22" t="s">
        <v>6087</v>
      </c>
      <c r="E1718" s="4" t="s">
        <v>51</v>
      </c>
      <c r="F1718" s="4" t="s">
        <v>71</v>
      </c>
      <c r="G1718" s="4" t="s">
        <v>5</v>
      </c>
      <c r="H1718" s="4" t="s">
        <v>72</v>
      </c>
      <c r="I1718" s="5">
        <v>45435</v>
      </c>
      <c r="J1718" s="4" t="s">
        <v>30</v>
      </c>
      <c r="K1718" s="5">
        <v>45549</v>
      </c>
      <c r="L1718" s="4" t="s">
        <v>59</v>
      </c>
      <c r="M1718" s="6">
        <v>7187</v>
      </c>
      <c r="N1718" s="6">
        <v>5578</v>
      </c>
      <c r="O1718" s="4">
        <v>20</v>
      </c>
      <c r="P1718" s="5">
        <v>45569</v>
      </c>
      <c r="Q1718" s="4" t="s">
        <v>33</v>
      </c>
      <c r="R1718" s="4" t="s">
        <v>33</v>
      </c>
      <c r="S1718" s="4" t="s">
        <v>60</v>
      </c>
      <c r="T1718" s="7">
        <v>1.2885</v>
      </c>
      <c r="U1718" s="8">
        <v>114</v>
      </c>
      <c r="V1718" s="8">
        <v>2024</v>
      </c>
      <c r="W1718" s="4" t="s">
        <v>168</v>
      </c>
    </row>
    <row r="1719" spans="1:23" s="9" customFormat="1" ht="15.75" hidden="1" customHeight="1" x14ac:dyDescent="0.25">
      <c r="A1719" s="10" t="s">
        <v>5215</v>
      </c>
      <c r="B1719" s="10" t="s">
        <v>5216</v>
      </c>
      <c r="C1719" s="10" t="s">
        <v>5217</v>
      </c>
      <c r="D1719" s="21" t="s">
        <v>6088</v>
      </c>
      <c r="E1719" s="10" t="s">
        <v>51</v>
      </c>
      <c r="F1719" s="10" t="s">
        <v>27</v>
      </c>
      <c r="G1719" s="10" t="s">
        <v>57</v>
      </c>
      <c r="H1719" s="10" t="s">
        <v>58</v>
      </c>
      <c r="I1719" s="11">
        <v>45271</v>
      </c>
      <c r="J1719" s="10" t="s">
        <v>40</v>
      </c>
      <c r="K1719" s="11">
        <v>45536</v>
      </c>
      <c r="L1719" s="10" t="s">
        <v>59</v>
      </c>
      <c r="M1719" s="12">
        <v>28459</v>
      </c>
      <c r="N1719" s="12">
        <v>2898</v>
      </c>
      <c r="O1719" s="10">
        <v>18</v>
      </c>
      <c r="P1719" s="11">
        <v>45554</v>
      </c>
      <c r="Q1719" s="10" t="s">
        <v>33</v>
      </c>
      <c r="R1719" s="10" t="s">
        <v>33</v>
      </c>
      <c r="S1719" s="10" t="s">
        <v>41</v>
      </c>
      <c r="T1719" s="13">
        <v>9.8201999999999998</v>
      </c>
      <c r="U1719" s="14">
        <v>265</v>
      </c>
      <c r="V1719" s="14">
        <v>2024</v>
      </c>
      <c r="W1719" s="10" t="s">
        <v>168</v>
      </c>
    </row>
    <row r="1720" spans="1:23" s="9" customFormat="1" ht="15.75" hidden="1" customHeight="1" x14ac:dyDescent="0.25">
      <c r="A1720" s="4" t="s">
        <v>5218</v>
      </c>
      <c r="B1720" s="4" t="s">
        <v>5219</v>
      </c>
      <c r="C1720" s="4" t="s">
        <v>5220</v>
      </c>
      <c r="D1720" s="21" t="s">
        <v>6089</v>
      </c>
      <c r="E1720" s="4" t="s">
        <v>26</v>
      </c>
      <c r="F1720" s="4" t="s">
        <v>46</v>
      </c>
      <c r="G1720" s="4" t="s">
        <v>57</v>
      </c>
      <c r="H1720" s="4" t="s">
        <v>72</v>
      </c>
      <c r="I1720" s="5">
        <v>45443</v>
      </c>
      <c r="J1720" s="4" t="s">
        <v>30</v>
      </c>
      <c r="K1720" s="5">
        <v>45501</v>
      </c>
      <c r="L1720" s="4" t="s">
        <v>59</v>
      </c>
      <c r="M1720" s="6">
        <v>63642</v>
      </c>
      <c r="N1720" s="6">
        <v>7670</v>
      </c>
      <c r="O1720" s="4">
        <v>7</v>
      </c>
      <c r="P1720" s="5">
        <v>45508</v>
      </c>
      <c r="Q1720" s="4" t="s">
        <v>94</v>
      </c>
      <c r="R1720" s="4" t="s">
        <v>94</v>
      </c>
      <c r="S1720" s="4" t="s">
        <v>60</v>
      </c>
      <c r="T1720" s="7">
        <v>8.2974999999999994</v>
      </c>
      <c r="U1720" s="8">
        <v>58</v>
      </c>
      <c r="V1720" s="8">
        <v>2024</v>
      </c>
      <c r="W1720" s="4" t="s">
        <v>42</v>
      </c>
    </row>
    <row r="1721" spans="1:23" s="9" customFormat="1" ht="15.75" hidden="1" customHeight="1" x14ac:dyDescent="0.25">
      <c r="A1721" s="10" t="s">
        <v>5221</v>
      </c>
      <c r="B1721" s="10" t="s">
        <v>5222</v>
      </c>
      <c r="C1721" s="10" t="s">
        <v>5223</v>
      </c>
      <c r="D1721" s="21" t="s">
        <v>6091</v>
      </c>
      <c r="E1721" s="10" t="s">
        <v>87</v>
      </c>
      <c r="F1721" s="10" t="s">
        <v>71</v>
      </c>
      <c r="G1721" s="10" t="s">
        <v>57</v>
      </c>
      <c r="H1721" s="10" t="s">
        <v>72</v>
      </c>
      <c r="I1721" s="11">
        <v>45185</v>
      </c>
      <c r="J1721" s="10" t="s">
        <v>40</v>
      </c>
      <c r="K1721" s="11">
        <v>45518</v>
      </c>
      <c r="L1721" s="10" t="s">
        <v>59</v>
      </c>
      <c r="M1721" s="12">
        <v>11163</v>
      </c>
      <c r="N1721" s="12">
        <v>7444</v>
      </c>
      <c r="O1721" s="10">
        <v>26</v>
      </c>
      <c r="P1721" s="11">
        <v>45544</v>
      </c>
      <c r="Q1721" s="10" t="s">
        <v>33</v>
      </c>
      <c r="R1721" s="10" t="s">
        <v>33</v>
      </c>
      <c r="S1721" s="10" t="s">
        <v>60</v>
      </c>
      <c r="T1721" s="13">
        <v>1.4996</v>
      </c>
      <c r="U1721" s="14">
        <v>333</v>
      </c>
      <c r="V1721" s="14">
        <v>2024</v>
      </c>
      <c r="W1721" s="10" t="s">
        <v>114</v>
      </c>
    </row>
    <row r="1722" spans="1:23" s="9" customFormat="1" ht="15.75" hidden="1" customHeight="1" x14ac:dyDescent="0.25">
      <c r="A1722" s="4" t="s">
        <v>5224</v>
      </c>
      <c r="B1722" s="4" t="s">
        <v>5225</v>
      </c>
      <c r="C1722" s="4" t="s">
        <v>5226</v>
      </c>
      <c r="D1722" s="21" t="s">
        <v>6091</v>
      </c>
      <c r="E1722" s="4" t="s">
        <v>51</v>
      </c>
      <c r="F1722" s="21" t="s">
        <v>6092</v>
      </c>
      <c r="G1722" s="4" t="s">
        <v>28</v>
      </c>
      <c r="H1722" s="4" t="s">
        <v>161</v>
      </c>
      <c r="I1722" s="5">
        <v>45168</v>
      </c>
      <c r="J1722" s="4" t="s">
        <v>40</v>
      </c>
      <c r="K1722" s="5">
        <v>45483</v>
      </c>
      <c r="L1722" s="4" t="s">
        <v>59</v>
      </c>
      <c r="M1722" s="6">
        <v>9110</v>
      </c>
      <c r="N1722" s="6">
        <v>8970</v>
      </c>
      <c r="O1722" s="4">
        <v>25</v>
      </c>
      <c r="P1722" s="5">
        <v>45508</v>
      </c>
      <c r="Q1722" s="4" t="s">
        <v>33</v>
      </c>
      <c r="R1722" s="4" t="s">
        <v>33</v>
      </c>
      <c r="S1722" s="4" t="s">
        <v>60</v>
      </c>
      <c r="T1722" s="7">
        <v>1.0156000000000001</v>
      </c>
      <c r="U1722" s="8">
        <v>315</v>
      </c>
      <c r="V1722" s="8">
        <v>2024</v>
      </c>
      <c r="W1722" s="4" t="s">
        <v>42</v>
      </c>
    </row>
    <row r="1723" spans="1:23" s="9" customFormat="1" ht="15.75" hidden="1" customHeight="1" x14ac:dyDescent="0.25">
      <c r="A1723" s="10" t="s">
        <v>5227</v>
      </c>
      <c r="B1723" s="10" t="s">
        <v>5228</v>
      </c>
      <c r="C1723" s="10" t="s">
        <v>5229</v>
      </c>
      <c r="D1723" s="21" t="s">
        <v>6088</v>
      </c>
      <c r="E1723" s="10" t="s">
        <v>87</v>
      </c>
      <c r="F1723" s="10" t="s">
        <v>27</v>
      </c>
      <c r="G1723" s="10" t="s">
        <v>28</v>
      </c>
      <c r="H1723" s="10" t="s">
        <v>161</v>
      </c>
      <c r="I1723" s="11">
        <v>45179</v>
      </c>
      <c r="J1723" s="10" t="s">
        <v>40</v>
      </c>
      <c r="K1723" s="11">
        <v>45436</v>
      </c>
      <c r="L1723" s="10" t="s">
        <v>31</v>
      </c>
      <c r="M1723" s="12">
        <v>18689</v>
      </c>
      <c r="N1723" s="12">
        <v>1058</v>
      </c>
      <c r="O1723" s="10" t="s">
        <v>32</v>
      </c>
      <c r="P1723" s="10" t="s">
        <v>32</v>
      </c>
      <c r="Q1723" s="10" t="s">
        <v>33</v>
      </c>
      <c r="R1723" s="10" t="s">
        <v>33</v>
      </c>
      <c r="S1723" s="10" t="s">
        <v>41</v>
      </c>
      <c r="T1723" s="13">
        <v>17.6645</v>
      </c>
      <c r="U1723" s="14">
        <v>257</v>
      </c>
      <c r="V1723" s="14">
        <v>2024</v>
      </c>
      <c r="W1723" s="10" t="s">
        <v>52</v>
      </c>
    </row>
    <row r="1724" spans="1:23" s="9" customFormat="1" ht="15.75" hidden="1" customHeight="1" x14ac:dyDescent="0.25">
      <c r="A1724" s="4" t="s">
        <v>5230</v>
      </c>
      <c r="B1724" s="4" t="s">
        <v>5231</v>
      </c>
      <c r="C1724" s="4" t="s">
        <v>5232</v>
      </c>
      <c r="D1724" s="21" t="s">
        <v>6086</v>
      </c>
      <c r="E1724" s="4" t="s">
        <v>51</v>
      </c>
      <c r="F1724" s="4" t="s">
        <v>65</v>
      </c>
      <c r="G1724" s="4" t="s">
        <v>5</v>
      </c>
      <c r="H1724" s="4" t="s">
        <v>93</v>
      </c>
      <c r="I1724" s="5">
        <v>45363</v>
      </c>
      <c r="J1724" s="4" t="s">
        <v>40</v>
      </c>
      <c r="K1724" s="5">
        <v>45619</v>
      </c>
      <c r="L1724" s="4" t="s">
        <v>59</v>
      </c>
      <c r="M1724" s="6">
        <v>73567</v>
      </c>
      <c r="N1724" s="6">
        <v>6299</v>
      </c>
      <c r="O1724" s="4">
        <v>31</v>
      </c>
      <c r="P1724" s="5">
        <v>45650</v>
      </c>
      <c r="Q1724" s="4" t="s">
        <v>33</v>
      </c>
      <c r="R1724" s="4" t="s">
        <v>33</v>
      </c>
      <c r="S1724" s="4" t="s">
        <v>60</v>
      </c>
      <c r="T1724" s="7">
        <v>11.6792</v>
      </c>
      <c r="U1724" s="8">
        <v>256</v>
      </c>
      <c r="V1724" s="8">
        <v>2024</v>
      </c>
      <c r="W1724" s="4" t="s">
        <v>61</v>
      </c>
    </row>
    <row r="1725" spans="1:23" s="9" customFormat="1" ht="15.75" hidden="1" customHeight="1" x14ac:dyDescent="0.25">
      <c r="A1725" s="10" t="s">
        <v>5233</v>
      </c>
      <c r="B1725" s="10" t="s">
        <v>5234</v>
      </c>
      <c r="C1725" s="10" t="s">
        <v>5235</v>
      </c>
      <c r="D1725" s="22" t="s">
        <v>6090</v>
      </c>
      <c r="E1725" s="10" t="s">
        <v>87</v>
      </c>
      <c r="F1725" s="21" t="s">
        <v>6092</v>
      </c>
      <c r="G1725" s="10" t="s">
        <v>5</v>
      </c>
      <c r="H1725" s="10" t="s">
        <v>93</v>
      </c>
      <c r="I1725" s="11">
        <v>45203</v>
      </c>
      <c r="J1725" s="10" t="s">
        <v>40</v>
      </c>
      <c r="K1725" s="11">
        <v>45353</v>
      </c>
      <c r="L1725" s="10" t="s">
        <v>59</v>
      </c>
      <c r="M1725" s="12">
        <v>32911</v>
      </c>
      <c r="N1725" s="12">
        <v>5524</v>
      </c>
      <c r="O1725" s="10">
        <v>36</v>
      </c>
      <c r="P1725" s="11">
        <v>45389</v>
      </c>
      <c r="Q1725" s="10" t="s">
        <v>33</v>
      </c>
      <c r="R1725" s="10" t="s">
        <v>33</v>
      </c>
      <c r="S1725" s="10" t="s">
        <v>41</v>
      </c>
      <c r="T1725" s="13">
        <v>5.9577999999999998</v>
      </c>
      <c r="U1725" s="14">
        <v>150</v>
      </c>
      <c r="V1725" s="14">
        <v>2024</v>
      </c>
      <c r="W1725" s="10" t="s">
        <v>77</v>
      </c>
    </row>
    <row r="1726" spans="1:23" s="9" customFormat="1" ht="15.75" hidden="1" customHeight="1" x14ac:dyDescent="0.25">
      <c r="A1726" s="4" t="s">
        <v>5236</v>
      </c>
      <c r="B1726" s="4" t="s">
        <v>5237</v>
      </c>
      <c r="C1726" s="4" t="s">
        <v>5238</v>
      </c>
      <c r="D1726" s="22" t="s">
        <v>6090</v>
      </c>
      <c r="E1726" s="4" t="s">
        <v>26</v>
      </c>
      <c r="F1726" s="21" t="s">
        <v>6092</v>
      </c>
      <c r="G1726" s="4" t="s">
        <v>28</v>
      </c>
      <c r="H1726" s="4" t="s">
        <v>72</v>
      </c>
      <c r="I1726" s="5">
        <v>45469</v>
      </c>
      <c r="J1726" s="4" t="s">
        <v>30</v>
      </c>
      <c r="K1726" s="5">
        <v>45591</v>
      </c>
      <c r="L1726" s="4" t="s">
        <v>59</v>
      </c>
      <c r="M1726" s="6">
        <v>49201</v>
      </c>
      <c r="N1726" s="6">
        <v>8853</v>
      </c>
      <c r="O1726" s="4">
        <v>33</v>
      </c>
      <c r="P1726" s="5">
        <v>45624</v>
      </c>
      <c r="Q1726" s="4" t="s">
        <v>33</v>
      </c>
      <c r="R1726" s="4" t="s">
        <v>33</v>
      </c>
      <c r="S1726" s="4" t="s">
        <v>41</v>
      </c>
      <c r="T1726" s="7">
        <v>5.5575999999999999</v>
      </c>
      <c r="U1726" s="8">
        <v>122</v>
      </c>
      <c r="V1726" s="8">
        <v>2024</v>
      </c>
      <c r="W1726" s="4" t="s">
        <v>95</v>
      </c>
    </row>
    <row r="1727" spans="1:23" s="9" customFormat="1" ht="15.75" hidden="1" customHeight="1" x14ac:dyDescent="0.25">
      <c r="A1727" s="10" t="s">
        <v>5239</v>
      </c>
      <c r="B1727" s="10" t="s">
        <v>5240</v>
      </c>
      <c r="C1727" s="10" t="s">
        <v>5241</v>
      </c>
      <c r="D1727" s="22" t="s">
        <v>6090</v>
      </c>
      <c r="E1727" s="10" t="s">
        <v>26</v>
      </c>
      <c r="F1727" s="10" t="s">
        <v>27</v>
      </c>
      <c r="G1727" s="10" t="s">
        <v>28</v>
      </c>
      <c r="H1727" s="10" t="s">
        <v>93</v>
      </c>
      <c r="I1727" s="11">
        <v>45399</v>
      </c>
      <c r="J1727" s="10" t="s">
        <v>40</v>
      </c>
      <c r="K1727" s="11">
        <v>45495</v>
      </c>
      <c r="L1727" s="10" t="s">
        <v>59</v>
      </c>
      <c r="M1727" s="12">
        <v>17475</v>
      </c>
      <c r="N1727" s="12">
        <v>7901</v>
      </c>
      <c r="O1727" s="10">
        <v>42</v>
      </c>
      <c r="P1727" s="11">
        <v>45537</v>
      </c>
      <c r="Q1727" s="10" t="s">
        <v>33</v>
      </c>
      <c r="R1727" s="10" t="s">
        <v>33</v>
      </c>
      <c r="S1727" s="10" t="s">
        <v>60</v>
      </c>
      <c r="T1727" s="13">
        <v>2.2117</v>
      </c>
      <c r="U1727" s="14">
        <v>96</v>
      </c>
      <c r="V1727" s="14">
        <v>2024</v>
      </c>
      <c r="W1727" s="10" t="s">
        <v>42</v>
      </c>
    </row>
    <row r="1728" spans="1:23" s="9" customFormat="1" ht="15.75" hidden="1" customHeight="1" x14ac:dyDescent="0.25">
      <c r="A1728" s="4" t="s">
        <v>5242</v>
      </c>
      <c r="B1728" s="4" t="s">
        <v>5243</v>
      </c>
      <c r="C1728" s="4" t="s">
        <v>5244</v>
      </c>
      <c r="D1728" s="21" t="s">
        <v>6089</v>
      </c>
      <c r="E1728" s="4" t="s">
        <v>87</v>
      </c>
      <c r="F1728" s="4" t="s">
        <v>71</v>
      </c>
      <c r="G1728" s="4" t="s">
        <v>5</v>
      </c>
      <c r="H1728" s="4" t="s">
        <v>93</v>
      </c>
      <c r="I1728" s="5">
        <v>45231</v>
      </c>
      <c r="J1728" s="4" t="s">
        <v>40</v>
      </c>
      <c r="K1728" s="5">
        <v>45425</v>
      </c>
      <c r="L1728" s="4" t="s">
        <v>59</v>
      </c>
      <c r="M1728" s="6">
        <v>49208</v>
      </c>
      <c r="N1728" s="6">
        <v>2274</v>
      </c>
      <c r="O1728" s="4">
        <v>43</v>
      </c>
      <c r="P1728" s="5">
        <v>45468</v>
      </c>
      <c r="Q1728" s="4" t="s">
        <v>33</v>
      </c>
      <c r="R1728" s="4" t="s">
        <v>33</v>
      </c>
      <c r="S1728" s="4" t="s">
        <v>41</v>
      </c>
      <c r="T1728" s="7">
        <v>21.639399999999998</v>
      </c>
      <c r="U1728" s="8">
        <v>194</v>
      </c>
      <c r="V1728" s="8">
        <v>2024</v>
      </c>
      <c r="W1728" s="4" t="s">
        <v>52</v>
      </c>
    </row>
    <row r="1729" spans="1:23" s="9" customFormat="1" ht="15.75" hidden="1" customHeight="1" x14ac:dyDescent="0.25">
      <c r="A1729" s="10" t="s">
        <v>5245</v>
      </c>
      <c r="B1729" s="10" t="s">
        <v>5246</v>
      </c>
      <c r="C1729" s="10" t="s">
        <v>5247</v>
      </c>
      <c r="D1729" s="21" t="s">
        <v>6091</v>
      </c>
      <c r="E1729" s="10" t="s">
        <v>26</v>
      </c>
      <c r="F1729" s="10" t="s">
        <v>71</v>
      </c>
      <c r="G1729" s="10" t="s">
        <v>28</v>
      </c>
      <c r="H1729" s="10" t="s">
        <v>93</v>
      </c>
      <c r="I1729" s="11">
        <v>44973</v>
      </c>
      <c r="J1729" s="10" t="s">
        <v>40</v>
      </c>
      <c r="K1729" s="11">
        <v>45335</v>
      </c>
      <c r="L1729" s="10" t="s">
        <v>59</v>
      </c>
      <c r="M1729" s="12">
        <v>14486</v>
      </c>
      <c r="N1729" s="12">
        <v>7912</v>
      </c>
      <c r="O1729" s="10">
        <v>26</v>
      </c>
      <c r="P1729" s="11">
        <v>45361</v>
      </c>
      <c r="Q1729" s="10" t="s">
        <v>33</v>
      </c>
      <c r="R1729" s="10" t="s">
        <v>33</v>
      </c>
      <c r="S1729" s="10" t="s">
        <v>34</v>
      </c>
      <c r="T1729" s="13">
        <v>1.8309</v>
      </c>
      <c r="U1729" s="14">
        <v>362</v>
      </c>
      <c r="V1729" s="14">
        <v>2024</v>
      </c>
      <c r="W1729" s="10" t="s">
        <v>35</v>
      </c>
    </row>
    <row r="1730" spans="1:23" s="9" customFormat="1" ht="15.75" hidden="1" customHeight="1" x14ac:dyDescent="0.25">
      <c r="A1730" s="4" t="s">
        <v>5248</v>
      </c>
      <c r="B1730" s="4" t="s">
        <v>5249</v>
      </c>
      <c r="C1730" s="4" t="s">
        <v>5250</v>
      </c>
      <c r="D1730" s="21" t="s">
        <v>6089</v>
      </c>
      <c r="E1730" s="4" t="s">
        <v>26</v>
      </c>
      <c r="F1730" s="4" t="s">
        <v>46</v>
      </c>
      <c r="G1730" s="4" t="s">
        <v>57</v>
      </c>
      <c r="H1730" s="4" t="s">
        <v>58</v>
      </c>
      <c r="I1730" s="5">
        <v>45342</v>
      </c>
      <c r="J1730" s="4" t="s">
        <v>40</v>
      </c>
      <c r="K1730" s="5">
        <v>45453</v>
      </c>
      <c r="L1730" s="4" t="s">
        <v>66</v>
      </c>
      <c r="M1730" s="6">
        <v>46203</v>
      </c>
      <c r="N1730" s="6">
        <v>710</v>
      </c>
      <c r="O1730" s="4" t="s">
        <v>32</v>
      </c>
      <c r="P1730" s="4" t="s">
        <v>32</v>
      </c>
      <c r="Q1730" s="4" t="s">
        <v>33</v>
      </c>
      <c r="R1730" s="4" t="s">
        <v>33</v>
      </c>
      <c r="S1730" s="4" t="s">
        <v>34</v>
      </c>
      <c r="T1730" s="7">
        <v>65.074600000000004</v>
      </c>
      <c r="U1730" s="8">
        <v>111</v>
      </c>
      <c r="V1730" s="8">
        <v>2024</v>
      </c>
      <c r="W1730" s="4" t="s">
        <v>67</v>
      </c>
    </row>
    <row r="1731" spans="1:23" s="9" customFormat="1" ht="15.75" hidden="1" customHeight="1" x14ac:dyDescent="0.25">
      <c r="A1731" s="10" t="s">
        <v>5251</v>
      </c>
      <c r="B1731" s="10" t="s">
        <v>5252</v>
      </c>
      <c r="C1731" s="10" t="s">
        <v>5253</v>
      </c>
      <c r="D1731" s="22" t="s">
        <v>6087</v>
      </c>
      <c r="E1731" s="10" t="s">
        <v>26</v>
      </c>
      <c r="F1731" s="10" t="s">
        <v>46</v>
      </c>
      <c r="G1731" s="10" t="s">
        <v>57</v>
      </c>
      <c r="H1731" s="10" t="s">
        <v>161</v>
      </c>
      <c r="I1731" s="11">
        <v>45164</v>
      </c>
      <c r="J1731" s="10" t="s">
        <v>30</v>
      </c>
      <c r="K1731" s="11">
        <v>45338</v>
      </c>
      <c r="L1731" s="10" t="s">
        <v>59</v>
      </c>
      <c r="M1731" s="12">
        <v>6290</v>
      </c>
      <c r="N1731" s="12">
        <v>8928</v>
      </c>
      <c r="O1731" s="10">
        <v>29</v>
      </c>
      <c r="P1731" s="11">
        <v>45367</v>
      </c>
      <c r="Q1731" s="10" t="s">
        <v>94</v>
      </c>
      <c r="R1731" s="10" t="s">
        <v>33</v>
      </c>
      <c r="S1731" s="10" t="s">
        <v>60</v>
      </c>
      <c r="T1731" s="13">
        <v>0.70450000000000002</v>
      </c>
      <c r="U1731" s="14">
        <v>174</v>
      </c>
      <c r="V1731" s="14">
        <v>2024</v>
      </c>
      <c r="W1731" s="10" t="s">
        <v>35</v>
      </c>
    </row>
    <row r="1732" spans="1:23" s="9" customFormat="1" ht="15.75" hidden="1" customHeight="1" x14ac:dyDescent="0.25">
      <c r="A1732" s="4" t="s">
        <v>5254</v>
      </c>
      <c r="B1732" s="4" t="s">
        <v>5255</v>
      </c>
      <c r="C1732" s="4" t="s">
        <v>5256</v>
      </c>
      <c r="D1732" s="21" t="s">
        <v>6091</v>
      </c>
      <c r="E1732" s="4" t="s">
        <v>51</v>
      </c>
      <c r="F1732" s="4" t="s">
        <v>46</v>
      </c>
      <c r="G1732" s="4" t="s">
        <v>5</v>
      </c>
      <c r="H1732" s="4" t="s">
        <v>118</v>
      </c>
      <c r="I1732" s="5">
        <v>45323</v>
      </c>
      <c r="J1732" s="4" t="s">
        <v>30</v>
      </c>
      <c r="K1732" s="5">
        <v>45393</v>
      </c>
      <c r="L1732" s="4" t="s">
        <v>31</v>
      </c>
      <c r="M1732" s="6">
        <v>19156</v>
      </c>
      <c r="N1732" s="6">
        <v>2714</v>
      </c>
      <c r="O1732" s="4" t="s">
        <v>32</v>
      </c>
      <c r="P1732" s="4" t="s">
        <v>32</v>
      </c>
      <c r="Q1732" s="4" t="s">
        <v>33</v>
      </c>
      <c r="R1732" s="4" t="s">
        <v>33</v>
      </c>
      <c r="S1732" s="4" t="s">
        <v>41</v>
      </c>
      <c r="T1732" s="7">
        <v>7.0582000000000003</v>
      </c>
      <c r="U1732" s="8">
        <v>70</v>
      </c>
      <c r="V1732" s="8">
        <v>2024</v>
      </c>
      <c r="W1732" s="4" t="s">
        <v>47</v>
      </c>
    </row>
    <row r="1733" spans="1:23" s="9" customFormat="1" ht="15.75" hidden="1" customHeight="1" x14ac:dyDescent="0.25">
      <c r="A1733" s="10" t="s">
        <v>5257</v>
      </c>
      <c r="B1733" s="10" t="s">
        <v>5258</v>
      </c>
      <c r="C1733" s="10" t="s">
        <v>5259</v>
      </c>
      <c r="D1733" s="21" t="s">
        <v>6086</v>
      </c>
      <c r="E1733" s="10" t="s">
        <v>87</v>
      </c>
      <c r="F1733" s="10" t="s">
        <v>56</v>
      </c>
      <c r="G1733" s="10" t="s">
        <v>28</v>
      </c>
      <c r="H1733" s="10" t="s">
        <v>58</v>
      </c>
      <c r="I1733" s="11">
        <v>45084</v>
      </c>
      <c r="J1733" s="10" t="s">
        <v>40</v>
      </c>
      <c r="K1733" s="11">
        <v>45399</v>
      </c>
      <c r="L1733" s="10" t="s">
        <v>31</v>
      </c>
      <c r="M1733" s="12">
        <v>23710</v>
      </c>
      <c r="N1733" s="12">
        <v>7247</v>
      </c>
      <c r="O1733" s="10" t="s">
        <v>32</v>
      </c>
      <c r="P1733" s="10" t="s">
        <v>32</v>
      </c>
      <c r="Q1733" s="10" t="s">
        <v>94</v>
      </c>
      <c r="R1733" s="10" t="s">
        <v>33</v>
      </c>
      <c r="S1733" s="10" t="s">
        <v>34</v>
      </c>
      <c r="T1733" s="13">
        <v>3.2717000000000001</v>
      </c>
      <c r="U1733" s="14">
        <v>315</v>
      </c>
      <c r="V1733" s="14">
        <v>2024</v>
      </c>
      <c r="W1733" s="10" t="s">
        <v>47</v>
      </c>
    </row>
    <row r="1734" spans="1:23" s="9" customFormat="1" ht="15.75" hidden="1" customHeight="1" x14ac:dyDescent="0.25">
      <c r="A1734" s="4" t="s">
        <v>5260</v>
      </c>
      <c r="B1734" s="4" t="s">
        <v>5261</v>
      </c>
      <c r="C1734" s="4" t="s">
        <v>5262</v>
      </c>
      <c r="D1734" s="21" t="s">
        <v>6091</v>
      </c>
      <c r="E1734" s="4" t="s">
        <v>51</v>
      </c>
      <c r="F1734" s="21" t="s">
        <v>6092</v>
      </c>
      <c r="G1734" s="4" t="s">
        <v>57</v>
      </c>
      <c r="H1734" s="4" t="s">
        <v>58</v>
      </c>
      <c r="I1734" s="5">
        <v>45244</v>
      </c>
      <c r="J1734" s="4" t="s">
        <v>30</v>
      </c>
      <c r="K1734" s="5">
        <v>45502</v>
      </c>
      <c r="L1734" s="4" t="s">
        <v>59</v>
      </c>
      <c r="M1734" s="6">
        <v>15648</v>
      </c>
      <c r="N1734" s="6">
        <v>7816</v>
      </c>
      <c r="O1734" s="4">
        <v>7</v>
      </c>
      <c r="P1734" s="5">
        <v>45509</v>
      </c>
      <c r="Q1734" s="4" t="s">
        <v>33</v>
      </c>
      <c r="R1734" s="4" t="s">
        <v>33</v>
      </c>
      <c r="S1734" s="4" t="s">
        <v>60</v>
      </c>
      <c r="T1734" s="7">
        <v>2.0019999999999998</v>
      </c>
      <c r="U1734" s="8">
        <v>258</v>
      </c>
      <c r="V1734" s="8">
        <v>2024</v>
      </c>
      <c r="W1734" s="4" t="s">
        <v>42</v>
      </c>
    </row>
    <row r="1735" spans="1:23" s="9" customFormat="1" ht="15.75" hidden="1" customHeight="1" x14ac:dyDescent="0.25">
      <c r="A1735" s="10" t="s">
        <v>5263</v>
      </c>
      <c r="B1735" s="10" t="s">
        <v>5264</v>
      </c>
      <c r="C1735" s="10" t="s">
        <v>5265</v>
      </c>
      <c r="D1735" s="22" t="s">
        <v>6087</v>
      </c>
      <c r="E1735" s="10" t="s">
        <v>87</v>
      </c>
      <c r="F1735" s="10" t="s">
        <v>56</v>
      </c>
      <c r="G1735" s="10" t="s">
        <v>28</v>
      </c>
      <c r="H1735" s="10" t="s">
        <v>161</v>
      </c>
      <c r="I1735" s="11">
        <v>45000</v>
      </c>
      <c r="J1735" s="10" t="s">
        <v>30</v>
      </c>
      <c r="K1735" s="11">
        <v>45315</v>
      </c>
      <c r="L1735" s="10" t="s">
        <v>59</v>
      </c>
      <c r="M1735" s="12">
        <v>14786</v>
      </c>
      <c r="N1735" s="12">
        <v>5671</v>
      </c>
      <c r="O1735" s="10">
        <v>24</v>
      </c>
      <c r="P1735" s="11">
        <v>45339</v>
      </c>
      <c r="Q1735" s="10" t="s">
        <v>94</v>
      </c>
      <c r="R1735" s="10" t="s">
        <v>33</v>
      </c>
      <c r="S1735" s="10" t="s">
        <v>34</v>
      </c>
      <c r="T1735" s="13">
        <v>2.6073</v>
      </c>
      <c r="U1735" s="14">
        <v>315</v>
      </c>
      <c r="V1735" s="14">
        <v>2024</v>
      </c>
      <c r="W1735" s="10" t="s">
        <v>73</v>
      </c>
    </row>
    <row r="1736" spans="1:23" s="9" customFormat="1" ht="15.75" hidden="1" customHeight="1" x14ac:dyDescent="0.25">
      <c r="A1736" s="4" t="s">
        <v>5266</v>
      </c>
      <c r="B1736" s="4" t="s">
        <v>5267</v>
      </c>
      <c r="C1736" s="4" t="s">
        <v>5268</v>
      </c>
      <c r="D1736" s="22" t="s">
        <v>6087</v>
      </c>
      <c r="E1736" s="4" t="s">
        <v>51</v>
      </c>
      <c r="F1736" s="21" t="s">
        <v>6092</v>
      </c>
      <c r="G1736" s="4" t="s">
        <v>28</v>
      </c>
      <c r="H1736" s="4" t="s">
        <v>118</v>
      </c>
      <c r="I1736" s="5">
        <v>45396</v>
      </c>
      <c r="J1736" s="4" t="s">
        <v>40</v>
      </c>
      <c r="K1736" s="5">
        <v>45456</v>
      </c>
      <c r="L1736" s="4" t="s">
        <v>31</v>
      </c>
      <c r="M1736" s="6">
        <v>11573</v>
      </c>
      <c r="N1736" s="6">
        <v>5136</v>
      </c>
      <c r="O1736" s="4" t="s">
        <v>32</v>
      </c>
      <c r="P1736" s="4" t="s">
        <v>32</v>
      </c>
      <c r="Q1736" s="4" t="s">
        <v>94</v>
      </c>
      <c r="R1736" s="4" t="s">
        <v>33</v>
      </c>
      <c r="S1736" s="4" t="s">
        <v>60</v>
      </c>
      <c r="T1736" s="7">
        <v>2.2532999999999999</v>
      </c>
      <c r="U1736" s="8">
        <v>60</v>
      </c>
      <c r="V1736" s="8">
        <v>2024</v>
      </c>
      <c r="W1736" s="4" t="s">
        <v>67</v>
      </c>
    </row>
    <row r="1737" spans="1:23" s="9" customFormat="1" ht="15.75" hidden="1" customHeight="1" x14ac:dyDescent="0.25">
      <c r="A1737" s="10" t="s">
        <v>5269</v>
      </c>
      <c r="B1737" s="10" t="s">
        <v>5270</v>
      </c>
      <c r="C1737" s="10" t="s">
        <v>5271</v>
      </c>
      <c r="D1737" s="22" t="s">
        <v>6087</v>
      </c>
      <c r="E1737" s="10" t="s">
        <v>87</v>
      </c>
      <c r="F1737" s="10" t="s">
        <v>71</v>
      </c>
      <c r="G1737" s="10" t="s">
        <v>57</v>
      </c>
      <c r="H1737" s="10" t="s">
        <v>29</v>
      </c>
      <c r="I1737" s="11">
        <v>45231</v>
      </c>
      <c r="J1737" s="10" t="s">
        <v>30</v>
      </c>
      <c r="K1737" s="11">
        <v>45557</v>
      </c>
      <c r="L1737" s="10" t="s">
        <v>31</v>
      </c>
      <c r="M1737" s="12">
        <v>2799</v>
      </c>
      <c r="N1737" s="12">
        <v>4487</v>
      </c>
      <c r="O1737" s="10" t="s">
        <v>32</v>
      </c>
      <c r="P1737" s="10" t="s">
        <v>32</v>
      </c>
      <c r="Q1737" s="10" t="s">
        <v>33</v>
      </c>
      <c r="R1737" s="10" t="s">
        <v>33</v>
      </c>
      <c r="S1737" s="10" t="s">
        <v>34</v>
      </c>
      <c r="T1737" s="13">
        <v>0.62380000000000002</v>
      </c>
      <c r="U1737" s="14">
        <v>326</v>
      </c>
      <c r="V1737" s="14">
        <v>2024</v>
      </c>
      <c r="W1737" s="10" t="s">
        <v>168</v>
      </c>
    </row>
    <row r="1738" spans="1:23" s="9" customFormat="1" ht="15.75" hidden="1" customHeight="1" x14ac:dyDescent="0.25">
      <c r="A1738" s="4" t="s">
        <v>5272</v>
      </c>
      <c r="B1738" s="4" t="s">
        <v>5273</v>
      </c>
      <c r="C1738" s="4" t="s">
        <v>5274</v>
      </c>
      <c r="D1738" s="22" t="s">
        <v>6090</v>
      </c>
      <c r="E1738" s="4" t="s">
        <v>87</v>
      </c>
      <c r="F1738" s="4" t="s">
        <v>46</v>
      </c>
      <c r="G1738" s="4" t="s">
        <v>57</v>
      </c>
      <c r="H1738" s="4" t="s">
        <v>93</v>
      </c>
      <c r="I1738" s="5">
        <v>45561</v>
      </c>
      <c r="J1738" s="4" t="s">
        <v>30</v>
      </c>
      <c r="K1738" s="5">
        <v>45613</v>
      </c>
      <c r="L1738" s="4" t="s">
        <v>59</v>
      </c>
      <c r="M1738" s="6">
        <v>38007</v>
      </c>
      <c r="N1738" s="6">
        <v>8056</v>
      </c>
      <c r="O1738" s="4">
        <v>33</v>
      </c>
      <c r="P1738" s="5">
        <v>45646</v>
      </c>
      <c r="Q1738" s="4" t="s">
        <v>33</v>
      </c>
      <c r="R1738" s="4" t="s">
        <v>33</v>
      </c>
      <c r="S1738" s="4" t="s">
        <v>60</v>
      </c>
      <c r="T1738" s="7">
        <v>4.7179000000000002</v>
      </c>
      <c r="U1738" s="8">
        <v>52</v>
      </c>
      <c r="V1738" s="8">
        <v>2024</v>
      </c>
      <c r="W1738" s="4" t="s">
        <v>61</v>
      </c>
    </row>
    <row r="1739" spans="1:23" s="9" customFormat="1" ht="15.75" hidden="1" customHeight="1" x14ac:dyDescent="0.25">
      <c r="A1739" s="10" t="s">
        <v>5275</v>
      </c>
      <c r="B1739" s="10" t="s">
        <v>5276</v>
      </c>
      <c r="C1739" s="10" t="s">
        <v>5277</v>
      </c>
      <c r="D1739" s="22" t="s">
        <v>6090</v>
      </c>
      <c r="E1739" s="10" t="s">
        <v>51</v>
      </c>
      <c r="F1739" s="10" t="s">
        <v>71</v>
      </c>
      <c r="G1739" s="10" t="s">
        <v>57</v>
      </c>
      <c r="H1739" s="10" t="s">
        <v>161</v>
      </c>
      <c r="I1739" s="11">
        <v>45178</v>
      </c>
      <c r="J1739" s="10" t="s">
        <v>40</v>
      </c>
      <c r="K1739" s="11">
        <v>45297</v>
      </c>
      <c r="L1739" s="10" t="s">
        <v>59</v>
      </c>
      <c r="M1739" s="12">
        <v>58839</v>
      </c>
      <c r="N1739" s="12">
        <v>3997</v>
      </c>
      <c r="O1739" s="10">
        <v>21</v>
      </c>
      <c r="P1739" s="11">
        <v>45318</v>
      </c>
      <c r="Q1739" s="10" t="s">
        <v>33</v>
      </c>
      <c r="R1739" s="10" t="s">
        <v>33</v>
      </c>
      <c r="S1739" s="10" t="s">
        <v>41</v>
      </c>
      <c r="T1739" s="13">
        <v>14.720800000000001</v>
      </c>
      <c r="U1739" s="14">
        <v>119</v>
      </c>
      <c r="V1739" s="14">
        <v>2024</v>
      </c>
      <c r="W1739" s="10" t="s">
        <v>73</v>
      </c>
    </row>
    <row r="1740" spans="1:23" s="9" customFormat="1" ht="15.75" hidden="1" customHeight="1" x14ac:dyDescent="0.25">
      <c r="A1740" s="4" t="s">
        <v>5278</v>
      </c>
      <c r="B1740" s="4" t="s">
        <v>5279</v>
      </c>
      <c r="C1740" s="4" t="s">
        <v>5280</v>
      </c>
      <c r="D1740" s="22" t="s">
        <v>6087</v>
      </c>
      <c r="E1740" s="4" t="s">
        <v>26</v>
      </c>
      <c r="F1740" s="4" t="s">
        <v>46</v>
      </c>
      <c r="G1740" s="4" t="s">
        <v>28</v>
      </c>
      <c r="H1740" s="4" t="s">
        <v>88</v>
      </c>
      <c r="I1740" s="5">
        <v>45274</v>
      </c>
      <c r="J1740" s="4" t="s">
        <v>30</v>
      </c>
      <c r="K1740" s="5">
        <v>45514</v>
      </c>
      <c r="L1740" s="4" t="s">
        <v>59</v>
      </c>
      <c r="M1740" s="6">
        <v>8587</v>
      </c>
      <c r="N1740" s="6">
        <v>5957</v>
      </c>
      <c r="O1740" s="4">
        <v>14</v>
      </c>
      <c r="P1740" s="5">
        <v>45528</v>
      </c>
      <c r="Q1740" s="4" t="s">
        <v>94</v>
      </c>
      <c r="R1740" s="4" t="s">
        <v>33</v>
      </c>
      <c r="S1740" s="4" t="s">
        <v>41</v>
      </c>
      <c r="T1740" s="7">
        <v>1.4415</v>
      </c>
      <c r="U1740" s="8">
        <v>240</v>
      </c>
      <c r="V1740" s="8">
        <v>2024</v>
      </c>
      <c r="W1740" s="4" t="s">
        <v>114</v>
      </c>
    </row>
    <row r="1741" spans="1:23" s="9" customFormat="1" ht="15.75" hidden="1" customHeight="1" x14ac:dyDescent="0.25">
      <c r="A1741" s="10" t="s">
        <v>5281</v>
      </c>
      <c r="B1741" s="10" t="s">
        <v>5282</v>
      </c>
      <c r="C1741" s="10" t="s">
        <v>5283</v>
      </c>
      <c r="D1741" s="21" t="s">
        <v>6088</v>
      </c>
      <c r="E1741" s="10" t="s">
        <v>87</v>
      </c>
      <c r="F1741" s="10" t="s">
        <v>46</v>
      </c>
      <c r="G1741" s="10" t="s">
        <v>5</v>
      </c>
      <c r="H1741" s="10" t="s">
        <v>161</v>
      </c>
      <c r="I1741" s="11">
        <v>45297</v>
      </c>
      <c r="J1741" s="10" t="s">
        <v>40</v>
      </c>
      <c r="K1741" s="11">
        <v>45539</v>
      </c>
      <c r="L1741" s="10" t="s">
        <v>59</v>
      </c>
      <c r="M1741" s="12">
        <v>73090</v>
      </c>
      <c r="N1741" s="12">
        <v>3677</v>
      </c>
      <c r="O1741" s="10">
        <v>38</v>
      </c>
      <c r="P1741" s="11">
        <v>45577</v>
      </c>
      <c r="Q1741" s="10" t="s">
        <v>94</v>
      </c>
      <c r="R1741" s="10" t="s">
        <v>94</v>
      </c>
      <c r="S1741" s="10" t="s">
        <v>60</v>
      </c>
      <c r="T1741" s="13">
        <v>19.877600000000001</v>
      </c>
      <c r="U1741" s="14">
        <v>242</v>
      </c>
      <c r="V1741" s="14">
        <v>2024</v>
      </c>
      <c r="W1741" s="10" t="s">
        <v>168</v>
      </c>
    </row>
    <row r="1742" spans="1:23" s="9" customFormat="1" ht="15.75" hidden="1" customHeight="1" x14ac:dyDescent="0.25">
      <c r="A1742" s="4" t="s">
        <v>5284</v>
      </c>
      <c r="B1742" s="4" t="s">
        <v>5285</v>
      </c>
      <c r="C1742" s="4" t="s">
        <v>5286</v>
      </c>
      <c r="D1742" s="21" t="s">
        <v>6086</v>
      </c>
      <c r="E1742" s="4" t="s">
        <v>51</v>
      </c>
      <c r="F1742" s="21" t="s">
        <v>6092</v>
      </c>
      <c r="G1742" s="4" t="s">
        <v>5</v>
      </c>
      <c r="H1742" s="4" t="s">
        <v>161</v>
      </c>
      <c r="I1742" s="5">
        <v>45111</v>
      </c>
      <c r="J1742" s="4" t="s">
        <v>40</v>
      </c>
      <c r="K1742" s="5">
        <v>45380</v>
      </c>
      <c r="L1742" s="4" t="s">
        <v>31</v>
      </c>
      <c r="M1742" s="6">
        <v>45674</v>
      </c>
      <c r="N1742" s="6">
        <v>6705</v>
      </c>
      <c r="O1742" s="4" t="s">
        <v>32</v>
      </c>
      <c r="P1742" s="4" t="s">
        <v>32</v>
      </c>
      <c r="Q1742" s="4" t="s">
        <v>33</v>
      </c>
      <c r="R1742" s="4" t="s">
        <v>33</v>
      </c>
      <c r="S1742" s="4" t="s">
        <v>34</v>
      </c>
      <c r="T1742" s="7">
        <v>6.8118999999999996</v>
      </c>
      <c r="U1742" s="8">
        <v>269</v>
      </c>
      <c r="V1742" s="8">
        <v>2024</v>
      </c>
      <c r="W1742" s="4" t="s">
        <v>77</v>
      </c>
    </row>
    <row r="1743" spans="1:23" s="9" customFormat="1" ht="15.75" hidden="1" customHeight="1" x14ac:dyDescent="0.25">
      <c r="A1743" s="10" t="s">
        <v>5287</v>
      </c>
      <c r="B1743" s="10" t="s">
        <v>5288</v>
      </c>
      <c r="C1743" s="10" t="s">
        <v>5289</v>
      </c>
      <c r="D1743" s="22" t="s">
        <v>6090</v>
      </c>
      <c r="E1743" s="10" t="s">
        <v>26</v>
      </c>
      <c r="F1743" s="10" t="s">
        <v>65</v>
      </c>
      <c r="G1743" s="10" t="s">
        <v>5</v>
      </c>
      <c r="H1743" s="10" t="s">
        <v>88</v>
      </c>
      <c r="I1743" s="11">
        <v>45071</v>
      </c>
      <c r="J1743" s="10" t="s">
        <v>30</v>
      </c>
      <c r="K1743" s="11">
        <v>45386</v>
      </c>
      <c r="L1743" s="10" t="s">
        <v>59</v>
      </c>
      <c r="M1743" s="12">
        <v>43239</v>
      </c>
      <c r="N1743" s="12">
        <v>6997</v>
      </c>
      <c r="O1743" s="10">
        <v>29</v>
      </c>
      <c r="P1743" s="11">
        <v>45415</v>
      </c>
      <c r="Q1743" s="10" t="s">
        <v>33</v>
      </c>
      <c r="R1743" s="10" t="s">
        <v>33</v>
      </c>
      <c r="S1743" s="10" t="s">
        <v>41</v>
      </c>
      <c r="T1743" s="13">
        <v>6.1795999999999998</v>
      </c>
      <c r="U1743" s="14">
        <v>315</v>
      </c>
      <c r="V1743" s="14">
        <v>2024</v>
      </c>
      <c r="W1743" s="10" t="s">
        <v>47</v>
      </c>
    </row>
    <row r="1744" spans="1:23" s="9" customFormat="1" ht="15.75" hidden="1" customHeight="1" x14ac:dyDescent="0.25">
      <c r="A1744" s="4" t="s">
        <v>5290</v>
      </c>
      <c r="B1744" s="4" t="s">
        <v>5291</v>
      </c>
      <c r="C1744" s="4" t="s">
        <v>5292</v>
      </c>
      <c r="D1744" s="22" t="s">
        <v>6090</v>
      </c>
      <c r="E1744" s="4" t="s">
        <v>26</v>
      </c>
      <c r="F1744" s="4" t="s">
        <v>27</v>
      </c>
      <c r="G1744" s="4" t="s">
        <v>5</v>
      </c>
      <c r="H1744" s="4" t="s">
        <v>58</v>
      </c>
      <c r="I1744" s="5">
        <v>45327</v>
      </c>
      <c r="J1744" s="4" t="s">
        <v>40</v>
      </c>
      <c r="K1744" s="5">
        <v>45562</v>
      </c>
      <c r="L1744" s="4" t="s">
        <v>59</v>
      </c>
      <c r="M1744" s="6">
        <v>44411</v>
      </c>
      <c r="N1744" s="6">
        <v>6724</v>
      </c>
      <c r="O1744" s="4">
        <v>17</v>
      </c>
      <c r="P1744" s="5">
        <v>45579</v>
      </c>
      <c r="Q1744" s="4" t="s">
        <v>33</v>
      </c>
      <c r="R1744" s="4" t="s">
        <v>33</v>
      </c>
      <c r="S1744" s="4" t="s">
        <v>34</v>
      </c>
      <c r="T1744" s="7">
        <v>6.6048</v>
      </c>
      <c r="U1744" s="8">
        <v>235</v>
      </c>
      <c r="V1744" s="8">
        <v>2024</v>
      </c>
      <c r="W1744" s="4" t="s">
        <v>168</v>
      </c>
    </row>
    <row r="1745" spans="1:23" s="9" customFormat="1" ht="27.75" customHeight="1" x14ac:dyDescent="0.25">
      <c r="A1745" s="10" t="s">
        <v>5293</v>
      </c>
      <c r="B1745" s="10" t="s">
        <v>5294</v>
      </c>
      <c r="C1745" s="10" t="s">
        <v>5295</v>
      </c>
      <c r="D1745" s="22" t="s">
        <v>6090</v>
      </c>
      <c r="E1745" s="10" t="s">
        <v>26</v>
      </c>
      <c r="F1745" s="10" t="s">
        <v>6092</v>
      </c>
      <c r="G1745" s="10" t="s">
        <v>28</v>
      </c>
      <c r="H1745" s="10" t="s">
        <v>58</v>
      </c>
      <c r="I1745" s="11">
        <v>45244</v>
      </c>
      <c r="J1745" s="10" t="s">
        <v>30</v>
      </c>
      <c r="K1745" s="11">
        <v>45506</v>
      </c>
      <c r="L1745" s="10" t="s">
        <v>66</v>
      </c>
      <c r="M1745" s="12">
        <v>35429</v>
      </c>
      <c r="N1745" s="12">
        <v>7732</v>
      </c>
      <c r="O1745" s="10" t="s">
        <v>32</v>
      </c>
      <c r="P1745" s="10" t="s">
        <v>32</v>
      </c>
      <c r="Q1745" s="10" t="s">
        <v>94</v>
      </c>
      <c r="R1745" s="10" t="s">
        <v>94</v>
      </c>
      <c r="S1745" s="10" t="s">
        <v>34</v>
      </c>
      <c r="T1745" s="13">
        <v>4.5820999999999996</v>
      </c>
      <c r="U1745" s="14">
        <v>262</v>
      </c>
      <c r="V1745" s="14">
        <v>2024</v>
      </c>
      <c r="W1745" s="10" t="s">
        <v>114</v>
      </c>
    </row>
    <row r="1746" spans="1:23" s="9" customFormat="1" ht="15.75" hidden="1" customHeight="1" x14ac:dyDescent="0.25">
      <c r="A1746" s="4" t="s">
        <v>5296</v>
      </c>
      <c r="B1746" s="4" t="s">
        <v>5297</v>
      </c>
      <c r="C1746" s="4" t="s">
        <v>5298</v>
      </c>
      <c r="D1746" s="21" t="s">
        <v>6088</v>
      </c>
      <c r="E1746" s="4" t="s">
        <v>87</v>
      </c>
      <c r="F1746" s="4" t="s">
        <v>56</v>
      </c>
      <c r="G1746" s="4" t="s">
        <v>5</v>
      </c>
      <c r="H1746" s="4" t="s">
        <v>161</v>
      </c>
      <c r="I1746" s="5">
        <v>45397</v>
      </c>
      <c r="J1746" s="4" t="s">
        <v>30</v>
      </c>
      <c r="K1746" s="5">
        <v>45581</v>
      </c>
      <c r="L1746" s="4" t="s">
        <v>66</v>
      </c>
      <c r="M1746" s="6">
        <v>59618</v>
      </c>
      <c r="N1746" s="6">
        <v>5818</v>
      </c>
      <c r="O1746" s="4" t="s">
        <v>32</v>
      </c>
      <c r="P1746" s="4" t="s">
        <v>32</v>
      </c>
      <c r="Q1746" s="4" t="s">
        <v>33</v>
      </c>
      <c r="R1746" s="4" t="s">
        <v>33</v>
      </c>
      <c r="S1746" s="4" t="s">
        <v>60</v>
      </c>
      <c r="T1746" s="7">
        <v>10.247199999999999</v>
      </c>
      <c r="U1746" s="8">
        <v>184</v>
      </c>
      <c r="V1746" s="8">
        <v>2024</v>
      </c>
      <c r="W1746" s="4" t="s">
        <v>95</v>
      </c>
    </row>
    <row r="1747" spans="1:23" s="9" customFormat="1" ht="15.75" hidden="1" customHeight="1" x14ac:dyDescent="0.25">
      <c r="A1747" s="10" t="s">
        <v>5299</v>
      </c>
      <c r="B1747" s="10" t="s">
        <v>5300</v>
      </c>
      <c r="C1747" s="10" t="s">
        <v>5301</v>
      </c>
      <c r="D1747" s="22" t="s">
        <v>6087</v>
      </c>
      <c r="E1747" s="10" t="s">
        <v>51</v>
      </c>
      <c r="F1747" s="10" t="s">
        <v>65</v>
      </c>
      <c r="G1747" s="10" t="s">
        <v>28</v>
      </c>
      <c r="H1747" s="10" t="s">
        <v>93</v>
      </c>
      <c r="I1747" s="11">
        <v>45373</v>
      </c>
      <c r="J1747" s="10" t="s">
        <v>30</v>
      </c>
      <c r="K1747" s="11">
        <v>45582</v>
      </c>
      <c r="L1747" s="10" t="s">
        <v>59</v>
      </c>
      <c r="M1747" s="12">
        <v>11401</v>
      </c>
      <c r="N1747" s="12">
        <v>3174</v>
      </c>
      <c r="O1747" s="10">
        <v>16</v>
      </c>
      <c r="P1747" s="11">
        <v>45598</v>
      </c>
      <c r="Q1747" s="10" t="s">
        <v>33</v>
      </c>
      <c r="R1747" s="10" t="s">
        <v>33</v>
      </c>
      <c r="S1747" s="10" t="s">
        <v>60</v>
      </c>
      <c r="T1747" s="13">
        <v>3.5920000000000001</v>
      </c>
      <c r="U1747" s="14">
        <v>209</v>
      </c>
      <c r="V1747" s="14">
        <v>2024</v>
      </c>
      <c r="W1747" s="10" t="s">
        <v>95</v>
      </c>
    </row>
    <row r="1748" spans="1:23" s="9" customFormat="1" ht="15.75" hidden="1" customHeight="1" x14ac:dyDescent="0.25">
      <c r="A1748" s="4" t="s">
        <v>5302</v>
      </c>
      <c r="B1748" s="4" t="s">
        <v>5303</v>
      </c>
      <c r="C1748" s="4" t="s">
        <v>5304</v>
      </c>
      <c r="D1748" s="22" t="s">
        <v>6087</v>
      </c>
      <c r="E1748" s="4" t="s">
        <v>26</v>
      </c>
      <c r="F1748" s="4" t="s">
        <v>56</v>
      </c>
      <c r="G1748" s="4" t="s">
        <v>57</v>
      </c>
      <c r="H1748" s="4" t="s">
        <v>93</v>
      </c>
      <c r="I1748" s="5">
        <v>45335</v>
      </c>
      <c r="J1748" s="4" t="s">
        <v>30</v>
      </c>
      <c r="K1748" s="5">
        <v>45381</v>
      </c>
      <c r="L1748" s="4" t="s">
        <v>59</v>
      </c>
      <c r="M1748" s="6">
        <v>19941</v>
      </c>
      <c r="N1748" s="6">
        <v>537</v>
      </c>
      <c r="O1748" s="4">
        <v>9</v>
      </c>
      <c r="P1748" s="5">
        <v>45390</v>
      </c>
      <c r="Q1748" s="4" t="s">
        <v>94</v>
      </c>
      <c r="R1748" s="4" t="s">
        <v>33</v>
      </c>
      <c r="S1748" s="4" t="s">
        <v>60</v>
      </c>
      <c r="T1748" s="7">
        <v>37.134099999999997</v>
      </c>
      <c r="U1748" s="8">
        <v>46</v>
      </c>
      <c r="V1748" s="8">
        <v>2024</v>
      </c>
      <c r="W1748" s="4" t="s">
        <v>77</v>
      </c>
    </row>
    <row r="1749" spans="1:23" s="9" customFormat="1" ht="15.75" hidden="1" customHeight="1" x14ac:dyDescent="0.25">
      <c r="A1749" s="10" t="s">
        <v>5305</v>
      </c>
      <c r="B1749" s="10" t="s">
        <v>5306</v>
      </c>
      <c r="C1749" s="10" t="s">
        <v>5307</v>
      </c>
      <c r="D1749" s="21" t="s">
        <v>6088</v>
      </c>
      <c r="E1749" s="10" t="s">
        <v>51</v>
      </c>
      <c r="F1749" s="21" t="s">
        <v>6092</v>
      </c>
      <c r="G1749" s="10" t="s">
        <v>57</v>
      </c>
      <c r="H1749" s="10" t="s">
        <v>161</v>
      </c>
      <c r="I1749" s="11">
        <v>45274</v>
      </c>
      <c r="J1749" s="10" t="s">
        <v>30</v>
      </c>
      <c r="K1749" s="11">
        <v>45545</v>
      </c>
      <c r="L1749" s="10" t="s">
        <v>59</v>
      </c>
      <c r="M1749" s="12">
        <v>52068</v>
      </c>
      <c r="N1749" s="12">
        <v>1008</v>
      </c>
      <c r="O1749" s="10">
        <v>20</v>
      </c>
      <c r="P1749" s="11">
        <v>45565</v>
      </c>
      <c r="Q1749" s="10" t="s">
        <v>94</v>
      </c>
      <c r="R1749" s="10" t="s">
        <v>33</v>
      </c>
      <c r="S1749" s="10" t="s">
        <v>41</v>
      </c>
      <c r="T1749" s="13">
        <v>51.654800000000002</v>
      </c>
      <c r="U1749" s="14">
        <v>271</v>
      </c>
      <c r="V1749" s="14">
        <v>2024</v>
      </c>
      <c r="W1749" s="10" t="s">
        <v>168</v>
      </c>
    </row>
    <row r="1750" spans="1:23" s="9" customFormat="1" ht="15.75" hidden="1" customHeight="1" x14ac:dyDescent="0.25">
      <c r="A1750" s="4" t="s">
        <v>5308</v>
      </c>
      <c r="B1750" s="4" t="s">
        <v>5309</v>
      </c>
      <c r="C1750" s="4" t="s">
        <v>5310</v>
      </c>
      <c r="D1750" s="22" t="s">
        <v>6087</v>
      </c>
      <c r="E1750" s="4" t="s">
        <v>87</v>
      </c>
      <c r="F1750" s="4" t="s">
        <v>65</v>
      </c>
      <c r="G1750" s="4" t="s">
        <v>5</v>
      </c>
      <c r="H1750" s="4" t="s">
        <v>58</v>
      </c>
      <c r="I1750" s="5">
        <v>45487</v>
      </c>
      <c r="J1750" s="4" t="s">
        <v>30</v>
      </c>
      <c r="K1750" s="5">
        <v>45596</v>
      </c>
      <c r="L1750" s="4" t="s">
        <v>31</v>
      </c>
      <c r="M1750" s="6">
        <v>27184</v>
      </c>
      <c r="N1750" s="6">
        <v>5814</v>
      </c>
      <c r="O1750" s="4" t="s">
        <v>32</v>
      </c>
      <c r="P1750" s="4" t="s">
        <v>32</v>
      </c>
      <c r="Q1750" s="4" t="s">
        <v>33</v>
      </c>
      <c r="R1750" s="4" t="s">
        <v>33</v>
      </c>
      <c r="S1750" s="4" t="s">
        <v>60</v>
      </c>
      <c r="T1750" s="7">
        <v>4.6756000000000002</v>
      </c>
      <c r="U1750" s="8">
        <v>109</v>
      </c>
      <c r="V1750" s="8">
        <v>2024</v>
      </c>
      <c r="W1750" s="4" t="s">
        <v>95</v>
      </c>
    </row>
    <row r="1751" spans="1:23" s="9" customFormat="1" ht="15.75" hidden="1" customHeight="1" x14ac:dyDescent="0.25">
      <c r="A1751" s="10" t="s">
        <v>5311</v>
      </c>
      <c r="B1751" s="10" t="s">
        <v>5312</v>
      </c>
      <c r="C1751" s="10" t="s">
        <v>5313</v>
      </c>
      <c r="D1751" s="21" t="s">
        <v>6091</v>
      </c>
      <c r="E1751" s="10" t="s">
        <v>51</v>
      </c>
      <c r="F1751" s="10" t="s">
        <v>56</v>
      </c>
      <c r="G1751" s="10" t="s">
        <v>5</v>
      </c>
      <c r="H1751" s="10" t="s">
        <v>161</v>
      </c>
      <c r="I1751" s="11">
        <v>45249</v>
      </c>
      <c r="J1751" s="10" t="s">
        <v>30</v>
      </c>
      <c r="K1751" s="11">
        <v>45455</v>
      </c>
      <c r="L1751" s="10" t="s">
        <v>59</v>
      </c>
      <c r="M1751" s="12">
        <v>10784</v>
      </c>
      <c r="N1751" s="12">
        <v>2562</v>
      </c>
      <c r="O1751" s="10">
        <v>39</v>
      </c>
      <c r="P1751" s="11">
        <v>45494</v>
      </c>
      <c r="Q1751" s="10" t="s">
        <v>33</v>
      </c>
      <c r="R1751" s="10" t="s">
        <v>33</v>
      </c>
      <c r="S1751" s="10" t="s">
        <v>34</v>
      </c>
      <c r="T1751" s="13">
        <v>4.2092000000000001</v>
      </c>
      <c r="U1751" s="14">
        <v>206</v>
      </c>
      <c r="V1751" s="14">
        <v>2024</v>
      </c>
      <c r="W1751" s="10" t="s">
        <v>67</v>
      </c>
    </row>
    <row r="1752" spans="1:23" s="9" customFormat="1" ht="15.75" hidden="1" customHeight="1" x14ac:dyDescent="0.25">
      <c r="A1752" s="4" t="s">
        <v>5314</v>
      </c>
      <c r="B1752" s="4" t="s">
        <v>5315</v>
      </c>
      <c r="C1752" s="4" t="s">
        <v>5316</v>
      </c>
      <c r="D1752" s="21" t="s">
        <v>6091</v>
      </c>
      <c r="E1752" s="4" t="s">
        <v>26</v>
      </c>
      <c r="F1752" s="4" t="s">
        <v>71</v>
      </c>
      <c r="G1752" s="4" t="s">
        <v>57</v>
      </c>
      <c r="H1752" s="4" t="s">
        <v>72</v>
      </c>
      <c r="I1752" s="5">
        <v>45291</v>
      </c>
      <c r="J1752" s="4" t="s">
        <v>40</v>
      </c>
      <c r="K1752" s="5">
        <v>45509</v>
      </c>
      <c r="L1752" s="4" t="s">
        <v>31</v>
      </c>
      <c r="M1752" s="6">
        <v>10635</v>
      </c>
      <c r="N1752" s="6">
        <v>1049</v>
      </c>
      <c r="O1752" s="4" t="s">
        <v>32</v>
      </c>
      <c r="P1752" s="4" t="s">
        <v>32</v>
      </c>
      <c r="Q1752" s="4" t="s">
        <v>33</v>
      </c>
      <c r="R1752" s="4" t="s">
        <v>33</v>
      </c>
      <c r="S1752" s="4" t="s">
        <v>60</v>
      </c>
      <c r="T1752" s="7">
        <v>10.138199999999999</v>
      </c>
      <c r="U1752" s="8">
        <v>218</v>
      </c>
      <c r="V1752" s="8">
        <v>2024</v>
      </c>
      <c r="W1752" s="4" t="s">
        <v>114</v>
      </c>
    </row>
    <row r="1753" spans="1:23" s="9" customFormat="1" ht="15.75" hidden="1" customHeight="1" x14ac:dyDescent="0.25">
      <c r="A1753" s="10" t="s">
        <v>5317</v>
      </c>
      <c r="B1753" s="10" t="s">
        <v>5318</v>
      </c>
      <c r="C1753" s="10" t="s">
        <v>5319</v>
      </c>
      <c r="D1753" s="21" t="s">
        <v>6086</v>
      </c>
      <c r="E1753" s="10" t="s">
        <v>87</v>
      </c>
      <c r="F1753" s="21" t="s">
        <v>6092</v>
      </c>
      <c r="G1753" s="10" t="s">
        <v>28</v>
      </c>
      <c r="H1753" s="10" t="s">
        <v>72</v>
      </c>
      <c r="I1753" s="11">
        <v>45408</v>
      </c>
      <c r="J1753" s="10" t="s">
        <v>40</v>
      </c>
      <c r="K1753" s="11">
        <v>45596</v>
      </c>
      <c r="L1753" s="10" t="s">
        <v>59</v>
      </c>
      <c r="M1753" s="12">
        <v>98760</v>
      </c>
      <c r="N1753" s="12">
        <v>1628</v>
      </c>
      <c r="O1753" s="10">
        <v>16</v>
      </c>
      <c r="P1753" s="11">
        <v>45612</v>
      </c>
      <c r="Q1753" s="10" t="s">
        <v>33</v>
      </c>
      <c r="R1753" s="10" t="s">
        <v>33</v>
      </c>
      <c r="S1753" s="10" t="s">
        <v>41</v>
      </c>
      <c r="T1753" s="13">
        <v>60.663400000000003</v>
      </c>
      <c r="U1753" s="14">
        <v>188</v>
      </c>
      <c r="V1753" s="14">
        <v>2024</v>
      </c>
      <c r="W1753" s="10" t="s">
        <v>95</v>
      </c>
    </row>
    <row r="1754" spans="1:23" s="9" customFormat="1" ht="15.75" hidden="1" customHeight="1" x14ac:dyDescent="0.25">
      <c r="A1754" s="4" t="s">
        <v>5320</v>
      </c>
      <c r="B1754" s="4" t="s">
        <v>5321</v>
      </c>
      <c r="C1754" s="4" t="s">
        <v>5322</v>
      </c>
      <c r="D1754" s="22" t="s">
        <v>6090</v>
      </c>
      <c r="E1754" s="4" t="s">
        <v>87</v>
      </c>
      <c r="F1754" s="4" t="s">
        <v>65</v>
      </c>
      <c r="G1754" s="4" t="s">
        <v>28</v>
      </c>
      <c r="H1754" s="4" t="s">
        <v>93</v>
      </c>
      <c r="I1754" s="5">
        <v>45234</v>
      </c>
      <c r="J1754" s="4" t="s">
        <v>30</v>
      </c>
      <c r="K1754" s="5">
        <v>45339</v>
      </c>
      <c r="L1754" s="4" t="s">
        <v>59</v>
      </c>
      <c r="M1754" s="6">
        <v>46057</v>
      </c>
      <c r="N1754" s="6">
        <v>3635</v>
      </c>
      <c r="O1754" s="4">
        <v>19</v>
      </c>
      <c r="P1754" s="5">
        <v>45358</v>
      </c>
      <c r="Q1754" s="4" t="s">
        <v>33</v>
      </c>
      <c r="R1754" s="4" t="s">
        <v>33</v>
      </c>
      <c r="S1754" s="4" t="s">
        <v>60</v>
      </c>
      <c r="T1754" s="7">
        <v>12.670400000000001</v>
      </c>
      <c r="U1754" s="8">
        <v>105</v>
      </c>
      <c r="V1754" s="8">
        <v>2024</v>
      </c>
      <c r="W1754" s="4" t="s">
        <v>35</v>
      </c>
    </row>
    <row r="1755" spans="1:23" s="9" customFormat="1" ht="15.75" hidden="1" customHeight="1" x14ac:dyDescent="0.25">
      <c r="A1755" s="10" t="s">
        <v>5323</v>
      </c>
      <c r="B1755" s="10" t="s">
        <v>5324</v>
      </c>
      <c r="C1755" s="10" t="s">
        <v>5325</v>
      </c>
      <c r="D1755" s="21" t="s">
        <v>6088</v>
      </c>
      <c r="E1755" s="10" t="s">
        <v>51</v>
      </c>
      <c r="F1755" s="10" t="s">
        <v>71</v>
      </c>
      <c r="G1755" s="10" t="s">
        <v>5</v>
      </c>
      <c r="H1755" s="10" t="s">
        <v>72</v>
      </c>
      <c r="I1755" s="11">
        <v>45341</v>
      </c>
      <c r="J1755" s="10" t="s">
        <v>30</v>
      </c>
      <c r="K1755" s="11">
        <v>45421</v>
      </c>
      <c r="L1755" s="10" t="s">
        <v>31</v>
      </c>
      <c r="M1755" s="12">
        <v>19664</v>
      </c>
      <c r="N1755" s="12">
        <v>5824</v>
      </c>
      <c r="O1755" s="10" t="s">
        <v>32</v>
      </c>
      <c r="P1755" s="10" t="s">
        <v>32</v>
      </c>
      <c r="Q1755" s="10" t="s">
        <v>33</v>
      </c>
      <c r="R1755" s="10" t="s">
        <v>33</v>
      </c>
      <c r="S1755" s="10" t="s">
        <v>34</v>
      </c>
      <c r="T1755" s="13">
        <v>3.3763999999999998</v>
      </c>
      <c r="U1755" s="14">
        <v>80</v>
      </c>
      <c r="V1755" s="14">
        <v>2024</v>
      </c>
      <c r="W1755" s="10" t="s">
        <v>52</v>
      </c>
    </row>
    <row r="1756" spans="1:23" s="9" customFormat="1" ht="15.75" hidden="1" customHeight="1" x14ac:dyDescent="0.25">
      <c r="A1756" s="4" t="s">
        <v>5326</v>
      </c>
      <c r="B1756" s="4" t="s">
        <v>5327</v>
      </c>
      <c r="C1756" s="4" t="s">
        <v>5328</v>
      </c>
      <c r="D1756" s="22" t="s">
        <v>6087</v>
      </c>
      <c r="E1756" s="4" t="s">
        <v>26</v>
      </c>
      <c r="F1756" s="4" t="s">
        <v>46</v>
      </c>
      <c r="G1756" s="4" t="s">
        <v>5</v>
      </c>
      <c r="H1756" s="4" t="s">
        <v>118</v>
      </c>
      <c r="I1756" s="5">
        <v>45361</v>
      </c>
      <c r="J1756" s="4" t="s">
        <v>40</v>
      </c>
      <c r="K1756" s="5">
        <v>45430</v>
      </c>
      <c r="L1756" s="4" t="s">
        <v>59</v>
      </c>
      <c r="M1756" s="6">
        <v>9512</v>
      </c>
      <c r="N1756" s="6">
        <v>7362</v>
      </c>
      <c r="O1756" s="4">
        <v>4</v>
      </c>
      <c r="P1756" s="5">
        <v>45434</v>
      </c>
      <c r="Q1756" s="4" t="s">
        <v>33</v>
      </c>
      <c r="R1756" s="4" t="s">
        <v>33</v>
      </c>
      <c r="S1756" s="4" t="s">
        <v>60</v>
      </c>
      <c r="T1756" s="7">
        <v>1.292</v>
      </c>
      <c r="U1756" s="8">
        <v>69</v>
      </c>
      <c r="V1756" s="8">
        <v>2024</v>
      </c>
      <c r="W1756" s="4" t="s">
        <v>52</v>
      </c>
    </row>
    <row r="1757" spans="1:23" s="9" customFormat="1" ht="15.75" hidden="1" customHeight="1" x14ac:dyDescent="0.25">
      <c r="A1757" s="10" t="s">
        <v>5329</v>
      </c>
      <c r="B1757" s="10" t="s">
        <v>5330</v>
      </c>
      <c r="C1757" s="10" t="s">
        <v>5331</v>
      </c>
      <c r="D1757" s="22" t="s">
        <v>6090</v>
      </c>
      <c r="E1757" s="10" t="s">
        <v>87</v>
      </c>
      <c r="F1757" s="10" t="s">
        <v>56</v>
      </c>
      <c r="G1757" s="10" t="s">
        <v>28</v>
      </c>
      <c r="H1757" s="10" t="s">
        <v>161</v>
      </c>
      <c r="I1757" s="11">
        <v>45024</v>
      </c>
      <c r="J1757" s="10" t="s">
        <v>40</v>
      </c>
      <c r="K1757" s="11">
        <v>45328</v>
      </c>
      <c r="L1757" s="10" t="s">
        <v>31</v>
      </c>
      <c r="M1757" s="12">
        <v>29975</v>
      </c>
      <c r="N1757" s="12">
        <v>3353</v>
      </c>
      <c r="O1757" s="10" t="s">
        <v>32</v>
      </c>
      <c r="P1757" s="10" t="s">
        <v>32</v>
      </c>
      <c r="Q1757" s="10" t="s">
        <v>33</v>
      </c>
      <c r="R1757" s="10" t="s">
        <v>33</v>
      </c>
      <c r="S1757" s="10" t="s">
        <v>34</v>
      </c>
      <c r="T1757" s="13">
        <v>8.9398</v>
      </c>
      <c r="U1757" s="14">
        <v>304</v>
      </c>
      <c r="V1757" s="14">
        <v>2024</v>
      </c>
      <c r="W1757" s="10" t="s">
        <v>35</v>
      </c>
    </row>
    <row r="1758" spans="1:23" s="9" customFormat="1" ht="15.75" hidden="1" customHeight="1" x14ac:dyDescent="0.25">
      <c r="A1758" s="4" t="s">
        <v>5332</v>
      </c>
      <c r="B1758" s="4" t="s">
        <v>5333</v>
      </c>
      <c r="C1758" s="4" t="s">
        <v>5334</v>
      </c>
      <c r="D1758" s="21" t="s">
        <v>6091</v>
      </c>
      <c r="E1758" s="4" t="s">
        <v>51</v>
      </c>
      <c r="F1758" s="4" t="s">
        <v>71</v>
      </c>
      <c r="G1758" s="4" t="s">
        <v>5</v>
      </c>
      <c r="H1758" s="4" t="s">
        <v>29</v>
      </c>
      <c r="I1758" s="5">
        <v>45208</v>
      </c>
      <c r="J1758" s="4" t="s">
        <v>40</v>
      </c>
      <c r="K1758" s="5">
        <v>45535</v>
      </c>
      <c r="L1758" s="4" t="s">
        <v>59</v>
      </c>
      <c r="M1758" s="6">
        <v>7315</v>
      </c>
      <c r="N1758" s="6">
        <v>3974</v>
      </c>
      <c r="O1758" s="4">
        <v>42</v>
      </c>
      <c r="P1758" s="5">
        <v>45577</v>
      </c>
      <c r="Q1758" s="4" t="s">
        <v>33</v>
      </c>
      <c r="R1758" s="4" t="s">
        <v>33</v>
      </c>
      <c r="S1758" s="4" t="s">
        <v>41</v>
      </c>
      <c r="T1758" s="7">
        <v>1.8407</v>
      </c>
      <c r="U1758" s="8">
        <v>327</v>
      </c>
      <c r="V1758" s="8">
        <v>2024</v>
      </c>
      <c r="W1758" s="4" t="s">
        <v>114</v>
      </c>
    </row>
    <row r="1759" spans="1:23" s="9" customFormat="1" ht="15.75" hidden="1" customHeight="1" x14ac:dyDescent="0.25">
      <c r="A1759" s="10" t="s">
        <v>5335</v>
      </c>
      <c r="B1759" s="10" t="s">
        <v>5336</v>
      </c>
      <c r="C1759" s="10" t="s">
        <v>5337</v>
      </c>
      <c r="D1759" s="22" t="s">
        <v>6090</v>
      </c>
      <c r="E1759" s="10" t="s">
        <v>26</v>
      </c>
      <c r="F1759" s="10" t="s">
        <v>56</v>
      </c>
      <c r="G1759" s="10" t="s">
        <v>5</v>
      </c>
      <c r="H1759" s="10" t="s">
        <v>88</v>
      </c>
      <c r="I1759" s="11">
        <v>45424</v>
      </c>
      <c r="J1759" s="10" t="s">
        <v>40</v>
      </c>
      <c r="K1759" s="11">
        <v>45640</v>
      </c>
      <c r="L1759" s="10" t="s">
        <v>59</v>
      </c>
      <c r="M1759" s="12">
        <v>22043</v>
      </c>
      <c r="N1759" s="12">
        <v>7370</v>
      </c>
      <c r="O1759" s="10">
        <v>20</v>
      </c>
      <c r="P1759" s="11">
        <v>45660</v>
      </c>
      <c r="Q1759" s="10" t="s">
        <v>94</v>
      </c>
      <c r="R1759" s="10" t="s">
        <v>94</v>
      </c>
      <c r="S1759" s="10" t="s">
        <v>34</v>
      </c>
      <c r="T1759" s="13">
        <v>2.9908999999999999</v>
      </c>
      <c r="U1759" s="14">
        <v>216</v>
      </c>
      <c r="V1759" s="14">
        <v>2024</v>
      </c>
      <c r="W1759" s="10" t="s">
        <v>89</v>
      </c>
    </row>
    <row r="1760" spans="1:23" s="9" customFormat="1" ht="15.75" hidden="1" customHeight="1" x14ac:dyDescent="0.25">
      <c r="A1760" s="4" t="s">
        <v>5338</v>
      </c>
      <c r="B1760" s="4" t="s">
        <v>5339</v>
      </c>
      <c r="C1760" s="4" t="s">
        <v>5340</v>
      </c>
      <c r="D1760" s="22" t="s">
        <v>6090</v>
      </c>
      <c r="E1760" s="4" t="s">
        <v>26</v>
      </c>
      <c r="F1760" s="4" t="s">
        <v>56</v>
      </c>
      <c r="G1760" s="4" t="s">
        <v>5</v>
      </c>
      <c r="H1760" s="4" t="s">
        <v>88</v>
      </c>
      <c r="I1760" s="5">
        <v>45245</v>
      </c>
      <c r="J1760" s="4" t="s">
        <v>30</v>
      </c>
      <c r="K1760" s="5">
        <v>45545</v>
      </c>
      <c r="L1760" s="4" t="s">
        <v>31</v>
      </c>
      <c r="M1760" s="6">
        <v>23196</v>
      </c>
      <c r="N1760" s="6">
        <v>4404</v>
      </c>
      <c r="O1760" s="4" t="s">
        <v>32</v>
      </c>
      <c r="P1760" s="4" t="s">
        <v>32</v>
      </c>
      <c r="Q1760" s="4" t="s">
        <v>33</v>
      </c>
      <c r="R1760" s="4" t="s">
        <v>33</v>
      </c>
      <c r="S1760" s="4" t="s">
        <v>60</v>
      </c>
      <c r="T1760" s="7">
        <v>5.2670000000000003</v>
      </c>
      <c r="U1760" s="8">
        <v>300</v>
      </c>
      <c r="V1760" s="8">
        <v>2024</v>
      </c>
      <c r="W1760" s="4" t="s">
        <v>168</v>
      </c>
    </row>
    <row r="1761" spans="1:23" s="9" customFormat="1" ht="15.75" hidden="1" customHeight="1" x14ac:dyDescent="0.25">
      <c r="A1761" s="10" t="s">
        <v>5341</v>
      </c>
      <c r="B1761" s="10" t="s">
        <v>5342</v>
      </c>
      <c r="C1761" s="10" t="s">
        <v>5343</v>
      </c>
      <c r="D1761" s="22" t="s">
        <v>6087</v>
      </c>
      <c r="E1761" s="10" t="s">
        <v>87</v>
      </c>
      <c r="F1761" s="10" t="s">
        <v>46</v>
      </c>
      <c r="G1761" s="10" t="s">
        <v>28</v>
      </c>
      <c r="H1761" s="10" t="s">
        <v>58</v>
      </c>
      <c r="I1761" s="11">
        <v>45266</v>
      </c>
      <c r="J1761" s="10" t="s">
        <v>40</v>
      </c>
      <c r="K1761" s="11">
        <v>45599</v>
      </c>
      <c r="L1761" s="10" t="s">
        <v>31</v>
      </c>
      <c r="M1761" s="12">
        <v>17486</v>
      </c>
      <c r="N1761" s="12">
        <v>2074</v>
      </c>
      <c r="O1761" s="10" t="s">
        <v>32</v>
      </c>
      <c r="P1761" s="10" t="s">
        <v>32</v>
      </c>
      <c r="Q1761" s="10" t="s">
        <v>33</v>
      </c>
      <c r="R1761" s="10" t="s">
        <v>33</v>
      </c>
      <c r="S1761" s="10" t="s">
        <v>41</v>
      </c>
      <c r="T1761" s="13">
        <v>8.4311000000000007</v>
      </c>
      <c r="U1761" s="14">
        <v>333</v>
      </c>
      <c r="V1761" s="14">
        <v>2024</v>
      </c>
      <c r="W1761" s="10" t="s">
        <v>61</v>
      </c>
    </row>
    <row r="1762" spans="1:23" s="9" customFormat="1" ht="15.75" hidden="1" customHeight="1" x14ac:dyDescent="0.25">
      <c r="A1762" s="4" t="s">
        <v>5344</v>
      </c>
      <c r="B1762" s="4" t="s">
        <v>5345</v>
      </c>
      <c r="C1762" s="4" t="s">
        <v>5346</v>
      </c>
      <c r="D1762" s="22" t="s">
        <v>6087</v>
      </c>
      <c r="E1762" s="4" t="s">
        <v>51</v>
      </c>
      <c r="F1762" s="4" t="s">
        <v>65</v>
      </c>
      <c r="G1762" s="4" t="s">
        <v>57</v>
      </c>
      <c r="H1762" s="4" t="s">
        <v>161</v>
      </c>
      <c r="I1762" s="5">
        <v>45063</v>
      </c>
      <c r="J1762" s="4" t="s">
        <v>30</v>
      </c>
      <c r="K1762" s="5">
        <v>45361</v>
      </c>
      <c r="L1762" s="4" t="s">
        <v>59</v>
      </c>
      <c r="M1762" s="6">
        <v>9070</v>
      </c>
      <c r="N1762" s="6">
        <v>4437</v>
      </c>
      <c r="O1762" s="4">
        <v>18</v>
      </c>
      <c r="P1762" s="5">
        <v>45379</v>
      </c>
      <c r="Q1762" s="4" t="s">
        <v>33</v>
      </c>
      <c r="R1762" s="4" t="s">
        <v>33</v>
      </c>
      <c r="S1762" s="4" t="s">
        <v>41</v>
      </c>
      <c r="T1762" s="7">
        <v>2.0442</v>
      </c>
      <c r="U1762" s="8">
        <v>298</v>
      </c>
      <c r="V1762" s="8">
        <v>2024</v>
      </c>
      <c r="W1762" s="4" t="s">
        <v>77</v>
      </c>
    </row>
    <row r="1763" spans="1:23" s="9" customFormat="1" ht="15.75" hidden="1" customHeight="1" x14ac:dyDescent="0.25">
      <c r="A1763" s="10" t="s">
        <v>5347</v>
      </c>
      <c r="B1763" s="10" t="s">
        <v>5348</v>
      </c>
      <c r="C1763" s="10" t="s">
        <v>5349</v>
      </c>
      <c r="D1763" s="21" t="s">
        <v>6086</v>
      </c>
      <c r="E1763" s="10" t="s">
        <v>51</v>
      </c>
      <c r="F1763" s="10" t="s">
        <v>56</v>
      </c>
      <c r="G1763" s="10" t="s">
        <v>28</v>
      </c>
      <c r="H1763" s="10" t="s">
        <v>118</v>
      </c>
      <c r="I1763" s="11">
        <v>45568</v>
      </c>
      <c r="J1763" s="10" t="s">
        <v>40</v>
      </c>
      <c r="K1763" s="11">
        <v>45619</v>
      </c>
      <c r="L1763" s="10" t="s">
        <v>59</v>
      </c>
      <c r="M1763" s="12">
        <v>79308</v>
      </c>
      <c r="N1763" s="12">
        <v>8509</v>
      </c>
      <c r="O1763" s="10">
        <v>37</v>
      </c>
      <c r="P1763" s="11">
        <v>45656</v>
      </c>
      <c r="Q1763" s="10" t="s">
        <v>33</v>
      </c>
      <c r="R1763" s="10" t="s">
        <v>33</v>
      </c>
      <c r="S1763" s="10" t="s">
        <v>60</v>
      </c>
      <c r="T1763" s="13">
        <v>9.3204999999999991</v>
      </c>
      <c r="U1763" s="14">
        <v>51</v>
      </c>
      <c r="V1763" s="14">
        <v>2024</v>
      </c>
      <c r="W1763" s="10" t="s">
        <v>61</v>
      </c>
    </row>
    <row r="1764" spans="1:23" s="9" customFormat="1" ht="15.75" hidden="1" customHeight="1" x14ac:dyDescent="0.25">
      <c r="A1764" s="4" t="s">
        <v>5350</v>
      </c>
      <c r="B1764" s="4" t="s">
        <v>5351</v>
      </c>
      <c r="C1764" s="4" t="s">
        <v>5352</v>
      </c>
      <c r="D1764" s="22" t="s">
        <v>6090</v>
      </c>
      <c r="E1764" s="4" t="s">
        <v>26</v>
      </c>
      <c r="F1764" s="4" t="s">
        <v>46</v>
      </c>
      <c r="G1764" s="4" t="s">
        <v>5</v>
      </c>
      <c r="H1764" s="4" t="s">
        <v>161</v>
      </c>
      <c r="I1764" s="5">
        <v>45423</v>
      </c>
      <c r="J1764" s="4" t="s">
        <v>40</v>
      </c>
      <c r="K1764" s="5">
        <v>45564</v>
      </c>
      <c r="L1764" s="4" t="s">
        <v>31</v>
      </c>
      <c r="M1764" s="6">
        <v>32746</v>
      </c>
      <c r="N1764" s="6">
        <v>6232</v>
      </c>
      <c r="O1764" s="4" t="s">
        <v>32</v>
      </c>
      <c r="P1764" s="4" t="s">
        <v>32</v>
      </c>
      <c r="Q1764" s="4" t="s">
        <v>33</v>
      </c>
      <c r="R1764" s="4" t="s">
        <v>33</v>
      </c>
      <c r="S1764" s="4" t="s">
        <v>34</v>
      </c>
      <c r="T1764" s="7">
        <v>5.2545000000000002</v>
      </c>
      <c r="U1764" s="8">
        <v>141</v>
      </c>
      <c r="V1764" s="8">
        <v>2024</v>
      </c>
      <c r="W1764" s="4" t="s">
        <v>168</v>
      </c>
    </row>
    <row r="1765" spans="1:23" s="9" customFormat="1" ht="15.75" hidden="1" customHeight="1" x14ac:dyDescent="0.25">
      <c r="A1765" s="10" t="s">
        <v>5353</v>
      </c>
      <c r="B1765" s="10" t="s">
        <v>5354</v>
      </c>
      <c r="C1765" s="10" t="s">
        <v>5355</v>
      </c>
      <c r="D1765" s="21" t="s">
        <v>6086</v>
      </c>
      <c r="E1765" s="10" t="s">
        <v>87</v>
      </c>
      <c r="F1765" s="21" t="s">
        <v>6092</v>
      </c>
      <c r="G1765" s="10" t="s">
        <v>5</v>
      </c>
      <c r="H1765" s="10" t="s">
        <v>72</v>
      </c>
      <c r="I1765" s="11">
        <v>45559</v>
      </c>
      <c r="J1765" s="10" t="s">
        <v>30</v>
      </c>
      <c r="K1765" s="11">
        <v>45597</v>
      </c>
      <c r="L1765" s="10" t="s">
        <v>59</v>
      </c>
      <c r="M1765" s="12">
        <v>96456</v>
      </c>
      <c r="N1765" s="12">
        <v>4139</v>
      </c>
      <c r="O1765" s="10">
        <v>14</v>
      </c>
      <c r="P1765" s="11">
        <v>45611</v>
      </c>
      <c r="Q1765" s="10" t="s">
        <v>33</v>
      </c>
      <c r="R1765" s="10" t="s">
        <v>33</v>
      </c>
      <c r="S1765" s="10" t="s">
        <v>41</v>
      </c>
      <c r="T1765" s="13">
        <v>23.304200000000002</v>
      </c>
      <c r="U1765" s="14">
        <v>38</v>
      </c>
      <c r="V1765" s="14">
        <v>2024</v>
      </c>
      <c r="W1765" s="10" t="s">
        <v>61</v>
      </c>
    </row>
    <row r="1766" spans="1:23" s="9" customFormat="1" ht="15.75" hidden="1" customHeight="1" x14ac:dyDescent="0.25">
      <c r="A1766" s="4" t="s">
        <v>5356</v>
      </c>
      <c r="B1766" s="4" t="s">
        <v>5357</v>
      </c>
      <c r="C1766" s="4" t="s">
        <v>5358</v>
      </c>
      <c r="D1766" s="21" t="s">
        <v>6091</v>
      </c>
      <c r="E1766" s="4" t="s">
        <v>87</v>
      </c>
      <c r="F1766" s="21" t="s">
        <v>6092</v>
      </c>
      <c r="G1766" s="4" t="s">
        <v>5</v>
      </c>
      <c r="H1766" s="4" t="s">
        <v>72</v>
      </c>
      <c r="I1766" s="5">
        <v>45052</v>
      </c>
      <c r="J1766" s="4" t="s">
        <v>40</v>
      </c>
      <c r="K1766" s="5">
        <v>45311</v>
      </c>
      <c r="L1766" s="4" t="s">
        <v>31</v>
      </c>
      <c r="M1766" s="6">
        <v>2016</v>
      </c>
      <c r="N1766" s="6">
        <v>2585</v>
      </c>
      <c r="O1766" s="4" t="s">
        <v>32</v>
      </c>
      <c r="P1766" s="4" t="s">
        <v>32</v>
      </c>
      <c r="Q1766" s="4" t="s">
        <v>33</v>
      </c>
      <c r="R1766" s="4" t="s">
        <v>33</v>
      </c>
      <c r="S1766" s="4" t="s">
        <v>41</v>
      </c>
      <c r="T1766" s="7">
        <v>0.77990000000000004</v>
      </c>
      <c r="U1766" s="8">
        <v>259</v>
      </c>
      <c r="V1766" s="8">
        <v>2024</v>
      </c>
      <c r="W1766" s="4" t="s">
        <v>73</v>
      </c>
    </row>
    <row r="1767" spans="1:23" s="9" customFormat="1" ht="15.75" hidden="1" customHeight="1" x14ac:dyDescent="0.25">
      <c r="A1767" s="10" t="s">
        <v>5359</v>
      </c>
      <c r="B1767" s="10" t="s">
        <v>5360</v>
      </c>
      <c r="C1767" s="10" t="s">
        <v>5361</v>
      </c>
      <c r="D1767" s="22" t="s">
        <v>6087</v>
      </c>
      <c r="E1767" s="10" t="s">
        <v>51</v>
      </c>
      <c r="F1767" s="10" t="s">
        <v>71</v>
      </c>
      <c r="G1767" s="10" t="s">
        <v>5</v>
      </c>
      <c r="H1767" s="10" t="s">
        <v>161</v>
      </c>
      <c r="I1767" s="11">
        <v>45247</v>
      </c>
      <c r="J1767" s="10" t="s">
        <v>40</v>
      </c>
      <c r="K1767" s="11">
        <v>45456</v>
      </c>
      <c r="L1767" s="10" t="s">
        <v>59</v>
      </c>
      <c r="M1767" s="12">
        <v>9861</v>
      </c>
      <c r="N1767" s="12">
        <v>3262</v>
      </c>
      <c r="O1767" s="10">
        <v>36</v>
      </c>
      <c r="P1767" s="11">
        <v>45492</v>
      </c>
      <c r="Q1767" s="10" t="s">
        <v>33</v>
      </c>
      <c r="R1767" s="10" t="s">
        <v>33</v>
      </c>
      <c r="S1767" s="10" t="s">
        <v>34</v>
      </c>
      <c r="T1767" s="13">
        <v>3.0230000000000001</v>
      </c>
      <c r="U1767" s="14">
        <v>209</v>
      </c>
      <c r="V1767" s="14">
        <v>2024</v>
      </c>
      <c r="W1767" s="10" t="s">
        <v>67</v>
      </c>
    </row>
    <row r="1768" spans="1:23" s="9" customFormat="1" ht="15.75" hidden="1" customHeight="1" x14ac:dyDescent="0.25">
      <c r="A1768" s="4" t="s">
        <v>5362</v>
      </c>
      <c r="B1768" s="4" t="s">
        <v>5363</v>
      </c>
      <c r="C1768" s="4" t="s">
        <v>5364</v>
      </c>
      <c r="D1768" s="22" t="s">
        <v>6087</v>
      </c>
      <c r="E1768" s="4" t="s">
        <v>26</v>
      </c>
      <c r="F1768" s="4" t="s">
        <v>71</v>
      </c>
      <c r="G1768" s="4" t="s">
        <v>57</v>
      </c>
      <c r="H1768" s="4" t="s">
        <v>118</v>
      </c>
      <c r="I1768" s="5">
        <v>45136</v>
      </c>
      <c r="J1768" s="4" t="s">
        <v>30</v>
      </c>
      <c r="K1768" s="5">
        <v>45321</v>
      </c>
      <c r="L1768" s="4" t="s">
        <v>59</v>
      </c>
      <c r="M1768" s="6">
        <v>3244</v>
      </c>
      <c r="N1768" s="6">
        <v>4409</v>
      </c>
      <c r="O1768" s="4">
        <v>5</v>
      </c>
      <c r="P1768" s="5">
        <v>45326</v>
      </c>
      <c r="Q1768" s="4" t="s">
        <v>94</v>
      </c>
      <c r="R1768" s="4" t="s">
        <v>33</v>
      </c>
      <c r="S1768" s="4" t="s">
        <v>41</v>
      </c>
      <c r="T1768" s="7">
        <v>0.73580000000000001</v>
      </c>
      <c r="U1768" s="8">
        <v>185</v>
      </c>
      <c r="V1768" s="8">
        <v>2024</v>
      </c>
      <c r="W1768" s="4" t="s">
        <v>73</v>
      </c>
    </row>
    <row r="1769" spans="1:23" s="9" customFormat="1" ht="15.75" hidden="1" customHeight="1" x14ac:dyDescent="0.25">
      <c r="A1769" s="10" t="s">
        <v>5365</v>
      </c>
      <c r="B1769" s="10" t="s">
        <v>5366</v>
      </c>
      <c r="C1769" s="10" t="s">
        <v>5367</v>
      </c>
      <c r="D1769" s="22" t="s">
        <v>6090</v>
      </c>
      <c r="E1769" s="10" t="s">
        <v>51</v>
      </c>
      <c r="F1769" s="10" t="s">
        <v>71</v>
      </c>
      <c r="G1769" s="10" t="s">
        <v>28</v>
      </c>
      <c r="H1769" s="10" t="s">
        <v>39</v>
      </c>
      <c r="I1769" s="11">
        <v>45377</v>
      </c>
      <c r="J1769" s="10" t="s">
        <v>40</v>
      </c>
      <c r="K1769" s="11">
        <v>45623</v>
      </c>
      <c r="L1769" s="10" t="s">
        <v>59</v>
      </c>
      <c r="M1769" s="12">
        <v>35020</v>
      </c>
      <c r="N1769" s="12">
        <v>4707</v>
      </c>
      <c r="O1769" s="10">
        <v>31</v>
      </c>
      <c r="P1769" s="11">
        <v>45654</v>
      </c>
      <c r="Q1769" s="10" t="s">
        <v>33</v>
      </c>
      <c r="R1769" s="10" t="s">
        <v>33</v>
      </c>
      <c r="S1769" s="10" t="s">
        <v>34</v>
      </c>
      <c r="T1769" s="13">
        <v>7.44</v>
      </c>
      <c r="U1769" s="14">
        <v>246</v>
      </c>
      <c r="V1769" s="14">
        <v>2024</v>
      </c>
      <c r="W1769" s="10" t="s">
        <v>61</v>
      </c>
    </row>
    <row r="1770" spans="1:23" s="9" customFormat="1" ht="15.75" hidden="1" customHeight="1" x14ac:dyDescent="0.25">
      <c r="A1770" s="4" t="s">
        <v>5368</v>
      </c>
      <c r="B1770" s="4" t="s">
        <v>5369</v>
      </c>
      <c r="C1770" s="4" t="s">
        <v>5370</v>
      </c>
      <c r="D1770" s="21" t="s">
        <v>6091</v>
      </c>
      <c r="E1770" s="4" t="s">
        <v>51</v>
      </c>
      <c r="F1770" s="4" t="s">
        <v>65</v>
      </c>
      <c r="G1770" s="4" t="s">
        <v>5</v>
      </c>
      <c r="H1770" s="4" t="s">
        <v>29</v>
      </c>
      <c r="I1770" s="5">
        <v>45216</v>
      </c>
      <c r="J1770" s="4" t="s">
        <v>30</v>
      </c>
      <c r="K1770" s="5">
        <v>45501</v>
      </c>
      <c r="L1770" s="4" t="s">
        <v>59</v>
      </c>
      <c r="M1770" s="6">
        <v>8051</v>
      </c>
      <c r="N1770" s="6">
        <v>6823</v>
      </c>
      <c r="O1770" s="4">
        <v>45</v>
      </c>
      <c r="P1770" s="5">
        <v>45546</v>
      </c>
      <c r="Q1770" s="4" t="s">
        <v>33</v>
      </c>
      <c r="R1770" s="4" t="s">
        <v>33</v>
      </c>
      <c r="S1770" s="4" t="s">
        <v>60</v>
      </c>
      <c r="T1770" s="7">
        <v>1.18</v>
      </c>
      <c r="U1770" s="8">
        <v>285</v>
      </c>
      <c r="V1770" s="8">
        <v>2024</v>
      </c>
      <c r="W1770" s="4" t="s">
        <v>42</v>
      </c>
    </row>
    <row r="1771" spans="1:23" s="9" customFormat="1" ht="15.75" hidden="1" customHeight="1" x14ac:dyDescent="0.25">
      <c r="A1771" s="10" t="s">
        <v>5371</v>
      </c>
      <c r="B1771" s="10" t="s">
        <v>5372</v>
      </c>
      <c r="C1771" s="10" t="s">
        <v>5373</v>
      </c>
      <c r="D1771" s="22" t="s">
        <v>6090</v>
      </c>
      <c r="E1771" s="10" t="s">
        <v>26</v>
      </c>
      <c r="F1771" s="10" t="s">
        <v>46</v>
      </c>
      <c r="G1771" s="10" t="s">
        <v>28</v>
      </c>
      <c r="H1771" s="10" t="s">
        <v>161</v>
      </c>
      <c r="I1771" s="11">
        <v>44981</v>
      </c>
      <c r="J1771" s="10" t="s">
        <v>40</v>
      </c>
      <c r="K1771" s="11">
        <v>45311</v>
      </c>
      <c r="L1771" s="10" t="s">
        <v>59</v>
      </c>
      <c r="M1771" s="12">
        <v>42894</v>
      </c>
      <c r="N1771" s="12">
        <v>6690</v>
      </c>
      <c r="O1771" s="10">
        <v>43</v>
      </c>
      <c r="P1771" s="11">
        <v>45354</v>
      </c>
      <c r="Q1771" s="10" t="s">
        <v>33</v>
      </c>
      <c r="R1771" s="10" t="s">
        <v>33</v>
      </c>
      <c r="S1771" s="10" t="s">
        <v>34</v>
      </c>
      <c r="T1771" s="13">
        <v>6.4116999999999997</v>
      </c>
      <c r="U1771" s="14">
        <v>330</v>
      </c>
      <c r="V1771" s="14">
        <v>2024</v>
      </c>
      <c r="W1771" s="10" t="s">
        <v>73</v>
      </c>
    </row>
    <row r="1772" spans="1:23" s="9" customFormat="1" ht="15.75" hidden="1" customHeight="1" x14ac:dyDescent="0.25">
      <c r="A1772" s="4" t="s">
        <v>5374</v>
      </c>
      <c r="B1772" s="4" t="s">
        <v>5375</v>
      </c>
      <c r="C1772" s="4" t="s">
        <v>5376</v>
      </c>
      <c r="D1772" s="22" t="s">
        <v>6090</v>
      </c>
      <c r="E1772" s="4" t="s">
        <v>51</v>
      </c>
      <c r="F1772" s="21" t="s">
        <v>6092</v>
      </c>
      <c r="G1772" s="4" t="s">
        <v>57</v>
      </c>
      <c r="H1772" s="4" t="s">
        <v>161</v>
      </c>
      <c r="I1772" s="5">
        <v>45356</v>
      </c>
      <c r="J1772" s="4" t="s">
        <v>30</v>
      </c>
      <c r="K1772" s="5">
        <v>45459</v>
      </c>
      <c r="L1772" s="4" t="s">
        <v>59</v>
      </c>
      <c r="M1772" s="6">
        <v>9596</v>
      </c>
      <c r="N1772" s="6">
        <v>2985</v>
      </c>
      <c r="O1772" s="4">
        <v>9</v>
      </c>
      <c r="P1772" s="5">
        <v>45468</v>
      </c>
      <c r="Q1772" s="4" t="s">
        <v>33</v>
      </c>
      <c r="R1772" s="4" t="s">
        <v>33</v>
      </c>
      <c r="S1772" s="4" t="s">
        <v>60</v>
      </c>
      <c r="T1772" s="7">
        <v>3.2147000000000001</v>
      </c>
      <c r="U1772" s="8">
        <v>103</v>
      </c>
      <c r="V1772" s="8">
        <v>2024</v>
      </c>
      <c r="W1772" s="4" t="s">
        <v>67</v>
      </c>
    </row>
    <row r="1773" spans="1:23" s="9" customFormat="1" ht="15.75" hidden="1" customHeight="1" x14ac:dyDescent="0.25">
      <c r="A1773" s="10" t="s">
        <v>5377</v>
      </c>
      <c r="B1773" s="10" t="s">
        <v>5378</v>
      </c>
      <c r="C1773" s="10" t="s">
        <v>5379</v>
      </c>
      <c r="D1773" s="21" t="s">
        <v>6091</v>
      </c>
      <c r="E1773" s="10" t="s">
        <v>87</v>
      </c>
      <c r="F1773" s="10" t="s">
        <v>46</v>
      </c>
      <c r="G1773" s="10" t="s">
        <v>57</v>
      </c>
      <c r="H1773" s="10" t="s">
        <v>29</v>
      </c>
      <c r="I1773" s="11">
        <v>45197</v>
      </c>
      <c r="J1773" s="10" t="s">
        <v>40</v>
      </c>
      <c r="K1773" s="11">
        <v>45526</v>
      </c>
      <c r="L1773" s="10" t="s">
        <v>59</v>
      </c>
      <c r="M1773" s="12">
        <v>6709</v>
      </c>
      <c r="N1773" s="12">
        <v>6693</v>
      </c>
      <c r="O1773" s="10">
        <v>6</v>
      </c>
      <c r="P1773" s="11">
        <v>45532</v>
      </c>
      <c r="Q1773" s="10" t="s">
        <v>33</v>
      </c>
      <c r="R1773" s="10" t="s">
        <v>33</v>
      </c>
      <c r="S1773" s="10" t="s">
        <v>41</v>
      </c>
      <c r="T1773" s="13">
        <v>1.0024</v>
      </c>
      <c r="U1773" s="14">
        <v>329</v>
      </c>
      <c r="V1773" s="14">
        <v>2024</v>
      </c>
      <c r="W1773" s="10" t="s">
        <v>114</v>
      </c>
    </row>
    <row r="1774" spans="1:23" s="9" customFormat="1" ht="15.75" hidden="1" customHeight="1" x14ac:dyDescent="0.25">
      <c r="A1774" s="4" t="s">
        <v>5380</v>
      </c>
      <c r="B1774" s="4" t="s">
        <v>5381</v>
      </c>
      <c r="C1774" s="4" t="s">
        <v>5382</v>
      </c>
      <c r="D1774" s="22" t="s">
        <v>6090</v>
      </c>
      <c r="E1774" s="4" t="s">
        <v>87</v>
      </c>
      <c r="F1774" s="4" t="s">
        <v>65</v>
      </c>
      <c r="G1774" s="4" t="s">
        <v>5</v>
      </c>
      <c r="H1774" s="4" t="s">
        <v>118</v>
      </c>
      <c r="I1774" s="5">
        <v>45170</v>
      </c>
      <c r="J1774" s="4" t="s">
        <v>30</v>
      </c>
      <c r="K1774" s="5">
        <v>45479</v>
      </c>
      <c r="L1774" s="4" t="s">
        <v>31</v>
      </c>
      <c r="M1774" s="6">
        <v>31484</v>
      </c>
      <c r="N1774" s="6">
        <v>5780</v>
      </c>
      <c r="O1774" s="4" t="s">
        <v>32</v>
      </c>
      <c r="P1774" s="4" t="s">
        <v>32</v>
      </c>
      <c r="Q1774" s="4" t="s">
        <v>33</v>
      </c>
      <c r="R1774" s="4" t="s">
        <v>33</v>
      </c>
      <c r="S1774" s="4" t="s">
        <v>60</v>
      </c>
      <c r="T1774" s="7">
        <v>5.4470999999999998</v>
      </c>
      <c r="U1774" s="8">
        <v>309</v>
      </c>
      <c r="V1774" s="8">
        <v>2024</v>
      </c>
      <c r="W1774" s="4" t="s">
        <v>42</v>
      </c>
    </row>
    <row r="1775" spans="1:23" s="9" customFormat="1" ht="15.75" hidden="1" customHeight="1" x14ac:dyDescent="0.25">
      <c r="A1775" s="10" t="s">
        <v>5383</v>
      </c>
      <c r="B1775" s="10" t="s">
        <v>5384</v>
      </c>
      <c r="C1775" s="10" t="s">
        <v>5385</v>
      </c>
      <c r="D1775" s="22" t="s">
        <v>6090</v>
      </c>
      <c r="E1775" s="10" t="s">
        <v>26</v>
      </c>
      <c r="F1775" s="10" t="s">
        <v>71</v>
      </c>
      <c r="G1775" s="10" t="s">
        <v>57</v>
      </c>
      <c r="H1775" s="10" t="s">
        <v>118</v>
      </c>
      <c r="I1775" s="11">
        <v>44985</v>
      </c>
      <c r="J1775" s="10" t="s">
        <v>40</v>
      </c>
      <c r="K1775" s="11">
        <v>45304</v>
      </c>
      <c r="L1775" s="10" t="s">
        <v>31</v>
      </c>
      <c r="M1775" s="12">
        <v>50147</v>
      </c>
      <c r="N1775" s="12">
        <v>2151</v>
      </c>
      <c r="O1775" s="10" t="s">
        <v>32</v>
      </c>
      <c r="P1775" s="10" t="s">
        <v>32</v>
      </c>
      <c r="Q1775" s="10" t="s">
        <v>33</v>
      </c>
      <c r="R1775" s="10" t="s">
        <v>33</v>
      </c>
      <c r="S1775" s="10" t="s">
        <v>41</v>
      </c>
      <c r="T1775" s="13">
        <v>23.313300000000002</v>
      </c>
      <c r="U1775" s="14">
        <v>319</v>
      </c>
      <c r="V1775" s="14">
        <v>2024</v>
      </c>
      <c r="W1775" s="10" t="s">
        <v>73</v>
      </c>
    </row>
    <row r="1776" spans="1:23" s="9" customFormat="1" ht="15.75" hidden="1" customHeight="1" x14ac:dyDescent="0.25">
      <c r="A1776" s="4" t="s">
        <v>5386</v>
      </c>
      <c r="B1776" s="4" t="s">
        <v>5387</v>
      </c>
      <c r="C1776" s="4" t="s">
        <v>5388</v>
      </c>
      <c r="D1776" s="21" t="s">
        <v>6088</v>
      </c>
      <c r="E1776" s="4" t="s">
        <v>51</v>
      </c>
      <c r="F1776" s="4" t="s">
        <v>46</v>
      </c>
      <c r="G1776" s="4" t="s">
        <v>28</v>
      </c>
      <c r="H1776" s="4" t="s">
        <v>29</v>
      </c>
      <c r="I1776" s="5">
        <v>45110</v>
      </c>
      <c r="J1776" s="4" t="s">
        <v>40</v>
      </c>
      <c r="K1776" s="5">
        <v>45396</v>
      </c>
      <c r="L1776" s="4" t="s">
        <v>31</v>
      </c>
      <c r="M1776" s="6">
        <v>39762</v>
      </c>
      <c r="N1776" s="6">
        <v>3933</v>
      </c>
      <c r="O1776" s="4" t="s">
        <v>32</v>
      </c>
      <c r="P1776" s="4" t="s">
        <v>32</v>
      </c>
      <c r="Q1776" s="4" t="s">
        <v>33</v>
      </c>
      <c r="R1776" s="4" t="s">
        <v>33</v>
      </c>
      <c r="S1776" s="4" t="s">
        <v>41</v>
      </c>
      <c r="T1776" s="7">
        <v>10.1098</v>
      </c>
      <c r="U1776" s="8">
        <v>286</v>
      </c>
      <c r="V1776" s="8">
        <v>2024</v>
      </c>
      <c r="W1776" s="4" t="s">
        <v>47</v>
      </c>
    </row>
    <row r="1777" spans="1:23" s="9" customFormat="1" ht="15.75" hidden="1" customHeight="1" x14ac:dyDescent="0.25">
      <c r="A1777" s="10" t="s">
        <v>5389</v>
      </c>
      <c r="B1777" s="10" t="s">
        <v>5390</v>
      </c>
      <c r="C1777" s="10" t="s">
        <v>5391</v>
      </c>
      <c r="D1777" s="22" t="s">
        <v>6087</v>
      </c>
      <c r="E1777" s="10" t="s">
        <v>51</v>
      </c>
      <c r="F1777" s="10" t="s">
        <v>71</v>
      </c>
      <c r="G1777" s="10" t="s">
        <v>57</v>
      </c>
      <c r="H1777" s="10" t="s">
        <v>39</v>
      </c>
      <c r="I1777" s="11">
        <v>45123</v>
      </c>
      <c r="J1777" s="10" t="s">
        <v>30</v>
      </c>
      <c r="K1777" s="11">
        <v>45464</v>
      </c>
      <c r="L1777" s="10" t="s">
        <v>59</v>
      </c>
      <c r="M1777" s="12">
        <v>31012</v>
      </c>
      <c r="N1777" s="12">
        <v>1551</v>
      </c>
      <c r="O1777" s="10">
        <v>16</v>
      </c>
      <c r="P1777" s="11">
        <v>45480</v>
      </c>
      <c r="Q1777" s="10" t="s">
        <v>33</v>
      </c>
      <c r="R1777" s="10" t="s">
        <v>33</v>
      </c>
      <c r="S1777" s="10" t="s">
        <v>41</v>
      </c>
      <c r="T1777" s="13">
        <v>19.994800000000001</v>
      </c>
      <c r="U1777" s="14">
        <v>341</v>
      </c>
      <c r="V1777" s="14">
        <v>2024</v>
      </c>
      <c r="W1777" s="10" t="s">
        <v>67</v>
      </c>
    </row>
    <row r="1778" spans="1:23" s="9" customFormat="1" ht="15.75" hidden="1" customHeight="1" x14ac:dyDescent="0.25">
      <c r="A1778" s="4" t="s">
        <v>5392</v>
      </c>
      <c r="B1778" s="4" t="s">
        <v>5393</v>
      </c>
      <c r="C1778" s="4" t="s">
        <v>5394</v>
      </c>
      <c r="D1778" s="22" t="s">
        <v>6087</v>
      </c>
      <c r="E1778" s="4" t="s">
        <v>26</v>
      </c>
      <c r="F1778" s="21" t="s">
        <v>6092</v>
      </c>
      <c r="G1778" s="4" t="s">
        <v>5</v>
      </c>
      <c r="H1778" s="4" t="s">
        <v>118</v>
      </c>
      <c r="I1778" s="5">
        <v>45046</v>
      </c>
      <c r="J1778" s="4" t="s">
        <v>40</v>
      </c>
      <c r="K1778" s="5">
        <v>45348</v>
      </c>
      <c r="L1778" s="4" t="s">
        <v>59</v>
      </c>
      <c r="M1778" s="6">
        <v>36250</v>
      </c>
      <c r="N1778" s="6">
        <v>6186</v>
      </c>
      <c r="O1778" s="4">
        <v>20</v>
      </c>
      <c r="P1778" s="5">
        <v>45368</v>
      </c>
      <c r="Q1778" s="4" t="s">
        <v>33</v>
      </c>
      <c r="R1778" s="4" t="s">
        <v>33</v>
      </c>
      <c r="S1778" s="4" t="s">
        <v>34</v>
      </c>
      <c r="T1778" s="7">
        <v>5.86</v>
      </c>
      <c r="U1778" s="8">
        <v>302</v>
      </c>
      <c r="V1778" s="8">
        <v>2024</v>
      </c>
      <c r="W1778" s="4" t="s">
        <v>35</v>
      </c>
    </row>
    <row r="1779" spans="1:23" s="9" customFormat="1" ht="15.75" hidden="1" customHeight="1" x14ac:dyDescent="0.25">
      <c r="A1779" s="10" t="s">
        <v>5395</v>
      </c>
      <c r="B1779" s="10" t="s">
        <v>5396</v>
      </c>
      <c r="C1779" s="10" t="s">
        <v>5397</v>
      </c>
      <c r="D1779" s="21" t="s">
        <v>6086</v>
      </c>
      <c r="E1779" s="10" t="s">
        <v>87</v>
      </c>
      <c r="F1779" s="10" t="s">
        <v>56</v>
      </c>
      <c r="G1779" s="10" t="s">
        <v>57</v>
      </c>
      <c r="H1779" s="10" t="s">
        <v>58</v>
      </c>
      <c r="I1779" s="11">
        <v>45349</v>
      </c>
      <c r="J1779" s="10" t="s">
        <v>30</v>
      </c>
      <c r="K1779" s="11">
        <v>45445</v>
      </c>
      <c r="L1779" s="10" t="s">
        <v>59</v>
      </c>
      <c r="M1779" s="12">
        <v>76953</v>
      </c>
      <c r="N1779" s="12">
        <v>1608</v>
      </c>
      <c r="O1779" s="10">
        <v>8</v>
      </c>
      <c r="P1779" s="11">
        <v>45453</v>
      </c>
      <c r="Q1779" s="10" t="s">
        <v>33</v>
      </c>
      <c r="R1779" s="10" t="s">
        <v>33</v>
      </c>
      <c r="S1779" s="10" t="s">
        <v>34</v>
      </c>
      <c r="T1779" s="13">
        <v>47.856299999999997</v>
      </c>
      <c r="U1779" s="14">
        <v>96</v>
      </c>
      <c r="V1779" s="14">
        <v>2024</v>
      </c>
      <c r="W1779" s="10" t="s">
        <v>67</v>
      </c>
    </row>
    <row r="1780" spans="1:23" s="9" customFormat="1" ht="15.75" hidden="1" customHeight="1" x14ac:dyDescent="0.25">
      <c r="A1780" s="4" t="s">
        <v>5398</v>
      </c>
      <c r="B1780" s="4" t="s">
        <v>5399</v>
      </c>
      <c r="C1780" s="4" t="s">
        <v>5400</v>
      </c>
      <c r="D1780" s="21" t="s">
        <v>6088</v>
      </c>
      <c r="E1780" s="4" t="s">
        <v>51</v>
      </c>
      <c r="F1780" s="4" t="s">
        <v>27</v>
      </c>
      <c r="G1780" s="4" t="s">
        <v>28</v>
      </c>
      <c r="H1780" s="4" t="s">
        <v>93</v>
      </c>
      <c r="I1780" s="5">
        <v>45186</v>
      </c>
      <c r="J1780" s="4" t="s">
        <v>30</v>
      </c>
      <c r="K1780" s="5">
        <v>45396</v>
      </c>
      <c r="L1780" s="4" t="s">
        <v>59</v>
      </c>
      <c r="M1780" s="6">
        <v>50661</v>
      </c>
      <c r="N1780" s="6">
        <v>2508</v>
      </c>
      <c r="O1780" s="4">
        <v>24</v>
      </c>
      <c r="P1780" s="5">
        <v>45420</v>
      </c>
      <c r="Q1780" s="4" t="s">
        <v>33</v>
      </c>
      <c r="R1780" s="4" t="s">
        <v>33</v>
      </c>
      <c r="S1780" s="4" t="s">
        <v>60</v>
      </c>
      <c r="T1780" s="7">
        <v>20.1998</v>
      </c>
      <c r="U1780" s="8">
        <v>210</v>
      </c>
      <c r="V1780" s="8">
        <v>2024</v>
      </c>
      <c r="W1780" s="4" t="s">
        <v>47</v>
      </c>
    </row>
    <row r="1781" spans="1:23" s="9" customFormat="1" ht="15.75" hidden="1" customHeight="1" x14ac:dyDescent="0.25">
      <c r="A1781" s="10" t="s">
        <v>5401</v>
      </c>
      <c r="B1781" s="10" t="s">
        <v>5402</v>
      </c>
      <c r="C1781" s="10" t="s">
        <v>5403</v>
      </c>
      <c r="D1781" s="21" t="s">
        <v>6089</v>
      </c>
      <c r="E1781" s="10" t="s">
        <v>26</v>
      </c>
      <c r="F1781" s="10" t="s">
        <v>27</v>
      </c>
      <c r="G1781" s="10" t="s">
        <v>5</v>
      </c>
      <c r="H1781" s="10" t="s">
        <v>161</v>
      </c>
      <c r="I1781" s="11">
        <v>45562</v>
      </c>
      <c r="J1781" s="10" t="s">
        <v>40</v>
      </c>
      <c r="K1781" s="11">
        <v>45645</v>
      </c>
      <c r="L1781" s="10" t="s">
        <v>59</v>
      </c>
      <c r="M1781" s="12">
        <v>44040</v>
      </c>
      <c r="N1781" s="12">
        <v>7444</v>
      </c>
      <c r="O1781" s="10">
        <v>11</v>
      </c>
      <c r="P1781" s="11">
        <v>45656</v>
      </c>
      <c r="Q1781" s="10" t="s">
        <v>33</v>
      </c>
      <c r="R1781" s="10" t="s">
        <v>33</v>
      </c>
      <c r="S1781" s="10" t="s">
        <v>41</v>
      </c>
      <c r="T1781" s="13">
        <v>5.9161999999999999</v>
      </c>
      <c r="U1781" s="14">
        <v>83</v>
      </c>
      <c r="V1781" s="14">
        <v>2024</v>
      </c>
      <c r="W1781" s="10" t="s">
        <v>89</v>
      </c>
    </row>
    <row r="1782" spans="1:23" s="9" customFormat="1" ht="15.75" hidden="1" customHeight="1" x14ac:dyDescent="0.25">
      <c r="A1782" s="4" t="s">
        <v>5404</v>
      </c>
      <c r="B1782" s="4" t="s">
        <v>5405</v>
      </c>
      <c r="C1782" s="4" t="s">
        <v>5406</v>
      </c>
      <c r="D1782" s="21" t="s">
        <v>6088</v>
      </c>
      <c r="E1782" s="4" t="s">
        <v>87</v>
      </c>
      <c r="F1782" s="4" t="s">
        <v>71</v>
      </c>
      <c r="G1782" s="4" t="s">
        <v>57</v>
      </c>
      <c r="H1782" s="4" t="s">
        <v>72</v>
      </c>
      <c r="I1782" s="5">
        <v>45117</v>
      </c>
      <c r="J1782" s="4" t="s">
        <v>40</v>
      </c>
      <c r="K1782" s="5">
        <v>45467</v>
      </c>
      <c r="L1782" s="4" t="s">
        <v>31</v>
      </c>
      <c r="M1782" s="6">
        <v>57721</v>
      </c>
      <c r="N1782" s="6">
        <v>3456</v>
      </c>
      <c r="O1782" s="4" t="s">
        <v>32</v>
      </c>
      <c r="P1782" s="4" t="s">
        <v>32</v>
      </c>
      <c r="Q1782" s="4" t="s">
        <v>33</v>
      </c>
      <c r="R1782" s="4" t="s">
        <v>33</v>
      </c>
      <c r="S1782" s="4" t="s">
        <v>41</v>
      </c>
      <c r="T1782" s="7">
        <v>16.701699999999999</v>
      </c>
      <c r="U1782" s="8">
        <v>350</v>
      </c>
      <c r="V1782" s="8">
        <v>2024</v>
      </c>
      <c r="W1782" s="4" t="s">
        <v>67</v>
      </c>
    </row>
    <row r="1783" spans="1:23" s="9" customFormat="1" ht="15.75" hidden="1" customHeight="1" x14ac:dyDescent="0.25">
      <c r="A1783" s="10" t="s">
        <v>5407</v>
      </c>
      <c r="B1783" s="10" t="s">
        <v>5408</v>
      </c>
      <c r="C1783" s="10" t="s">
        <v>5409</v>
      </c>
      <c r="D1783" s="21" t="s">
        <v>6086</v>
      </c>
      <c r="E1783" s="10" t="s">
        <v>87</v>
      </c>
      <c r="F1783" s="10" t="s">
        <v>65</v>
      </c>
      <c r="G1783" s="10" t="s">
        <v>57</v>
      </c>
      <c r="H1783" s="10" t="s">
        <v>88</v>
      </c>
      <c r="I1783" s="11">
        <v>45200</v>
      </c>
      <c r="J1783" s="10" t="s">
        <v>30</v>
      </c>
      <c r="K1783" s="11">
        <v>45505</v>
      </c>
      <c r="L1783" s="10" t="s">
        <v>31</v>
      </c>
      <c r="M1783" s="12">
        <v>33065</v>
      </c>
      <c r="N1783" s="12">
        <v>5889</v>
      </c>
      <c r="O1783" s="10" t="s">
        <v>32</v>
      </c>
      <c r="P1783" s="10" t="s">
        <v>32</v>
      </c>
      <c r="Q1783" s="10" t="s">
        <v>33</v>
      </c>
      <c r="R1783" s="10" t="s">
        <v>33</v>
      </c>
      <c r="S1783" s="10" t="s">
        <v>34</v>
      </c>
      <c r="T1783" s="13">
        <v>5.6147</v>
      </c>
      <c r="U1783" s="14">
        <v>305</v>
      </c>
      <c r="V1783" s="14">
        <v>2024</v>
      </c>
      <c r="W1783" s="10" t="s">
        <v>114</v>
      </c>
    </row>
    <row r="1784" spans="1:23" s="9" customFormat="1" ht="15.75" hidden="1" customHeight="1" x14ac:dyDescent="0.25">
      <c r="A1784" s="4" t="s">
        <v>5410</v>
      </c>
      <c r="B1784" s="4" t="s">
        <v>5411</v>
      </c>
      <c r="C1784" s="4" t="s">
        <v>5412</v>
      </c>
      <c r="D1784" s="21" t="s">
        <v>6089</v>
      </c>
      <c r="E1784" s="4" t="s">
        <v>51</v>
      </c>
      <c r="F1784" s="4" t="s">
        <v>56</v>
      </c>
      <c r="G1784" s="4" t="s">
        <v>57</v>
      </c>
      <c r="H1784" s="4" t="s">
        <v>39</v>
      </c>
      <c r="I1784" s="5">
        <v>45314</v>
      </c>
      <c r="J1784" s="4" t="s">
        <v>30</v>
      </c>
      <c r="K1784" s="5">
        <v>45413</v>
      </c>
      <c r="L1784" s="4" t="s">
        <v>59</v>
      </c>
      <c r="M1784" s="6">
        <v>35607</v>
      </c>
      <c r="N1784" s="6">
        <v>6084</v>
      </c>
      <c r="O1784" s="4">
        <v>41</v>
      </c>
      <c r="P1784" s="5">
        <v>45454</v>
      </c>
      <c r="Q1784" s="4" t="s">
        <v>33</v>
      </c>
      <c r="R1784" s="4" t="s">
        <v>33</v>
      </c>
      <c r="S1784" s="4" t="s">
        <v>41</v>
      </c>
      <c r="T1784" s="7">
        <v>5.8525999999999998</v>
      </c>
      <c r="U1784" s="8">
        <v>99</v>
      </c>
      <c r="V1784" s="8">
        <v>2024</v>
      </c>
      <c r="W1784" s="4" t="s">
        <v>52</v>
      </c>
    </row>
    <row r="1785" spans="1:23" s="9" customFormat="1" ht="15.75" hidden="1" customHeight="1" x14ac:dyDescent="0.25">
      <c r="A1785" s="10" t="s">
        <v>5413</v>
      </c>
      <c r="B1785" s="10" t="s">
        <v>5414</v>
      </c>
      <c r="C1785" s="10" t="s">
        <v>5415</v>
      </c>
      <c r="D1785" s="21" t="s">
        <v>6088</v>
      </c>
      <c r="E1785" s="10" t="s">
        <v>87</v>
      </c>
      <c r="F1785" s="10" t="s">
        <v>56</v>
      </c>
      <c r="G1785" s="10" t="s">
        <v>5</v>
      </c>
      <c r="H1785" s="10" t="s">
        <v>72</v>
      </c>
      <c r="I1785" s="11">
        <v>45337</v>
      </c>
      <c r="J1785" s="10" t="s">
        <v>30</v>
      </c>
      <c r="K1785" s="11">
        <v>45512</v>
      </c>
      <c r="L1785" s="10" t="s">
        <v>66</v>
      </c>
      <c r="M1785" s="12">
        <v>26559</v>
      </c>
      <c r="N1785" s="12">
        <v>5916</v>
      </c>
      <c r="O1785" s="10" t="s">
        <v>32</v>
      </c>
      <c r="P1785" s="10" t="s">
        <v>32</v>
      </c>
      <c r="Q1785" s="10" t="s">
        <v>33</v>
      </c>
      <c r="R1785" s="10" t="s">
        <v>33</v>
      </c>
      <c r="S1785" s="10" t="s">
        <v>60</v>
      </c>
      <c r="T1785" s="13">
        <v>4.4893999999999998</v>
      </c>
      <c r="U1785" s="14">
        <v>175</v>
      </c>
      <c r="V1785" s="14">
        <v>2024</v>
      </c>
      <c r="W1785" s="10" t="s">
        <v>114</v>
      </c>
    </row>
    <row r="1786" spans="1:23" s="9" customFormat="1" ht="15.75" hidden="1" customHeight="1" x14ac:dyDescent="0.25">
      <c r="A1786" s="4" t="s">
        <v>5416</v>
      </c>
      <c r="B1786" s="4" t="s">
        <v>5417</v>
      </c>
      <c r="C1786" s="4" t="s">
        <v>5418</v>
      </c>
      <c r="D1786" s="22" t="s">
        <v>6087</v>
      </c>
      <c r="E1786" s="4" t="s">
        <v>51</v>
      </c>
      <c r="F1786" s="4" t="s">
        <v>56</v>
      </c>
      <c r="G1786" s="4" t="s">
        <v>28</v>
      </c>
      <c r="H1786" s="4" t="s">
        <v>118</v>
      </c>
      <c r="I1786" s="5">
        <v>45254</v>
      </c>
      <c r="J1786" s="4" t="s">
        <v>30</v>
      </c>
      <c r="K1786" s="5">
        <v>45433</v>
      </c>
      <c r="L1786" s="4" t="s">
        <v>59</v>
      </c>
      <c r="M1786" s="6">
        <v>5843</v>
      </c>
      <c r="N1786" s="6">
        <v>6770</v>
      </c>
      <c r="O1786" s="4">
        <v>13</v>
      </c>
      <c r="P1786" s="5">
        <v>45446</v>
      </c>
      <c r="Q1786" s="4" t="s">
        <v>33</v>
      </c>
      <c r="R1786" s="4" t="s">
        <v>33</v>
      </c>
      <c r="S1786" s="4" t="s">
        <v>34</v>
      </c>
      <c r="T1786" s="7">
        <v>0.86309999999999998</v>
      </c>
      <c r="U1786" s="8">
        <v>179</v>
      </c>
      <c r="V1786" s="8">
        <v>2024</v>
      </c>
      <c r="W1786" s="4" t="s">
        <v>52</v>
      </c>
    </row>
    <row r="1787" spans="1:23" s="9" customFormat="1" ht="15.75" hidden="1" customHeight="1" x14ac:dyDescent="0.25">
      <c r="A1787" s="10" t="s">
        <v>5419</v>
      </c>
      <c r="B1787" s="10" t="s">
        <v>5420</v>
      </c>
      <c r="C1787" s="10" t="s">
        <v>5421</v>
      </c>
      <c r="D1787" s="21" t="s">
        <v>6089</v>
      </c>
      <c r="E1787" s="10" t="s">
        <v>26</v>
      </c>
      <c r="F1787" s="10" t="s">
        <v>65</v>
      </c>
      <c r="G1787" s="10" t="s">
        <v>5</v>
      </c>
      <c r="H1787" s="10" t="s">
        <v>118</v>
      </c>
      <c r="I1787" s="11">
        <v>45060</v>
      </c>
      <c r="J1787" s="10" t="s">
        <v>40</v>
      </c>
      <c r="K1787" s="11">
        <v>45405</v>
      </c>
      <c r="L1787" s="10" t="s">
        <v>66</v>
      </c>
      <c r="M1787" s="12">
        <v>62002</v>
      </c>
      <c r="N1787" s="12">
        <v>5950</v>
      </c>
      <c r="O1787" s="10" t="s">
        <v>32</v>
      </c>
      <c r="P1787" s="10" t="s">
        <v>32</v>
      </c>
      <c r="Q1787" s="10" t="s">
        <v>33</v>
      </c>
      <c r="R1787" s="10" t="s">
        <v>33</v>
      </c>
      <c r="S1787" s="10" t="s">
        <v>41</v>
      </c>
      <c r="T1787" s="13">
        <v>10.420500000000001</v>
      </c>
      <c r="U1787" s="14">
        <v>345</v>
      </c>
      <c r="V1787" s="14">
        <v>2024</v>
      </c>
      <c r="W1787" s="10" t="s">
        <v>47</v>
      </c>
    </row>
    <row r="1788" spans="1:23" s="9" customFormat="1" ht="15.75" hidden="1" customHeight="1" x14ac:dyDescent="0.25">
      <c r="A1788" s="4" t="s">
        <v>5422</v>
      </c>
      <c r="B1788" s="4" t="s">
        <v>5423</v>
      </c>
      <c r="C1788" s="4" t="s">
        <v>5424</v>
      </c>
      <c r="D1788" s="21" t="s">
        <v>6091</v>
      </c>
      <c r="E1788" s="4" t="s">
        <v>87</v>
      </c>
      <c r="F1788" s="4" t="s">
        <v>27</v>
      </c>
      <c r="G1788" s="4" t="s">
        <v>57</v>
      </c>
      <c r="H1788" s="4" t="s">
        <v>58</v>
      </c>
      <c r="I1788" s="5">
        <v>45165</v>
      </c>
      <c r="J1788" s="4" t="s">
        <v>30</v>
      </c>
      <c r="K1788" s="5">
        <v>45430</v>
      </c>
      <c r="L1788" s="4" t="s">
        <v>66</v>
      </c>
      <c r="M1788" s="6">
        <v>5191</v>
      </c>
      <c r="N1788" s="6">
        <v>8160</v>
      </c>
      <c r="O1788" s="4" t="s">
        <v>32</v>
      </c>
      <c r="P1788" s="4" t="s">
        <v>32</v>
      </c>
      <c r="Q1788" s="4" t="s">
        <v>33</v>
      </c>
      <c r="R1788" s="4" t="s">
        <v>33</v>
      </c>
      <c r="S1788" s="4" t="s">
        <v>34</v>
      </c>
      <c r="T1788" s="7">
        <v>0.63619999999999999</v>
      </c>
      <c r="U1788" s="8">
        <v>265</v>
      </c>
      <c r="V1788" s="8">
        <v>2024</v>
      </c>
      <c r="W1788" s="4" t="s">
        <v>52</v>
      </c>
    </row>
    <row r="1789" spans="1:23" s="9" customFormat="1" ht="15.75" hidden="1" customHeight="1" x14ac:dyDescent="0.25">
      <c r="A1789" s="10" t="s">
        <v>5425</v>
      </c>
      <c r="B1789" s="10" t="s">
        <v>5426</v>
      </c>
      <c r="C1789" s="10" t="s">
        <v>5427</v>
      </c>
      <c r="D1789" s="21" t="s">
        <v>6091</v>
      </c>
      <c r="E1789" s="10" t="s">
        <v>51</v>
      </c>
      <c r="F1789" s="10" t="s">
        <v>46</v>
      </c>
      <c r="G1789" s="10" t="s">
        <v>57</v>
      </c>
      <c r="H1789" s="10" t="s">
        <v>29</v>
      </c>
      <c r="I1789" s="11">
        <v>45116</v>
      </c>
      <c r="J1789" s="10" t="s">
        <v>40</v>
      </c>
      <c r="K1789" s="11">
        <v>45322</v>
      </c>
      <c r="L1789" s="10" t="s">
        <v>59</v>
      </c>
      <c r="M1789" s="12">
        <v>4595</v>
      </c>
      <c r="N1789" s="12">
        <v>7356</v>
      </c>
      <c r="O1789" s="10">
        <v>18</v>
      </c>
      <c r="P1789" s="11">
        <v>45340</v>
      </c>
      <c r="Q1789" s="10" t="s">
        <v>33</v>
      </c>
      <c r="R1789" s="10" t="s">
        <v>33</v>
      </c>
      <c r="S1789" s="10" t="s">
        <v>60</v>
      </c>
      <c r="T1789" s="13">
        <v>0.62470000000000003</v>
      </c>
      <c r="U1789" s="14">
        <v>206</v>
      </c>
      <c r="V1789" s="14">
        <v>2024</v>
      </c>
      <c r="W1789" s="10" t="s">
        <v>73</v>
      </c>
    </row>
    <row r="1790" spans="1:23" s="9" customFormat="1" ht="15.75" hidden="1" customHeight="1" x14ac:dyDescent="0.25">
      <c r="A1790" s="4" t="s">
        <v>5428</v>
      </c>
      <c r="B1790" s="4" t="s">
        <v>5429</v>
      </c>
      <c r="C1790" s="4" t="s">
        <v>5430</v>
      </c>
      <c r="D1790" s="22" t="s">
        <v>6090</v>
      </c>
      <c r="E1790" s="4" t="s">
        <v>26</v>
      </c>
      <c r="F1790" s="4" t="s">
        <v>71</v>
      </c>
      <c r="G1790" s="4" t="s">
        <v>5</v>
      </c>
      <c r="H1790" s="4" t="s">
        <v>58</v>
      </c>
      <c r="I1790" s="5">
        <v>45295</v>
      </c>
      <c r="J1790" s="4" t="s">
        <v>40</v>
      </c>
      <c r="K1790" s="5">
        <v>45344</v>
      </c>
      <c r="L1790" s="4" t="s">
        <v>31</v>
      </c>
      <c r="M1790" s="6">
        <v>28860</v>
      </c>
      <c r="N1790" s="6">
        <v>2704</v>
      </c>
      <c r="O1790" s="4" t="s">
        <v>32</v>
      </c>
      <c r="P1790" s="4" t="s">
        <v>32</v>
      </c>
      <c r="Q1790" s="4" t="s">
        <v>33</v>
      </c>
      <c r="R1790" s="4" t="s">
        <v>33</v>
      </c>
      <c r="S1790" s="4" t="s">
        <v>34</v>
      </c>
      <c r="T1790" s="7">
        <v>10.6731</v>
      </c>
      <c r="U1790" s="8">
        <v>49</v>
      </c>
      <c r="V1790" s="8">
        <v>2024</v>
      </c>
      <c r="W1790" s="4" t="s">
        <v>35</v>
      </c>
    </row>
    <row r="1791" spans="1:23" s="9" customFormat="1" ht="15.75" hidden="1" customHeight="1" x14ac:dyDescent="0.25">
      <c r="A1791" s="10" t="s">
        <v>5431</v>
      </c>
      <c r="B1791" s="10" t="s">
        <v>5432</v>
      </c>
      <c r="C1791" s="10" t="s">
        <v>5433</v>
      </c>
      <c r="D1791" s="21" t="s">
        <v>6086</v>
      </c>
      <c r="E1791" s="10" t="s">
        <v>26</v>
      </c>
      <c r="F1791" s="10" t="s">
        <v>27</v>
      </c>
      <c r="G1791" s="10" t="s">
        <v>57</v>
      </c>
      <c r="H1791" s="10" t="s">
        <v>88</v>
      </c>
      <c r="I1791" s="11">
        <v>45198</v>
      </c>
      <c r="J1791" s="10" t="s">
        <v>40</v>
      </c>
      <c r="K1791" s="11">
        <v>45447</v>
      </c>
      <c r="L1791" s="10" t="s">
        <v>59</v>
      </c>
      <c r="M1791" s="12">
        <v>23045</v>
      </c>
      <c r="N1791" s="12">
        <v>7126</v>
      </c>
      <c r="O1791" s="10">
        <v>25</v>
      </c>
      <c r="P1791" s="11">
        <v>45472</v>
      </c>
      <c r="Q1791" s="10" t="s">
        <v>33</v>
      </c>
      <c r="R1791" s="10" t="s">
        <v>33</v>
      </c>
      <c r="S1791" s="10" t="s">
        <v>34</v>
      </c>
      <c r="T1791" s="13">
        <v>3.2339000000000002</v>
      </c>
      <c r="U1791" s="14">
        <v>249</v>
      </c>
      <c r="V1791" s="14">
        <v>2024</v>
      </c>
      <c r="W1791" s="10" t="s">
        <v>67</v>
      </c>
    </row>
    <row r="1792" spans="1:23" s="9" customFormat="1" ht="15.75" hidden="1" customHeight="1" x14ac:dyDescent="0.25">
      <c r="A1792" s="4" t="s">
        <v>5434</v>
      </c>
      <c r="B1792" s="4" t="s">
        <v>5435</v>
      </c>
      <c r="C1792" s="4" t="s">
        <v>5436</v>
      </c>
      <c r="D1792" s="22" t="s">
        <v>6090</v>
      </c>
      <c r="E1792" s="4" t="s">
        <v>51</v>
      </c>
      <c r="F1792" s="4" t="s">
        <v>27</v>
      </c>
      <c r="G1792" s="4" t="s">
        <v>28</v>
      </c>
      <c r="H1792" s="4" t="s">
        <v>39</v>
      </c>
      <c r="I1792" s="5">
        <v>45281</v>
      </c>
      <c r="J1792" s="4" t="s">
        <v>30</v>
      </c>
      <c r="K1792" s="5">
        <v>45376</v>
      </c>
      <c r="L1792" s="4" t="s">
        <v>59</v>
      </c>
      <c r="M1792" s="6">
        <v>27172</v>
      </c>
      <c r="N1792" s="6">
        <v>6036</v>
      </c>
      <c r="O1792" s="4">
        <v>3</v>
      </c>
      <c r="P1792" s="5">
        <v>45379</v>
      </c>
      <c r="Q1792" s="4" t="s">
        <v>33</v>
      </c>
      <c r="R1792" s="4" t="s">
        <v>33</v>
      </c>
      <c r="S1792" s="4" t="s">
        <v>41</v>
      </c>
      <c r="T1792" s="7">
        <v>4.5016999999999996</v>
      </c>
      <c r="U1792" s="8">
        <v>95</v>
      </c>
      <c r="V1792" s="8">
        <v>2024</v>
      </c>
      <c r="W1792" s="4" t="s">
        <v>77</v>
      </c>
    </row>
    <row r="1793" spans="1:23" s="9" customFormat="1" ht="15.75" hidden="1" customHeight="1" x14ac:dyDescent="0.25">
      <c r="A1793" s="10" t="s">
        <v>5437</v>
      </c>
      <c r="B1793" s="10" t="s">
        <v>5438</v>
      </c>
      <c r="C1793" s="10" t="s">
        <v>5439</v>
      </c>
      <c r="D1793" s="21" t="s">
        <v>6086</v>
      </c>
      <c r="E1793" s="10" t="s">
        <v>26</v>
      </c>
      <c r="F1793" s="21" t="s">
        <v>6092</v>
      </c>
      <c r="G1793" s="10" t="s">
        <v>5</v>
      </c>
      <c r="H1793" s="10" t="s">
        <v>72</v>
      </c>
      <c r="I1793" s="11">
        <v>45306</v>
      </c>
      <c r="J1793" s="10" t="s">
        <v>40</v>
      </c>
      <c r="K1793" s="11">
        <v>45353</v>
      </c>
      <c r="L1793" s="10" t="s">
        <v>59</v>
      </c>
      <c r="M1793" s="12">
        <v>75856</v>
      </c>
      <c r="N1793" s="12">
        <v>3174</v>
      </c>
      <c r="O1793" s="10">
        <v>14</v>
      </c>
      <c r="P1793" s="11">
        <v>45367</v>
      </c>
      <c r="Q1793" s="10" t="s">
        <v>33</v>
      </c>
      <c r="R1793" s="10" t="s">
        <v>33</v>
      </c>
      <c r="S1793" s="10" t="s">
        <v>60</v>
      </c>
      <c r="T1793" s="13">
        <v>23.8992</v>
      </c>
      <c r="U1793" s="14">
        <v>47</v>
      </c>
      <c r="V1793" s="14">
        <v>2024</v>
      </c>
      <c r="W1793" s="10" t="s">
        <v>77</v>
      </c>
    </row>
    <row r="1794" spans="1:23" s="9" customFormat="1" ht="15.75" hidden="1" customHeight="1" x14ac:dyDescent="0.25">
      <c r="A1794" s="4" t="s">
        <v>5440</v>
      </c>
      <c r="B1794" s="4" t="s">
        <v>5441</v>
      </c>
      <c r="C1794" s="4" t="s">
        <v>5442</v>
      </c>
      <c r="D1794" s="21" t="s">
        <v>6088</v>
      </c>
      <c r="E1794" s="4" t="s">
        <v>26</v>
      </c>
      <c r="F1794" s="21" t="s">
        <v>6092</v>
      </c>
      <c r="G1794" s="4" t="s">
        <v>57</v>
      </c>
      <c r="H1794" s="4" t="s">
        <v>93</v>
      </c>
      <c r="I1794" s="5">
        <v>45162</v>
      </c>
      <c r="J1794" s="4" t="s">
        <v>30</v>
      </c>
      <c r="K1794" s="5">
        <v>45324</v>
      </c>
      <c r="L1794" s="4" t="s">
        <v>66</v>
      </c>
      <c r="M1794" s="6">
        <v>62720</v>
      </c>
      <c r="N1794" s="6">
        <v>3641</v>
      </c>
      <c r="O1794" s="4" t="s">
        <v>32</v>
      </c>
      <c r="P1794" s="4" t="s">
        <v>32</v>
      </c>
      <c r="Q1794" s="4" t="s">
        <v>33</v>
      </c>
      <c r="R1794" s="4" t="s">
        <v>33</v>
      </c>
      <c r="S1794" s="4" t="s">
        <v>34</v>
      </c>
      <c r="T1794" s="7">
        <v>17.225999999999999</v>
      </c>
      <c r="U1794" s="8">
        <v>162</v>
      </c>
      <c r="V1794" s="8">
        <v>2024</v>
      </c>
      <c r="W1794" s="4" t="s">
        <v>35</v>
      </c>
    </row>
    <row r="1795" spans="1:23" s="9" customFormat="1" ht="15.75" hidden="1" customHeight="1" x14ac:dyDescent="0.25">
      <c r="A1795" s="10" t="s">
        <v>5443</v>
      </c>
      <c r="B1795" s="10" t="s">
        <v>5444</v>
      </c>
      <c r="C1795" s="10" t="s">
        <v>5445</v>
      </c>
      <c r="D1795" s="21" t="s">
        <v>6086</v>
      </c>
      <c r="E1795" s="10" t="s">
        <v>26</v>
      </c>
      <c r="F1795" s="10" t="s">
        <v>27</v>
      </c>
      <c r="G1795" s="10" t="s">
        <v>57</v>
      </c>
      <c r="H1795" s="10" t="s">
        <v>161</v>
      </c>
      <c r="I1795" s="11">
        <v>45567</v>
      </c>
      <c r="J1795" s="10" t="s">
        <v>40</v>
      </c>
      <c r="K1795" s="11">
        <v>45610</v>
      </c>
      <c r="L1795" s="10" t="s">
        <v>59</v>
      </c>
      <c r="M1795" s="12">
        <v>85424</v>
      </c>
      <c r="N1795" s="12">
        <v>7819</v>
      </c>
      <c r="O1795" s="10">
        <v>26</v>
      </c>
      <c r="P1795" s="11">
        <v>45636</v>
      </c>
      <c r="Q1795" s="10" t="s">
        <v>33</v>
      </c>
      <c r="R1795" s="10" t="s">
        <v>33</v>
      </c>
      <c r="S1795" s="10" t="s">
        <v>60</v>
      </c>
      <c r="T1795" s="13">
        <v>10.9252</v>
      </c>
      <c r="U1795" s="14">
        <v>43</v>
      </c>
      <c r="V1795" s="14">
        <v>2024</v>
      </c>
      <c r="W1795" s="10" t="s">
        <v>61</v>
      </c>
    </row>
    <row r="1796" spans="1:23" s="9" customFormat="1" ht="15.75" hidden="1" customHeight="1" x14ac:dyDescent="0.25">
      <c r="A1796" s="4" t="s">
        <v>5446</v>
      </c>
      <c r="B1796" s="4" t="s">
        <v>5447</v>
      </c>
      <c r="C1796" s="4" t="s">
        <v>5448</v>
      </c>
      <c r="D1796" s="22" t="s">
        <v>6087</v>
      </c>
      <c r="E1796" s="4" t="s">
        <v>26</v>
      </c>
      <c r="F1796" s="4" t="s">
        <v>65</v>
      </c>
      <c r="G1796" s="4" t="s">
        <v>57</v>
      </c>
      <c r="H1796" s="4" t="s">
        <v>88</v>
      </c>
      <c r="I1796" s="5">
        <v>45254</v>
      </c>
      <c r="J1796" s="4" t="s">
        <v>40</v>
      </c>
      <c r="K1796" s="5">
        <v>45466</v>
      </c>
      <c r="L1796" s="4" t="s">
        <v>59</v>
      </c>
      <c r="M1796" s="6">
        <v>14653</v>
      </c>
      <c r="N1796" s="6">
        <v>5352</v>
      </c>
      <c r="O1796" s="4">
        <v>35</v>
      </c>
      <c r="P1796" s="5">
        <v>45501</v>
      </c>
      <c r="Q1796" s="4" t="s">
        <v>33</v>
      </c>
      <c r="R1796" s="4" t="s">
        <v>33</v>
      </c>
      <c r="S1796" s="4" t="s">
        <v>34</v>
      </c>
      <c r="T1796" s="7">
        <v>2.7378999999999998</v>
      </c>
      <c r="U1796" s="8">
        <v>212</v>
      </c>
      <c r="V1796" s="8">
        <v>2024</v>
      </c>
      <c r="W1796" s="4" t="s">
        <v>67</v>
      </c>
    </row>
    <row r="1797" spans="1:23" s="9" customFormat="1" ht="15.75" hidden="1" customHeight="1" x14ac:dyDescent="0.25">
      <c r="A1797" s="10" t="s">
        <v>5449</v>
      </c>
      <c r="B1797" s="10" t="s">
        <v>5450</v>
      </c>
      <c r="C1797" s="10" t="s">
        <v>5451</v>
      </c>
      <c r="D1797" s="22" t="s">
        <v>6087</v>
      </c>
      <c r="E1797" s="10" t="s">
        <v>51</v>
      </c>
      <c r="F1797" s="10" t="s">
        <v>27</v>
      </c>
      <c r="G1797" s="10" t="s">
        <v>5</v>
      </c>
      <c r="H1797" s="10" t="s">
        <v>93</v>
      </c>
      <c r="I1797" s="11">
        <v>45197</v>
      </c>
      <c r="J1797" s="10" t="s">
        <v>40</v>
      </c>
      <c r="K1797" s="11">
        <v>45487</v>
      </c>
      <c r="L1797" s="10" t="s">
        <v>59</v>
      </c>
      <c r="M1797" s="12">
        <v>2240</v>
      </c>
      <c r="N1797" s="12">
        <v>1293</v>
      </c>
      <c r="O1797" s="10">
        <v>23</v>
      </c>
      <c r="P1797" s="11">
        <v>45510</v>
      </c>
      <c r="Q1797" s="10" t="s">
        <v>33</v>
      </c>
      <c r="R1797" s="10" t="s">
        <v>33</v>
      </c>
      <c r="S1797" s="10" t="s">
        <v>34</v>
      </c>
      <c r="T1797" s="13">
        <v>1.7323999999999999</v>
      </c>
      <c r="U1797" s="14">
        <v>290</v>
      </c>
      <c r="V1797" s="14">
        <v>2024</v>
      </c>
      <c r="W1797" s="10" t="s">
        <v>42</v>
      </c>
    </row>
    <row r="1798" spans="1:23" s="9" customFormat="1" ht="15.75" hidden="1" customHeight="1" x14ac:dyDescent="0.25">
      <c r="A1798" s="4" t="s">
        <v>5452</v>
      </c>
      <c r="B1798" s="4" t="s">
        <v>5453</v>
      </c>
      <c r="C1798" s="4" t="s">
        <v>5454</v>
      </c>
      <c r="D1798" s="21" t="s">
        <v>6086</v>
      </c>
      <c r="E1798" s="4" t="s">
        <v>87</v>
      </c>
      <c r="F1798" s="4" t="s">
        <v>56</v>
      </c>
      <c r="G1798" s="4" t="s">
        <v>57</v>
      </c>
      <c r="H1798" s="4" t="s">
        <v>72</v>
      </c>
      <c r="I1798" s="5">
        <v>45102</v>
      </c>
      <c r="J1798" s="4" t="s">
        <v>40</v>
      </c>
      <c r="K1798" s="5">
        <v>45325</v>
      </c>
      <c r="L1798" s="4" t="s">
        <v>59</v>
      </c>
      <c r="M1798" s="6">
        <v>43656</v>
      </c>
      <c r="N1798" s="6">
        <v>7312</v>
      </c>
      <c r="O1798" s="4">
        <v>25</v>
      </c>
      <c r="P1798" s="5">
        <v>45350</v>
      </c>
      <c r="Q1798" s="4" t="s">
        <v>33</v>
      </c>
      <c r="R1798" s="4" t="s">
        <v>33</v>
      </c>
      <c r="S1798" s="4" t="s">
        <v>60</v>
      </c>
      <c r="T1798" s="7">
        <v>5.9705000000000004</v>
      </c>
      <c r="U1798" s="8">
        <v>223</v>
      </c>
      <c r="V1798" s="8">
        <v>2024</v>
      </c>
      <c r="W1798" s="4" t="s">
        <v>35</v>
      </c>
    </row>
    <row r="1799" spans="1:23" s="9" customFormat="1" ht="15.75" hidden="1" customHeight="1" x14ac:dyDescent="0.25">
      <c r="A1799" s="10" t="s">
        <v>5455</v>
      </c>
      <c r="B1799" s="10" t="s">
        <v>5456</v>
      </c>
      <c r="C1799" s="10" t="s">
        <v>5457</v>
      </c>
      <c r="D1799" s="22" t="s">
        <v>6087</v>
      </c>
      <c r="E1799" s="10" t="s">
        <v>87</v>
      </c>
      <c r="F1799" s="21" t="s">
        <v>6092</v>
      </c>
      <c r="G1799" s="10" t="s">
        <v>28</v>
      </c>
      <c r="H1799" s="10" t="s">
        <v>161</v>
      </c>
      <c r="I1799" s="11">
        <v>45079</v>
      </c>
      <c r="J1799" s="10" t="s">
        <v>40</v>
      </c>
      <c r="K1799" s="11">
        <v>45430</v>
      </c>
      <c r="L1799" s="10" t="s">
        <v>59</v>
      </c>
      <c r="M1799" s="12">
        <v>5163</v>
      </c>
      <c r="N1799" s="12">
        <v>1029</v>
      </c>
      <c r="O1799" s="10">
        <v>36</v>
      </c>
      <c r="P1799" s="11">
        <v>45466</v>
      </c>
      <c r="Q1799" s="10" t="s">
        <v>33</v>
      </c>
      <c r="R1799" s="10" t="s">
        <v>33</v>
      </c>
      <c r="S1799" s="10" t="s">
        <v>41</v>
      </c>
      <c r="T1799" s="13">
        <v>5.0175000000000001</v>
      </c>
      <c r="U1799" s="14">
        <v>351</v>
      </c>
      <c r="V1799" s="14">
        <v>2024</v>
      </c>
      <c r="W1799" s="10" t="s">
        <v>52</v>
      </c>
    </row>
    <row r="1800" spans="1:23" s="9" customFormat="1" ht="15.75" hidden="1" customHeight="1" x14ac:dyDescent="0.25">
      <c r="A1800" s="4" t="s">
        <v>5458</v>
      </c>
      <c r="B1800" s="4" t="s">
        <v>5459</v>
      </c>
      <c r="C1800" s="4" t="s">
        <v>5460</v>
      </c>
      <c r="D1800" s="21" t="s">
        <v>6086</v>
      </c>
      <c r="E1800" s="4" t="s">
        <v>26</v>
      </c>
      <c r="F1800" s="4" t="s">
        <v>27</v>
      </c>
      <c r="G1800" s="4" t="s">
        <v>5</v>
      </c>
      <c r="H1800" s="4" t="s">
        <v>161</v>
      </c>
      <c r="I1800" s="5">
        <v>45558</v>
      </c>
      <c r="J1800" s="4" t="s">
        <v>40</v>
      </c>
      <c r="K1800" s="5">
        <v>45614</v>
      </c>
      <c r="L1800" s="4" t="s">
        <v>66</v>
      </c>
      <c r="M1800" s="6">
        <v>18627</v>
      </c>
      <c r="N1800" s="6">
        <v>8739</v>
      </c>
      <c r="O1800" s="4" t="s">
        <v>32</v>
      </c>
      <c r="P1800" s="4" t="s">
        <v>32</v>
      </c>
      <c r="Q1800" s="4" t="s">
        <v>33</v>
      </c>
      <c r="R1800" s="4" t="s">
        <v>33</v>
      </c>
      <c r="S1800" s="4" t="s">
        <v>60</v>
      </c>
      <c r="T1800" s="7">
        <v>2.1315</v>
      </c>
      <c r="U1800" s="8">
        <v>56</v>
      </c>
      <c r="V1800" s="8">
        <v>2024</v>
      </c>
      <c r="W1800" s="4" t="s">
        <v>61</v>
      </c>
    </row>
    <row r="1801" spans="1:23" s="9" customFormat="1" ht="15.75" hidden="1" customHeight="1" x14ac:dyDescent="0.25">
      <c r="A1801" s="10" t="s">
        <v>5461</v>
      </c>
      <c r="B1801" s="10" t="s">
        <v>5462</v>
      </c>
      <c r="C1801" s="10" t="s">
        <v>5463</v>
      </c>
      <c r="D1801" s="21" t="s">
        <v>6086</v>
      </c>
      <c r="E1801" s="10" t="s">
        <v>26</v>
      </c>
      <c r="F1801" s="10" t="s">
        <v>65</v>
      </c>
      <c r="G1801" s="10" t="s">
        <v>28</v>
      </c>
      <c r="H1801" s="10" t="s">
        <v>29</v>
      </c>
      <c r="I1801" s="11">
        <v>45501</v>
      </c>
      <c r="J1801" s="10" t="s">
        <v>30</v>
      </c>
      <c r="K1801" s="11">
        <v>45573</v>
      </c>
      <c r="L1801" s="10" t="s">
        <v>59</v>
      </c>
      <c r="M1801" s="12">
        <v>64537</v>
      </c>
      <c r="N1801" s="12">
        <v>536</v>
      </c>
      <c r="O1801" s="10">
        <v>11</v>
      </c>
      <c r="P1801" s="11">
        <v>45584</v>
      </c>
      <c r="Q1801" s="10" t="s">
        <v>33</v>
      </c>
      <c r="R1801" s="10" t="s">
        <v>33</v>
      </c>
      <c r="S1801" s="10" t="s">
        <v>34</v>
      </c>
      <c r="T1801" s="13">
        <v>120.4049</v>
      </c>
      <c r="U1801" s="14">
        <v>72</v>
      </c>
      <c r="V1801" s="14">
        <v>2024</v>
      </c>
      <c r="W1801" s="10" t="s">
        <v>95</v>
      </c>
    </row>
    <row r="1802" spans="1:23" s="9" customFormat="1" ht="15.75" hidden="1" customHeight="1" x14ac:dyDescent="0.25">
      <c r="A1802" s="4" t="s">
        <v>5464</v>
      </c>
      <c r="B1802" s="4" t="s">
        <v>5465</v>
      </c>
      <c r="C1802" s="4" t="s">
        <v>5466</v>
      </c>
      <c r="D1802" s="21" t="s">
        <v>6088</v>
      </c>
      <c r="E1802" s="4" t="s">
        <v>87</v>
      </c>
      <c r="F1802" s="4" t="s">
        <v>46</v>
      </c>
      <c r="G1802" s="4" t="s">
        <v>28</v>
      </c>
      <c r="H1802" s="4" t="s">
        <v>161</v>
      </c>
      <c r="I1802" s="5">
        <v>45168</v>
      </c>
      <c r="J1802" s="4" t="s">
        <v>40</v>
      </c>
      <c r="K1802" s="5">
        <v>45532</v>
      </c>
      <c r="L1802" s="4" t="s">
        <v>59</v>
      </c>
      <c r="M1802" s="6">
        <v>72615</v>
      </c>
      <c r="N1802" s="6">
        <v>4519</v>
      </c>
      <c r="O1802" s="4">
        <v>38</v>
      </c>
      <c r="P1802" s="5">
        <v>45570</v>
      </c>
      <c r="Q1802" s="4" t="s">
        <v>94</v>
      </c>
      <c r="R1802" s="4" t="s">
        <v>33</v>
      </c>
      <c r="S1802" s="4" t="s">
        <v>34</v>
      </c>
      <c r="T1802" s="7">
        <v>16.0688</v>
      </c>
      <c r="U1802" s="8">
        <v>364</v>
      </c>
      <c r="V1802" s="8">
        <v>2024</v>
      </c>
      <c r="W1802" s="4" t="s">
        <v>114</v>
      </c>
    </row>
    <row r="1803" spans="1:23" s="9" customFormat="1" ht="15.75" hidden="1" customHeight="1" x14ac:dyDescent="0.25">
      <c r="A1803" s="10" t="s">
        <v>5467</v>
      </c>
      <c r="B1803" s="10" t="s">
        <v>5468</v>
      </c>
      <c r="C1803" s="10" t="s">
        <v>5469</v>
      </c>
      <c r="D1803" s="22" t="s">
        <v>6087</v>
      </c>
      <c r="E1803" s="10" t="s">
        <v>87</v>
      </c>
      <c r="F1803" s="10" t="s">
        <v>65</v>
      </c>
      <c r="G1803" s="10" t="s">
        <v>57</v>
      </c>
      <c r="H1803" s="10" t="s">
        <v>161</v>
      </c>
      <c r="I1803" s="11">
        <v>45300</v>
      </c>
      <c r="J1803" s="10" t="s">
        <v>40</v>
      </c>
      <c r="K1803" s="11">
        <v>45398</v>
      </c>
      <c r="L1803" s="10" t="s">
        <v>59</v>
      </c>
      <c r="M1803" s="12">
        <v>6907</v>
      </c>
      <c r="N1803" s="12">
        <v>6531</v>
      </c>
      <c r="O1803" s="10">
        <v>5</v>
      </c>
      <c r="P1803" s="11">
        <v>45403</v>
      </c>
      <c r="Q1803" s="10" t="s">
        <v>33</v>
      </c>
      <c r="R1803" s="10" t="s">
        <v>33</v>
      </c>
      <c r="S1803" s="10" t="s">
        <v>34</v>
      </c>
      <c r="T1803" s="13">
        <v>1.0576000000000001</v>
      </c>
      <c r="U1803" s="14">
        <v>98</v>
      </c>
      <c r="V1803" s="14">
        <v>2024</v>
      </c>
      <c r="W1803" s="10" t="s">
        <v>47</v>
      </c>
    </row>
    <row r="1804" spans="1:23" s="9" customFormat="1" ht="15.75" hidden="1" customHeight="1" x14ac:dyDescent="0.25">
      <c r="A1804" s="4" t="s">
        <v>5470</v>
      </c>
      <c r="B1804" s="4" t="s">
        <v>5471</v>
      </c>
      <c r="C1804" s="4" t="s">
        <v>5472</v>
      </c>
      <c r="D1804" s="21" t="s">
        <v>6089</v>
      </c>
      <c r="E1804" s="4" t="s">
        <v>51</v>
      </c>
      <c r="F1804" s="4" t="s">
        <v>56</v>
      </c>
      <c r="G1804" s="4" t="s">
        <v>5</v>
      </c>
      <c r="H1804" s="4" t="s">
        <v>93</v>
      </c>
      <c r="I1804" s="5">
        <v>45380</v>
      </c>
      <c r="J1804" s="4" t="s">
        <v>30</v>
      </c>
      <c r="K1804" s="5">
        <v>45599</v>
      </c>
      <c r="L1804" s="4" t="s">
        <v>31</v>
      </c>
      <c r="M1804" s="6">
        <v>69792</v>
      </c>
      <c r="N1804" s="6">
        <v>2768</v>
      </c>
      <c r="O1804" s="4" t="s">
        <v>32</v>
      </c>
      <c r="P1804" s="4" t="s">
        <v>32</v>
      </c>
      <c r="Q1804" s="4" t="s">
        <v>33</v>
      </c>
      <c r="R1804" s="4" t="s">
        <v>33</v>
      </c>
      <c r="S1804" s="4" t="s">
        <v>34</v>
      </c>
      <c r="T1804" s="7">
        <v>25.213899999999999</v>
      </c>
      <c r="U1804" s="8">
        <v>219</v>
      </c>
      <c r="V1804" s="8">
        <v>2024</v>
      </c>
      <c r="W1804" s="4" t="s">
        <v>61</v>
      </c>
    </row>
    <row r="1805" spans="1:23" s="9" customFormat="1" ht="15.75" hidden="1" customHeight="1" x14ac:dyDescent="0.25">
      <c r="A1805" s="10" t="s">
        <v>5473</v>
      </c>
      <c r="B1805" s="10" t="s">
        <v>5474</v>
      </c>
      <c r="C1805" s="10" t="s">
        <v>5475</v>
      </c>
      <c r="D1805" s="22" t="s">
        <v>6087</v>
      </c>
      <c r="E1805" s="10" t="s">
        <v>51</v>
      </c>
      <c r="F1805" s="10" t="s">
        <v>71</v>
      </c>
      <c r="G1805" s="10" t="s">
        <v>57</v>
      </c>
      <c r="H1805" s="10" t="s">
        <v>93</v>
      </c>
      <c r="I1805" s="11">
        <v>45316</v>
      </c>
      <c r="J1805" s="10" t="s">
        <v>30</v>
      </c>
      <c r="K1805" s="11">
        <v>45472</v>
      </c>
      <c r="L1805" s="10" t="s">
        <v>66</v>
      </c>
      <c r="M1805" s="12">
        <v>25195</v>
      </c>
      <c r="N1805" s="12">
        <v>2061</v>
      </c>
      <c r="O1805" s="10" t="s">
        <v>32</v>
      </c>
      <c r="P1805" s="10" t="s">
        <v>32</v>
      </c>
      <c r="Q1805" s="10" t="s">
        <v>33</v>
      </c>
      <c r="R1805" s="10" t="s">
        <v>33</v>
      </c>
      <c r="S1805" s="10" t="s">
        <v>34</v>
      </c>
      <c r="T1805" s="13">
        <v>12.224600000000001</v>
      </c>
      <c r="U1805" s="14">
        <v>156</v>
      </c>
      <c r="V1805" s="14">
        <v>2024</v>
      </c>
      <c r="W1805" s="10" t="s">
        <v>67</v>
      </c>
    </row>
    <row r="1806" spans="1:23" s="9" customFormat="1" ht="15.75" hidden="1" customHeight="1" x14ac:dyDescent="0.25">
      <c r="A1806" s="4" t="s">
        <v>5476</v>
      </c>
      <c r="B1806" s="4" t="s">
        <v>5477</v>
      </c>
      <c r="C1806" s="4" t="s">
        <v>5478</v>
      </c>
      <c r="D1806" s="21" t="s">
        <v>6086</v>
      </c>
      <c r="E1806" s="4" t="s">
        <v>26</v>
      </c>
      <c r="F1806" s="4" t="s">
        <v>46</v>
      </c>
      <c r="G1806" s="4" t="s">
        <v>28</v>
      </c>
      <c r="H1806" s="4" t="s">
        <v>39</v>
      </c>
      <c r="I1806" s="5">
        <v>45137</v>
      </c>
      <c r="J1806" s="4" t="s">
        <v>40</v>
      </c>
      <c r="K1806" s="5">
        <v>45292</v>
      </c>
      <c r="L1806" s="4" t="s">
        <v>59</v>
      </c>
      <c r="M1806" s="6">
        <v>34474</v>
      </c>
      <c r="N1806" s="6">
        <v>5067</v>
      </c>
      <c r="O1806" s="4">
        <v>28</v>
      </c>
      <c r="P1806" s="5">
        <v>45320</v>
      </c>
      <c r="Q1806" s="4" t="s">
        <v>94</v>
      </c>
      <c r="R1806" s="4" t="s">
        <v>94</v>
      </c>
      <c r="S1806" s="4" t="s">
        <v>34</v>
      </c>
      <c r="T1806" s="7">
        <v>6.8036000000000003</v>
      </c>
      <c r="U1806" s="8">
        <v>155</v>
      </c>
      <c r="V1806" s="8">
        <v>2024</v>
      </c>
      <c r="W1806" s="4" t="s">
        <v>73</v>
      </c>
    </row>
    <row r="1807" spans="1:23" s="9" customFormat="1" ht="15.75" hidden="1" customHeight="1" x14ac:dyDescent="0.25">
      <c r="A1807" s="10" t="s">
        <v>5479</v>
      </c>
      <c r="B1807" s="10" t="s">
        <v>5480</v>
      </c>
      <c r="C1807" s="10" t="s">
        <v>5481</v>
      </c>
      <c r="D1807" s="22" t="s">
        <v>6090</v>
      </c>
      <c r="E1807" s="10" t="s">
        <v>51</v>
      </c>
      <c r="F1807" s="10" t="s">
        <v>71</v>
      </c>
      <c r="G1807" s="10" t="s">
        <v>5</v>
      </c>
      <c r="H1807" s="10" t="s">
        <v>72</v>
      </c>
      <c r="I1807" s="11">
        <v>45455</v>
      </c>
      <c r="J1807" s="10" t="s">
        <v>30</v>
      </c>
      <c r="K1807" s="11">
        <v>45649</v>
      </c>
      <c r="L1807" s="10" t="s">
        <v>31</v>
      </c>
      <c r="M1807" s="12">
        <v>42620</v>
      </c>
      <c r="N1807" s="12">
        <v>6625</v>
      </c>
      <c r="O1807" s="10" t="s">
        <v>32</v>
      </c>
      <c r="P1807" s="10" t="s">
        <v>32</v>
      </c>
      <c r="Q1807" s="10" t="s">
        <v>33</v>
      </c>
      <c r="R1807" s="10" t="s">
        <v>33</v>
      </c>
      <c r="S1807" s="10" t="s">
        <v>41</v>
      </c>
      <c r="T1807" s="13">
        <v>6.4332000000000003</v>
      </c>
      <c r="U1807" s="14">
        <v>194</v>
      </c>
      <c r="V1807" s="14">
        <v>2024</v>
      </c>
      <c r="W1807" s="10" t="s">
        <v>89</v>
      </c>
    </row>
    <row r="1808" spans="1:23" s="9" customFormat="1" ht="15.75" hidden="1" customHeight="1" x14ac:dyDescent="0.25">
      <c r="A1808" s="4" t="s">
        <v>5482</v>
      </c>
      <c r="B1808" s="4" t="s">
        <v>5483</v>
      </c>
      <c r="C1808" s="4" t="s">
        <v>5484</v>
      </c>
      <c r="D1808" s="21" t="s">
        <v>6086</v>
      </c>
      <c r="E1808" s="4" t="s">
        <v>87</v>
      </c>
      <c r="F1808" s="4" t="s">
        <v>27</v>
      </c>
      <c r="G1808" s="4" t="s">
        <v>5</v>
      </c>
      <c r="H1808" s="4" t="s">
        <v>39</v>
      </c>
      <c r="I1808" s="5">
        <v>45293</v>
      </c>
      <c r="J1808" s="4" t="s">
        <v>40</v>
      </c>
      <c r="K1808" s="5">
        <v>45568</v>
      </c>
      <c r="L1808" s="4" t="s">
        <v>59</v>
      </c>
      <c r="M1808" s="6">
        <v>74992</v>
      </c>
      <c r="N1808" s="6">
        <v>7125</v>
      </c>
      <c r="O1808" s="4">
        <v>9</v>
      </c>
      <c r="P1808" s="5">
        <v>45577</v>
      </c>
      <c r="Q1808" s="4" t="s">
        <v>33</v>
      </c>
      <c r="R1808" s="4" t="s">
        <v>33</v>
      </c>
      <c r="S1808" s="4" t="s">
        <v>41</v>
      </c>
      <c r="T1808" s="7">
        <v>10.5252</v>
      </c>
      <c r="U1808" s="8">
        <v>275</v>
      </c>
      <c r="V1808" s="8">
        <v>2024</v>
      </c>
      <c r="W1808" s="4" t="s">
        <v>95</v>
      </c>
    </row>
    <row r="1809" spans="1:23" s="9" customFormat="1" ht="15.75" hidden="1" customHeight="1" x14ac:dyDescent="0.25">
      <c r="A1809" s="10" t="s">
        <v>5485</v>
      </c>
      <c r="B1809" s="10" t="s">
        <v>5486</v>
      </c>
      <c r="C1809" s="10" t="s">
        <v>5487</v>
      </c>
      <c r="D1809" s="21" t="s">
        <v>6088</v>
      </c>
      <c r="E1809" s="10" t="s">
        <v>26</v>
      </c>
      <c r="F1809" s="21" t="s">
        <v>6092</v>
      </c>
      <c r="G1809" s="10" t="s">
        <v>57</v>
      </c>
      <c r="H1809" s="10" t="s">
        <v>29</v>
      </c>
      <c r="I1809" s="11">
        <v>45310</v>
      </c>
      <c r="J1809" s="10" t="s">
        <v>40</v>
      </c>
      <c r="K1809" s="11">
        <v>45495</v>
      </c>
      <c r="L1809" s="10" t="s">
        <v>59</v>
      </c>
      <c r="M1809" s="12">
        <v>51886</v>
      </c>
      <c r="N1809" s="12">
        <v>5986</v>
      </c>
      <c r="O1809" s="10">
        <v>31</v>
      </c>
      <c r="P1809" s="11">
        <v>45526</v>
      </c>
      <c r="Q1809" s="10" t="s">
        <v>94</v>
      </c>
      <c r="R1809" s="10" t="s">
        <v>33</v>
      </c>
      <c r="S1809" s="10" t="s">
        <v>34</v>
      </c>
      <c r="T1809" s="13">
        <v>8.6678999999999995</v>
      </c>
      <c r="U1809" s="14">
        <v>185</v>
      </c>
      <c r="V1809" s="14">
        <v>2024</v>
      </c>
      <c r="W1809" s="10" t="s">
        <v>42</v>
      </c>
    </row>
    <row r="1810" spans="1:23" s="9" customFormat="1" ht="15.75" hidden="1" customHeight="1" x14ac:dyDescent="0.25">
      <c r="A1810" s="4" t="s">
        <v>5488</v>
      </c>
      <c r="B1810" s="4" t="s">
        <v>5489</v>
      </c>
      <c r="C1810" s="4" t="s">
        <v>5490</v>
      </c>
      <c r="D1810" s="21" t="s">
        <v>6086</v>
      </c>
      <c r="E1810" s="4" t="s">
        <v>87</v>
      </c>
      <c r="F1810" s="21" t="s">
        <v>6092</v>
      </c>
      <c r="G1810" s="4" t="s">
        <v>5</v>
      </c>
      <c r="H1810" s="4" t="s">
        <v>88</v>
      </c>
      <c r="I1810" s="5">
        <v>45306</v>
      </c>
      <c r="J1810" s="4" t="s">
        <v>40</v>
      </c>
      <c r="K1810" s="5">
        <v>45345</v>
      </c>
      <c r="L1810" s="4" t="s">
        <v>31</v>
      </c>
      <c r="M1810" s="6">
        <v>51642</v>
      </c>
      <c r="N1810" s="6">
        <v>3343</v>
      </c>
      <c r="O1810" s="4" t="s">
        <v>32</v>
      </c>
      <c r="P1810" s="4" t="s">
        <v>32</v>
      </c>
      <c r="Q1810" s="4" t="s">
        <v>33</v>
      </c>
      <c r="R1810" s="4" t="s">
        <v>33</v>
      </c>
      <c r="S1810" s="4" t="s">
        <v>34</v>
      </c>
      <c r="T1810" s="7">
        <v>15.447800000000001</v>
      </c>
      <c r="U1810" s="8">
        <v>39</v>
      </c>
      <c r="V1810" s="8">
        <v>2024</v>
      </c>
      <c r="W1810" s="4" t="s">
        <v>35</v>
      </c>
    </row>
    <row r="1811" spans="1:23" s="9" customFormat="1" ht="15.75" hidden="1" customHeight="1" x14ac:dyDescent="0.25">
      <c r="A1811" s="10" t="s">
        <v>5491</v>
      </c>
      <c r="B1811" s="10" t="s">
        <v>5492</v>
      </c>
      <c r="C1811" s="10" t="s">
        <v>5493</v>
      </c>
      <c r="D1811" s="22" t="s">
        <v>6090</v>
      </c>
      <c r="E1811" s="10" t="s">
        <v>51</v>
      </c>
      <c r="F1811" s="10" t="s">
        <v>56</v>
      </c>
      <c r="G1811" s="10" t="s">
        <v>28</v>
      </c>
      <c r="H1811" s="10" t="s">
        <v>161</v>
      </c>
      <c r="I1811" s="11">
        <v>45048</v>
      </c>
      <c r="J1811" s="10" t="s">
        <v>30</v>
      </c>
      <c r="K1811" s="11">
        <v>45396</v>
      </c>
      <c r="L1811" s="10" t="s">
        <v>31</v>
      </c>
      <c r="M1811" s="12">
        <v>26977</v>
      </c>
      <c r="N1811" s="12">
        <v>3465</v>
      </c>
      <c r="O1811" s="10" t="s">
        <v>32</v>
      </c>
      <c r="P1811" s="10" t="s">
        <v>32</v>
      </c>
      <c r="Q1811" s="10" t="s">
        <v>33</v>
      </c>
      <c r="R1811" s="10" t="s">
        <v>33</v>
      </c>
      <c r="S1811" s="10" t="s">
        <v>34</v>
      </c>
      <c r="T1811" s="13">
        <v>7.7855999999999996</v>
      </c>
      <c r="U1811" s="14">
        <v>348</v>
      </c>
      <c r="V1811" s="14">
        <v>2024</v>
      </c>
      <c r="W1811" s="10" t="s">
        <v>47</v>
      </c>
    </row>
    <row r="1812" spans="1:23" s="9" customFormat="1" ht="15.75" hidden="1" customHeight="1" x14ac:dyDescent="0.25">
      <c r="A1812" s="4" t="s">
        <v>5494</v>
      </c>
      <c r="B1812" s="4" t="s">
        <v>5495</v>
      </c>
      <c r="C1812" s="4" t="s">
        <v>5496</v>
      </c>
      <c r="D1812" s="21" t="s">
        <v>6089</v>
      </c>
      <c r="E1812" s="4" t="s">
        <v>26</v>
      </c>
      <c r="F1812" s="4" t="s">
        <v>71</v>
      </c>
      <c r="G1812" s="4" t="s">
        <v>57</v>
      </c>
      <c r="H1812" s="4" t="s">
        <v>118</v>
      </c>
      <c r="I1812" s="5">
        <v>45393</v>
      </c>
      <c r="J1812" s="4" t="s">
        <v>40</v>
      </c>
      <c r="K1812" s="5">
        <v>45621</v>
      </c>
      <c r="L1812" s="4" t="s">
        <v>31</v>
      </c>
      <c r="M1812" s="6">
        <v>56869</v>
      </c>
      <c r="N1812" s="6">
        <v>5209</v>
      </c>
      <c r="O1812" s="4" t="s">
        <v>32</v>
      </c>
      <c r="P1812" s="4" t="s">
        <v>32</v>
      </c>
      <c r="Q1812" s="4" t="s">
        <v>33</v>
      </c>
      <c r="R1812" s="4" t="s">
        <v>33</v>
      </c>
      <c r="S1812" s="4" t="s">
        <v>41</v>
      </c>
      <c r="T1812" s="7">
        <v>10.9175</v>
      </c>
      <c r="U1812" s="8">
        <v>228</v>
      </c>
      <c r="V1812" s="8">
        <v>2024</v>
      </c>
      <c r="W1812" s="4" t="s">
        <v>61</v>
      </c>
    </row>
    <row r="1813" spans="1:23" s="9" customFormat="1" ht="15.75" hidden="1" customHeight="1" x14ac:dyDescent="0.25">
      <c r="A1813" s="10" t="s">
        <v>5497</v>
      </c>
      <c r="B1813" s="10" t="s">
        <v>5498</v>
      </c>
      <c r="C1813" s="10" t="s">
        <v>5499</v>
      </c>
      <c r="D1813" s="21" t="s">
        <v>6088</v>
      </c>
      <c r="E1813" s="10" t="s">
        <v>51</v>
      </c>
      <c r="F1813" s="21" t="s">
        <v>6092</v>
      </c>
      <c r="G1813" s="10" t="s">
        <v>5</v>
      </c>
      <c r="H1813" s="10" t="s">
        <v>72</v>
      </c>
      <c r="I1813" s="11">
        <v>45237</v>
      </c>
      <c r="J1813" s="10" t="s">
        <v>30</v>
      </c>
      <c r="K1813" s="11">
        <v>45448</v>
      </c>
      <c r="L1813" s="10" t="s">
        <v>59</v>
      </c>
      <c r="M1813" s="12">
        <v>23957</v>
      </c>
      <c r="N1813" s="12">
        <v>8162</v>
      </c>
      <c r="O1813" s="10">
        <v>18</v>
      </c>
      <c r="P1813" s="11">
        <v>45466</v>
      </c>
      <c r="Q1813" s="10" t="s">
        <v>33</v>
      </c>
      <c r="R1813" s="10" t="s">
        <v>33</v>
      </c>
      <c r="S1813" s="10" t="s">
        <v>41</v>
      </c>
      <c r="T1813" s="13">
        <v>2.9352</v>
      </c>
      <c r="U1813" s="14">
        <v>211</v>
      </c>
      <c r="V1813" s="14">
        <v>2024</v>
      </c>
      <c r="W1813" s="10" t="s">
        <v>67</v>
      </c>
    </row>
    <row r="1814" spans="1:23" s="9" customFormat="1" ht="15.75" hidden="1" customHeight="1" x14ac:dyDescent="0.25">
      <c r="A1814" s="4" t="s">
        <v>5500</v>
      </c>
      <c r="B1814" s="4" t="s">
        <v>5501</v>
      </c>
      <c r="C1814" s="4" t="s">
        <v>5502</v>
      </c>
      <c r="D1814" s="22" t="s">
        <v>6087</v>
      </c>
      <c r="E1814" s="4" t="s">
        <v>26</v>
      </c>
      <c r="F1814" s="4" t="s">
        <v>65</v>
      </c>
      <c r="G1814" s="4" t="s">
        <v>5</v>
      </c>
      <c r="H1814" s="4" t="s">
        <v>58</v>
      </c>
      <c r="I1814" s="5">
        <v>45377</v>
      </c>
      <c r="J1814" s="4" t="s">
        <v>30</v>
      </c>
      <c r="K1814" s="5">
        <v>45533</v>
      </c>
      <c r="L1814" s="4" t="s">
        <v>66</v>
      </c>
      <c r="M1814" s="6">
        <v>3078</v>
      </c>
      <c r="N1814" s="6">
        <v>7972</v>
      </c>
      <c r="O1814" s="4" t="s">
        <v>32</v>
      </c>
      <c r="P1814" s="4" t="s">
        <v>32</v>
      </c>
      <c r="Q1814" s="4" t="s">
        <v>33</v>
      </c>
      <c r="R1814" s="4" t="s">
        <v>33</v>
      </c>
      <c r="S1814" s="4" t="s">
        <v>34</v>
      </c>
      <c r="T1814" s="7">
        <v>0.3861</v>
      </c>
      <c r="U1814" s="8">
        <v>156</v>
      </c>
      <c r="V1814" s="8">
        <v>2024</v>
      </c>
      <c r="W1814" s="4" t="s">
        <v>114</v>
      </c>
    </row>
    <row r="1815" spans="1:23" s="9" customFormat="1" ht="15.75" hidden="1" customHeight="1" x14ac:dyDescent="0.25">
      <c r="A1815" s="10" t="s">
        <v>5503</v>
      </c>
      <c r="B1815" s="10" t="s">
        <v>5504</v>
      </c>
      <c r="C1815" s="10" t="s">
        <v>5505</v>
      </c>
      <c r="D1815" s="22" t="s">
        <v>6087</v>
      </c>
      <c r="E1815" s="10" t="s">
        <v>51</v>
      </c>
      <c r="F1815" s="10" t="s">
        <v>65</v>
      </c>
      <c r="G1815" s="10" t="s">
        <v>57</v>
      </c>
      <c r="H1815" s="10" t="s">
        <v>161</v>
      </c>
      <c r="I1815" s="11">
        <v>45292</v>
      </c>
      <c r="J1815" s="10" t="s">
        <v>40</v>
      </c>
      <c r="K1815" s="11">
        <v>45394</v>
      </c>
      <c r="L1815" s="10" t="s">
        <v>59</v>
      </c>
      <c r="M1815" s="12">
        <v>24169</v>
      </c>
      <c r="N1815" s="12">
        <v>5648</v>
      </c>
      <c r="O1815" s="10">
        <v>37</v>
      </c>
      <c r="P1815" s="11">
        <v>45431</v>
      </c>
      <c r="Q1815" s="10" t="s">
        <v>33</v>
      </c>
      <c r="R1815" s="10" t="s">
        <v>33</v>
      </c>
      <c r="S1815" s="10" t="s">
        <v>34</v>
      </c>
      <c r="T1815" s="13">
        <v>4.2792000000000003</v>
      </c>
      <c r="U1815" s="14">
        <v>102</v>
      </c>
      <c r="V1815" s="14">
        <v>2024</v>
      </c>
      <c r="W1815" s="10" t="s">
        <v>47</v>
      </c>
    </row>
    <row r="1816" spans="1:23" s="9" customFormat="1" ht="6" hidden="1" customHeight="1" x14ac:dyDescent="0.25">
      <c r="A1816" s="4" t="s">
        <v>5506</v>
      </c>
      <c r="B1816" s="4" t="s">
        <v>5507</v>
      </c>
      <c r="C1816" s="4" t="s">
        <v>5508</v>
      </c>
      <c r="D1816" s="21" t="s">
        <v>6091</v>
      </c>
      <c r="E1816" s="4" t="s">
        <v>51</v>
      </c>
      <c r="F1816" s="4" t="s">
        <v>27</v>
      </c>
      <c r="G1816" s="4" t="s">
        <v>57</v>
      </c>
      <c r="H1816" s="4" t="s">
        <v>161</v>
      </c>
      <c r="I1816" s="5">
        <v>45490</v>
      </c>
      <c r="J1816" s="4" t="s">
        <v>40</v>
      </c>
      <c r="K1816" s="5">
        <v>45640</v>
      </c>
      <c r="L1816" s="4" t="s">
        <v>59</v>
      </c>
      <c r="M1816" s="6">
        <v>18923</v>
      </c>
      <c r="N1816" s="6">
        <v>6099</v>
      </c>
      <c r="O1816" s="4">
        <v>42</v>
      </c>
      <c r="P1816" s="5">
        <v>45682</v>
      </c>
      <c r="Q1816" s="4" t="s">
        <v>94</v>
      </c>
      <c r="R1816" s="4" t="s">
        <v>94</v>
      </c>
      <c r="S1816" s="4" t="s">
        <v>60</v>
      </c>
      <c r="T1816" s="7">
        <v>3.1025999999999998</v>
      </c>
      <c r="U1816" s="8">
        <v>150</v>
      </c>
      <c r="V1816" s="8">
        <v>2024</v>
      </c>
      <c r="W1816" s="4" t="s">
        <v>89</v>
      </c>
    </row>
    <row r="1817" spans="1:23" s="9" customFormat="1" ht="27.75" customHeight="1" x14ac:dyDescent="0.25">
      <c r="A1817" s="10" t="s">
        <v>5509</v>
      </c>
      <c r="B1817" s="10" t="s">
        <v>5510</v>
      </c>
      <c r="C1817" s="10" t="s">
        <v>5511</v>
      </c>
      <c r="D1817" s="21" t="s">
        <v>6086</v>
      </c>
      <c r="E1817" s="10" t="s">
        <v>87</v>
      </c>
      <c r="F1817" s="10" t="s">
        <v>6092</v>
      </c>
      <c r="G1817" s="10" t="s">
        <v>5</v>
      </c>
      <c r="H1817" s="10" t="s">
        <v>118</v>
      </c>
      <c r="I1817" s="11">
        <v>45323</v>
      </c>
      <c r="J1817" s="10" t="s">
        <v>40</v>
      </c>
      <c r="K1817" s="11">
        <v>45365</v>
      </c>
      <c r="L1817" s="10" t="s">
        <v>59</v>
      </c>
      <c r="M1817" s="12">
        <v>16223</v>
      </c>
      <c r="N1817" s="12">
        <v>6061</v>
      </c>
      <c r="O1817" s="10">
        <v>10</v>
      </c>
      <c r="P1817" s="11">
        <v>45375</v>
      </c>
      <c r="Q1817" s="10" t="s">
        <v>94</v>
      </c>
      <c r="R1817" s="10" t="s">
        <v>94</v>
      </c>
      <c r="S1817" s="10" t="s">
        <v>41</v>
      </c>
      <c r="T1817" s="13">
        <v>2.6766000000000001</v>
      </c>
      <c r="U1817" s="14">
        <v>42</v>
      </c>
      <c r="V1817" s="14">
        <v>2024</v>
      </c>
      <c r="W1817" s="10" t="s">
        <v>77</v>
      </c>
    </row>
    <row r="1818" spans="1:23" s="9" customFormat="1" ht="15.75" hidden="1" customHeight="1" x14ac:dyDescent="0.25">
      <c r="A1818" s="4" t="s">
        <v>5512</v>
      </c>
      <c r="B1818" s="4" t="s">
        <v>5513</v>
      </c>
      <c r="C1818" s="4" t="s">
        <v>5514</v>
      </c>
      <c r="D1818" s="21" t="s">
        <v>6088</v>
      </c>
      <c r="E1818" s="4" t="s">
        <v>51</v>
      </c>
      <c r="F1818" s="4" t="s">
        <v>56</v>
      </c>
      <c r="G1818" s="4" t="s">
        <v>57</v>
      </c>
      <c r="H1818" s="4" t="s">
        <v>29</v>
      </c>
      <c r="I1818" s="5">
        <v>45288</v>
      </c>
      <c r="J1818" s="4" t="s">
        <v>40</v>
      </c>
      <c r="K1818" s="5">
        <v>45575</v>
      </c>
      <c r="L1818" s="4" t="s">
        <v>59</v>
      </c>
      <c r="M1818" s="6">
        <v>47885</v>
      </c>
      <c r="N1818" s="6">
        <v>5490</v>
      </c>
      <c r="O1818" s="4">
        <v>45</v>
      </c>
      <c r="P1818" s="5">
        <v>45620</v>
      </c>
      <c r="Q1818" s="4" t="s">
        <v>33</v>
      </c>
      <c r="R1818" s="4" t="s">
        <v>33</v>
      </c>
      <c r="S1818" s="4" t="s">
        <v>34</v>
      </c>
      <c r="T1818" s="7">
        <v>8.7222000000000008</v>
      </c>
      <c r="U1818" s="8">
        <v>287</v>
      </c>
      <c r="V1818" s="8">
        <v>2024</v>
      </c>
      <c r="W1818" s="4" t="s">
        <v>95</v>
      </c>
    </row>
    <row r="1819" spans="1:23" s="9" customFormat="1" ht="15.75" hidden="1" customHeight="1" x14ac:dyDescent="0.25">
      <c r="A1819" s="10" t="s">
        <v>5515</v>
      </c>
      <c r="B1819" s="10" t="s">
        <v>5516</v>
      </c>
      <c r="C1819" s="10" t="s">
        <v>5517</v>
      </c>
      <c r="D1819" s="22" t="s">
        <v>6090</v>
      </c>
      <c r="E1819" s="10" t="s">
        <v>51</v>
      </c>
      <c r="F1819" s="10" t="s">
        <v>46</v>
      </c>
      <c r="G1819" s="10" t="s">
        <v>5</v>
      </c>
      <c r="H1819" s="10" t="s">
        <v>39</v>
      </c>
      <c r="I1819" s="11">
        <v>45423</v>
      </c>
      <c r="J1819" s="10" t="s">
        <v>40</v>
      </c>
      <c r="K1819" s="11">
        <v>45623</v>
      </c>
      <c r="L1819" s="10" t="s">
        <v>59</v>
      </c>
      <c r="M1819" s="12">
        <v>14968</v>
      </c>
      <c r="N1819" s="12">
        <v>8775</v>
      </c>
      <c r="O1819" s="10">
        <v>14</v>
      </c>
      <c r="P1819" s="11">
        <v>45637</v>
      </c>
      <c r="Q1819" s="10" t="s">
        <v>33</v>
      </c>
      <c r="R1819" s="10" t="s">
        <v>33</v>
      </c>
      <c r="S1819" s="10" t="s">
        <v>41</v>
      </c>
      <c r="T1819" s="13">
        <v>1.7058</v>
      </c>
      <c r="U1819" s="14">
        <v>200</v>
      </c>
      <c r="V1819" s="14">
        <v>2024</v>
      </c>
      <c r="W1819" s="10" t="s">
        <v>61</v>
      </c>
    </row>
    <row r="1820" spans="1:23" s="9" customFormat="1" ht="15.75" hidden="1" customHeight="1" x14ac:dyDescent="0.25">
      <c r="A1820" s="4" t="s">
        <v>5518</v>
      </c>
      <c r="B1820" s="4" t="s">
        <v>5519</v>
      </c>
      <c r="C1820" s="4" t="s">
        <v>5520</v>
      </c>
      <c r="D1820" s="21" t="s">
        <v>6088</v>
      </c>
      <c r="E1820" s="4" t="s">
        <v>26</v>
      </c>
      <c r="F1820" s="4" t="s">
        <v>27</v>
      </c>
      <c r="G1820" s="4" t="s">
        <v>57</v>
      </c>
      <c r="H1820" s="4" t="s">
        <v>118</v>
      </c>
      <c r="I1820" s="5">
        <v>45219</v>
      </c>
      <c r="J1820" s="4" t="s">
        <v>40</v>
      </c>
      <c r="K1820" s="5">
        <v>45482</v>
      </c>
      <c r="L1820" s="4" t="s">
        <v>59</v>
      </c>
      <c r="M1820" s="6">
        <v>22801</v>
      </c>
      <c r="N1820" s="6">
        <v>5070</v>
      </c>
      <c r="O1820" s="4">
        <v>44</v>
      </c>
      <c r="P1820" s="5">
        <v>45526</v>
      </c>
      <c r="Q1820" s="4" t="s">
        <v>33</v>
      </c>
      <c r="R1820" s="4" t="s">
        <v>33</v>
      </c>
      <c r="S1820" s="4" t="s">
        <v>60</v>
      </c>
      <c r="T1820" s="7">
        <v>4.4972000000000003</v>
      </c>
      <c r="U1820" s="8">
        <v>263</v>
      </c>
      <c r="V1820" s="8">
        <v>2024</v>
      </c>
      <c r="W1820" s="4" t="s">
        <v>42</v>
      </c>
    </row>
    <row r="1821" spans="1:23" s="9" customFormat="1" ht="15.75" hidden="1" customHeight="1" x14ac:dyDescent="0.25">
      <c r="A1821" s="10" t="s">
        <v>5521</v>
      </c>
      <c r="B1821" s="10" t="s">
        <v>5522</v>
      </c>
      <c r="C1821" s="10" t="s">
        <v>5523</v>
      </c>
      <c r="D1821" s="22" t="s">
        <v>6087</v>
      </c>
      <c r="E1821" s="10" t="s">
        <v>51</v>
      </c>
      <c r="F1821" s="10" t="s">
        <v>27</v>
      </c>
      <c r="G1821" s="10" t="s">
        <v>57</v>
      </c>
      <c r="H1821" s="10" t="s">
        <v>161</v>
      </c>
      <c r="I1821" s="11">
        <v>45489</v>
      </c>
      <c r="J1821" s="10" t="s">
        <v>30</v>
      </c>
      <c r="K1821" s="11">
        <v>45591</v>
      </c>
      <c r="L1821" s="10" t="s">
        <v>59</v>
      </c>
      <c r="M1821" s="12">
        <v>12327</v>
      </c>
      <c r="N1821" s="12">
        <v>4063</v>
      </c>
      <c r="O1821" s="10">
        <v>30</v>
      </c>
      <c r="P1821" s="11">
        <v>45621</v>
      </c>
      <c r="Q1821" s="10" t="s">
        <v>33</v>
      </c>
      <c r="R1821" s="10" t="s">
        <v>33</v>
      </c>
      <c r="S1821" s="10" t="s">
        <v>34</v>
      </c>
      <c r="T1821" s="13">
        <v>3.0339999999999998</v>
      </c>
      <c r="U1821" s="14">
        <v>102</v>
      </c>
      <c r="V1821" s="14">
        <v>2024</v>
      </c>
      <c r="W1821" s="10" t="s">
        <v>95</v>
      </c>
    </row>
    <row r="1822" spans="1:23" s="9" customFormat="1" ht="15.75" hidden="1" customHeight="1" x14ac:dyDescent="0.25">
      <c r="A1822" s="4" t="s">
        <v>5524</v>
      </c>
      <c r="B1822" s="4" t="s">
        <v>5525</v>
      </c>
      <c r="C1822" s="4" t="s">
        <v>5526</v>
      </c>
      <c r="D1822" s="21" t="s">
        <v>6091</v>
      </c>
      <c r="E1822" s="4" t="s">
        <v>51</v>
      </c>
      <c r="F1822" s="4" t="s">
        <v>71</v>
      </c>
      <c r="G1822" s="4" t="s">
        <v>5</v>
      </c>
      <c r="H1822" s="4" t="s">
        <v>88</v>
      </c>
      <c r="I1822" s="5">
        <v>45138</v>
      </c>
      <c r="J1822" s="4" t="s">
        <v>40</v>
      </c>
      <c r="K1822" s="5">
        <v>45342</v>
      </c>
      <c r="L1822" s="4" t="s">
        <v>59</v>
      </c>
      <c r="M1822" s="6">
        <v>8172</v>
      </c>
      <c r="N1822" s="6">
        <v>2866</v>
      </c>
      <c r="O1822" s="4">
        <v>39</v>
      </c>
      <c r="P1822" s="5">
        <v>45381</v>
      </c>
      <c r="Q1822" s="4" t="s">
        <v>33</v>
      </c>
      <c r="R1822" s="4" t="s">
        <v>33</v>
      </c>
      <c r="S1822" s="4" t="s">
        <v>41</v>
      </c>
      <c r="T1822" s="7">
        <v>2.8513999999999999</v>
      </c>
      <c r="U1822" s="8">
        <v>204</v>
      </c>
      <c r="V1822" s="8">
        <v>2024</v>
      </c>
      <c r="W1822" s="4" t="s">
        <v>35</v>
      </c>
    </row>
    <row r="1823" spans="1:23" s="9" customFormat="1" ht="15.75" hidden="1" customHeight="1" x14ac:dyDescent="0.25">
      <c r="A1823" s="10" t="s">
        <v>5527</v>
      </c>
      <c r="B1823" s="10" t="s">
        <v>5528</v>
      </c>
      <c r="C1823" s="10" t="s">
        <v>5529</v>
      </c>
      <c r="D1823" s="22" t="s">
        <v>6090</v>
      </c>
      <c r="E1823" s="10" t="s">
        <v>87</v>
      </c>
      <c r="F1823" s="10" t="s">
        <v>46</v>
      </c>
      <c r="G1823" s="10" t="s">
        <v>5</v>
      </c>
      <c r="H1823" s="10" t="s">
        <v>161</v>
      </c>
      <c r="I1823" s="11">
        <v>45516</v>
      </c>
      <c r="J1823" s="10" t="s">
        <v>40</v>
      </c>
      <c r="K1823" s="11">
        <v>45609</v>
      </c>
      <c r="L1823" s="10" t="s">
        <v>59</v>
      </c>
      <c r="M1823" s="12">
        <v>38460</v>
      </c>
      <c r="N1823" s="12">
        <v>3156</v>
      </c>
      <c r="O1823" s="10">
        <v>39</v>
      </c>
      <c r="P1823" s="11">
        <v>45648</v>
      </c>
      <c r="Q1823" s="10" t="s">
        <v>33</v>
      </c>
      <c r="R1823" s="10" t="s">
        <v>33</v>
      </c>
      <c r="S1823" s="10" t="s">
        <v>34</v>
      </c>
      <c r="T1823" s="13">
        <v>12.186299999999999</v>
      </c>
      <c r="U1823" s="14">
        <v>93</v>
      </c>
      <c r="V1823" s="14">
        <v>2024</v>
      </c>
      <c r="W1823" s="10" t="s">
        <v>61</v>
      </c>
    </row>
    <row r="1824" spans="1:23" s="9" customFormat="1" ht="15.75" hidden="1" customHeight="1" x14ac:dyDescent="0.25">
      <c r="A1824" s="4" t="s">
        <v>5530</v>
      </c>
      <c r="B1824" s="4" t="s">
        <v>5531</v>
      </c>
      <c r="C1824" s="4" t="s">
        <v>5532</v>
      </c>
      <c r="D1824" s="22" t="s">
        <v>6087</v>
      </c>
      <c r="E1824" s="4" t="s">
        <v>51</v>
      </c>
      <c r="F1824" s="4" t="s">
        <v>56</v>
      </c>
      <c r="G1824" s="4" t="s">
        <v>28</v>
      </c>
      <c r="H1824" s="4" t="s">
        <v>29</v>
      </c>
      <c r="I1824" s="5">
        <v>45138</v>
      </c>
      <c r="J1824" s="4" t="s">
        <v>40</v>
      </c>
      <c r="K1824" s="5">
        <v>45340</v>
      </c>
      <c r="L1824" s="4" t="s">
        <v>66</v>
      </c>
      <c r="M1824" s="6">
        <v>4628</v>
      </c>
      <c r="N1824" s="6">
        <v>7375</v>
      </c>
      <c r="O1824" s="4" t="s">
        <v>32</v>
      </c>
      <c r="P1824" s="4" t="s">
        <v>32</v>
      </c>
      <c r="Q1824" s="4" t="s">
        <v>94</v>
      </c>
      <c r="R1824" s="4" t="s">
        <v>33</v>
      </c>
      <c r="S1824" s="4" t="s">
        <v>34</v>
      </c>
      <c r="T1824" s="7">
        <v>0.62749999999999995</v>
      </c>
      <c r="U1824" s="8">
        <v>202</v>
      </c>
      <c r="V1824" s="8">
        <v>2024</v>
      </c>
      <c r="W1824" s="4" t="s">
        <v>35</v>
      </c>
    </row>
    <row r="1825" spans="1:23" s="9" customFormat="1" ht="15.75" hidden="1" customHeight="1" x14ac:dyDescent="0.25">
      <c r="A1825" s="10" t="s">
        <v>5533</v>
      </c>
      <c r="B1825" s="10" t="s">
        <v>5534</v>
      </c>
      <c r="C1825" s="10" t="s">
        <v>5535</v>
      </c>
      <c r="D1825" s="22" t="s">
        <v>6090</v>
      </c>
      <c r="E1825" s="10" t="s">
        <v>87</v>
      </c>
      <c r="F1825" s="10" t="s">
        <v>27</v>
      </c>
      <c r="G1825" s="10" t="s">
        <v>5</v>
      </c>
      <c r="H1825" s="10" t="s">
        <v>118</v>
      </c>
      <c r="I1825" s="11">
        <v>44999</v>
      </c>
      <c r="J1825" s="10" t="s">
        <v>30</v>
      </c>
      <c r="K1825" s="11">
        <v>45348</v>
      </c>
      <c r="L1825" s="10" t="s">
        <v>59</v>
      </c>
      <c r="M1825" s="12">
        <v>42169</v>
      </c>
      <c r="N1825" s="12">
        <v>3082</v>
      </c>
      <c r="O1825" s="10">
        <v>43</v>
      </c>
      <c r="P1825" s="11">
        <v>45391</v>
      </c>
      <c r="Q1825" s="10" t="s">
        <v>33</v>
      </c>
      <c r="R1825" s="10" t="s">
        <v>33</v>
      </c>
      <c r="S1825" s="10" t="s">
        <v>60</v>
      </c>
      <c r="T1825" s="13">
        <v>13.6823</v>
      </c>
      <c r="U1825" s="14">
        <v>349</v>
      </c>
      <c r="V1825" s="14">
        <v>2024</v>
      </c>
      <c r="W1825" s="10" t="s">
        <v>35</v>
      </c>
    </row>
    <row r="1826" spans="1:23" s="9" customFormat="1" ht="15.75" hidden="1" customHeight="1" x14ac:dyDescent="0.25">
      <c r="A1826" s="4" t="s">
        <v>5536</v>
      </c>
      <c r="B1826" s="4" t="s">
        <v>5537</v>
      </c>
      <c r="C1826" s="4" t="s">
        <v>5538</v>
      </c>
      <c r="D1826" s="22" t="s">
        <v>6090</v>
      </c>
      <c r="E1826" s="4" t="s">
        <v>26</v>
      </c>
      <c r="F1826" s="4" t="s">
        <v>71</v>
      </c>
      <c r="G1826" s="4" t="s">
        <v>28</v>
      </c>
      <c r="H1826" s="4" t="s">
        <v>72</v>
      </c>
      <c r="I1826" s="5">
        <v>45212</v>
      </c>
      <c r="J1826" s="4" t="s">
        <v>30</v>
      </c>
      <c r="K1826" s="5">
        <v>45322</v>
      </c>
      <c r="L1826" s="4" t="s">
        <v>66</v>
      </c>
      <c r="M1826" s="6">
        <v>57641</v>
      </c>
      <c r="N1826" s="6">
        <v>6392</v>
      </c>
      <c r="O1826" s="4" t="s">
        <v>32</v>
      </c>
      <c r="P1826" s="4" t="s">
        <v>32</v>
      </c>
      <c r="Q1826" s="4" t="s">
        <v>33</v>
      </c>
      <c r="R1826" s="4" t="s">
        <v>33</v>
      </c>
      <c r="S1826" s="4" t="s">
        <v>41</v>
      </c>
      <c r="T1826" s="7">
        <v>9.0176999999999996</v>
      </c>
      <c r="U1826" s="8">
        <v>110</v>
      </c>
      <c r="V1826" s="8">
        <v>2024</v>
      </c>
      <c r="W1826" s="4" t="s">
        <v>73</v>
      </c>
    </row>
    <row r="1827" spans="1:23" s="9" customFormat="1" ht="15.75" hidden="1" customHeight="1" x14ac:dyDescent="0.25">
      <c r="A1827" s="10" t="s">
        <v>5539</v>
      </c>
      <c r="B1827" s="10" t="s">
        <v>5540</v>
      </c>
      <c r="C1827" s="10" t="s">
        <v>5541</v>
      </c>
      <c r="D1827" s="22" t="s">
        <v>6087</v>
      </c>
      <c r="E1827" s="10" t="s">
        <v>87</v>
      </c>
      <c r="F1827" s="10" t="s">
        <v>56</v>
      </c>
      <c r="G1827" s="10" t="s">
        <v>5</v>
      </c>
      <c r="H1827" s="10" t="s">
        <v>29</v>
      </c>
      <c r="I1827" s="11">
        <v>45070</v>
      </c>
      <c r="J1827" s="10" t="s">
        <v>40</v>
      </c>
      <c r="K1827" s="11">
        <v>45370</v>
      </c>
      <c r="L1827" s="10" t="s">
        <v>59</v>
      </c>
      <c r="M1827" s="12">
        <v>36490</v>
      </c>
      <c r="N1827" s="12">
        <v>6635</v>
      </c>
      <c r="O1827" s="10">
        <v>14</v>
      </c>
      <c r="P1827" s="11">
        <v>45384</v>
      </c>
      <c r="Q1827" s="10" t="s">
        <v>94</v>
      </c>
      <c r="R1827" s="10" t="s">
        <v>94</v>
      </c>
      <c r="S1827" s="10" t="s">
        <v>60</v>
      </c>
      <c r="T1827" s="13">
        <v>5.4996</v>
      </c>
      <c r="U1827" s="14">
        <v>300</v>
      </c>
      <c r="V1827" s="14">
        <v>2024</v>
      </c>
      <c r="W1827" s="10" t="s">
        <v>77</v>
      </c>
    </row>
    <row r="1828" spans="1:23" s="9" customFormat="1" ht="15.75" hidden="1" customHeight="1" x14ac:dyDescent="0.25">
      <c r="A1828" s="4" t="s">
        <v>5542</v>
      </c>
      <c r="B1828" s="4" t="s">
        <v>5543</v>
      </c>
      <c r="C1828" s="4" t="s">
        <v>5544</v>
      </c>
      <c r="D1828" s="22" t="s">
        <v>6090</v>
      </c>
      <c r="E1828" s="4" t="s">
        <v>26</v>
      </c>
      <c r="F1828" s="4" t="s">
        <v>65</v>
      </c>
      <c r="G1828" s="4" t="s">
        <v>28</v>
      </c>
      <c r="H1828" s="4" t="s">
        <v>39</v>
      </c>
      <c r="I1828" s="5">
        <v>45262</v>
      </c>
      <c r="J1828" s="4" t="s">
        <v>40</v>
      </c>
      <c r="K1828" s="5">
        <v>45460</v>
      </c>
      <c r="L1828" s="4" t="s">
        <v>59</v>
      </c>
      <c r="M1828" s="6">
        <v>12123</v>
      </c>
      <c r="N1828" s="6">
        <v>2568</v>
      </c>
      <c r="O1828" s="4">
        <v>40</v>
      </c>
      <c r="P1828" s="5">
        <v>45500</v>
      </c>
      <c r="Q1828" s="4" t="s">
        <v>33</v>
      </c>
      <c r="R1828" s="4" t="s">
        <v>33</v>
      </c>
      <c r="S1828" s="4" t="s">
        <v>60</v>
      </c>
      <c r="T1828" s="7">
        <v>4.7207999999999997</v>
      </c>
      <c r="U1828" s="8">
        <v>198</v>
      </c>
      <c r="V1828" s="8">
        <v>2024</v>
      </c>
      <c r="W1828" s="4" t="s">
        <v>67</v>
      </c>
    </row>
    <row r="1829" spans="1:23" s="9" customFormat="1" ht="15.75" hidden="1" customHeight="1" x14ac:dyDescent="0.25">
      <c r="A1829" s="10" t="s">
        <v>5545</v>
      </c>
      <c r="B1829" s="10" t="s">
        <v>5546</v>
      </c>
      <c r="C1829" s="10" t="s">
        <v>5547</v>
      </c>
      <c r="D1829" s="21" t="s">
        <v>6091</v>
      </c>
      <c r="E1829" s="10" t="s">
        <v>51</v>
      </c>
      <c r="F1829" s="10" t="s">
        <v>71</v>
      </c>
      <c r="G1829" s="10" t="s">
        <v>5</v>
      </c>
      <c r="H1829" s="10" t="s">
        <v>161</v>
      </c>
      <c r="I1829" s="11">
        <v>45272</v>
      </c>
      <c r="J1829" s="10" t="s">
        <v>40</v>
      </c>
      <c r="K1829" s="11">
        <v>45438</v>
      </c>
      <c r="L1829" s="10" t="s">
        <v>59</v>
      </c>
      <c r="M1829" s="12">
        <v>2417</v>
      </c>
      <c r="N1829" s="12">
        <v>3474</v>
      </c>
      <c r="O1829" s="10">
        <v>22</v>
      </c>
      <c r="P1829" s="11">
        <v>45460</v>
      </c>
      <c r="Q1829" s="10" t="s">
        <v>33</v>
      </c>
      <c r="R1829" s="10" t="s">
        <v>33</v>
      </c>
      <c r="S1829" s="10" t="s">
        <v>34</v>
      </c>
      <c r="T1829" s="13">
        <v>0.69569999999999999</v>
      </c>
      <c r="U1829" s="14">
        <v>166</v>
      </c>
      <c r="V1829" s="14">
        <v>2024</v>
      </c>
      <c r="W1829" s="10" t="s">
        <v>52</v>
      </c>
    </row>
    <row r="1830" spans="1:23" s="9" customFormat="1" ht="15.75" hidden="1" customHeight="1" x14ac:dyDescent="0.25">
      <c r="A1830" s="4" t="s">
        <v>5548</v>
      </c>
      <c r="B1830" s="4" t="s">
        <v>5549</v>
      </c>
      <c r="C1830" s="4" t="s">
        <v>5550</v>
      </c>
      <c r="D1830" s="21" t="s">
        <v>6091</v>
      </c>
      <c r="E1830" s="4" t="s">
        <v>87</v>
      </c>
      <c r="F1830" s="4" t="s">
        <v>56</v>
      </c>
      <c r="G1830" s="4" t="s">
        <v>28</v>
      </c>
      <c r="H1830" s="4" t="s">
        <v>118</v>
      </c>
      <c r="I1830" s="5">
        <v>45415</v>
      </c>
      <c r="J1830" s="4" t="s">
        <v>30</v>
      </c>
      <c r="K1830" s="5">
        <v>45554</v>
      </c>
      <c r="L1830" s="4" t="s">
        <v>59</v>
      </c>
      <c r="M1830" s="6">
        <v>16052</v>
      </c>
      <c r="N1830" s="6">
        <v>6478</v>
      </c>
      <c r="O1830" s="4">
        <v>43</v>
      </c>
      <c r="P1830" s="5">
        <v>45597</v>
      </c>
      <c r="Q1830" s="4" t="s">
        <v>33</v>
      </c>
      <c r="R1830" s="4" t="s">
        <v>33</v>
      </c>
      <c r="S1830" s="4" t="s">
        <v>60</v>
      </c>
      <c r="T1830" s="7">
        <v>2.4779</v>
      </c>
      <c r="U1830" s="8">
        <v>139</v>
      </c>
      <c r="V1830" s="8">
        <v>2024</v>
      </c>
      <c r="W1830" s="4" t="s">
        <v>168</v>
      </c>
    </row>
    <row r="1831" spans="1:23" s="9" customFormat="1" ht="15.75" hidden="1" customHeight="1" x14ac:dyDescent="0.25">
      <c r="A1831" s="10" t="s">
        <v>5551</v>
      </c>
      <c r="B1831" s="10" t="s">
        <v>5552</v>
      </c>
      <c r="C1831" s="10" t="s">
        <v>5553</v>
      </c>
      <c r="D1831" s="22" t="s">
        <v>6090</v>
      </c>
      <c r="E1831" s="10" t="s">
        <v>87</v>
      </c>
      <c r="F1831" s="10" t="s">
        <v>71</v>
      </c>
      <c r="G1831" s="10" t="s">
        <v>57</v>
      </c>
      <c r="H1831" s="10" t="s">
        <v>88</v>
      </c>
      <c r="I1831" s="11">
        <v>45494</v>
      </c>
      <c r="J1831" s="10" t="s">
        <v>40</v>
      </c>
      <c r="K1831" s="11">
        <v>45545</v>
      </c>
      <c r="L1831" s="10" t="s">
        <v>59</v>
      </c>
      <c r="M1831" s="12">
        <v>18959</v>
      </c>
      <c r="N1831" s="12">
        <v>3523</v>
      </c>
      <c r="O1831" s="10">
        <v>2</v>
      </c>
      <c r="P1831" s="11">
        <v>45547</v>
      </c>
      <c r="Q1831" s="10" t="s">
        <v>33</v>
      </c>
      <c r="R1831" s="10" t="s">
        <v>33</v>
      </c>
      <c r="S1831" s="10" t="s">
        <v>41</v>
      </c>
      <c r="T1831" s="13">
        <v>5.3815</v>
      </c>
      <c r="U1831" s="14">
        <v>51</v>
      </c>
      <c r="V1831" s="14">
        <v>2024</v>
      </c>
      <c r="W1831" s="10" t="s">
        <v>168</v>
      </c>
    </row>
    <row r="1832" spans="1:23" s="9" customFormat="1" ht="15.75" hidden="1" customHeight="1" x14ac:dyDescent="0.25">
      <c r="A1832" s="4" t="s">
        <v>5554</v>
      </c>
      <c r="B1832" s="4" t="s">
        <v>5555</v>
      </c>
      <c r="C1832" s="4" t="s">
        <v>5556</v>
      </c>
      <c r="D1832" s="21" t="s">
        <v>6086</v>
      </c>
      <c r="E1832" s="4" t="s">
        <v>87</v>
      </c>
      <c r="F1832" s="21" t="s">
        <v>6092</v>
      </c>
      <c r="G1832" s="4" t="s">
        <v>57</v>
      </c>
      <c r="H1832" s="4" t="s">
        <v>88</v>
      </c>
      <c r="I1832" s="5">
        <v>45185</v>
      </c>
      <c r="J1832" s="4" t="s">
        <v>40</v>
      </c>
      <c r="K1832" s="5">
        <v>45315</v>
      </c>
      <c r="L1832" s="4" t="s">
        <v>59</v>
      </c>
      <c r="M1832" s="6">
        <v>47372</v>
      </c>
      <c r="N1832" s="6">
        <v>1300</v>
      </c>
      <c r="O1832" s="4">
        <v>27</v>
      </c>
      <c r="P1832" s="5">
        <v>45342</v>
      </c>
      <c r="Q1832" s="4" t="s">
        <v>33</v>
      </c>
      <c r="R1832" s="4" t="s">
        <v>33</v>
      </c>
      <c r="S1832" s="4" t="s">
        <v>60</v>
      </c>
      <c r="T1832" s="7">
        <v>36.44</v>
      </c>
      <c r="U1832" s="8">
        <v>130</v>
      </c>
      <c r="V1832" s="8">
        <v>2024</v>
      </c>
      <c r="W1832" s="4" t="s">
        <v>73</v>
      </c>
    </row>
    <row r="1833" spans="1:23" s="9" customFormat="1" ht="15.75" hidden="1" customHeight="1" x14ac:dyDescent="0.25">
      <c r="A1833" s="10" t="s">
        <v>5557</v>
      </c>
      <c r="B1833" s="10" t="s">
        <v>5558</v>
      </c>
      <c r="C1833" s="10" t="s">
        <v>5559</v>
      </c>
      <c r="D1833" s="21" t="s">
        <v>6088</v>
      </c>
      <c r="E1833" s="10" t="s">
        <v>26</v>
      </c>
      <c r="F1833" s="10" t="s">
        <v>56</v>
      </c>
      <c r="G1833" s="10" t="s">
        <v>5</v>
      </c>
      <c r="H1833" s="10" t="s">
        <v>161</v>
      </c>
      <c r="I1833" s="11">
        <v>45163</v>
      </c>
      <c r="J1833" s="10" t="s">
        <v>40</v>
      </c>
      <c r="K1833" s="11">
        <v>45472</v>
      </c>
      <c r="L1833" s="10" t="s">
        <v>66</v>
      </c>
      <c r="M1833" s="12">
        <v>24674</v>
      </c>
      <c r="N1833" s="12">
        <v>8187</v>
      </c>
      <c r="O1833" s="10" t="s">
        <v>32</v>
      </c>
      <c r="P1833" s="10" t="s">
        <v>32</v>
      </c>
      <c r="Q1833" s="10" t="s">
        <v>33</v>
      </c>
      <c r="R1833" s="10" t="s">
        <v>33</v>
      </c>
      <c r="S1833" s="10" t="s">
        <v>41</v>
      </c>
      <c r="T1833" s="13">
        <v>3.0137999999999998</v>
      </c>
      <c r="U1833" s="14">
        <v>309</v>
      </c>
      <c r="V1833" s="14">
        <v>2024</v>
      </c>
      <c r="W1833" s="10" t="s">
        <v>67</v>
      </c>
    </row>
    <row r="1834" spans="1:23" s="9" customFormat="1" ht="15.75" hidden="1" customHeight="1" x14ac:dyDescent="0.25">
      <c r="A1834" s="4" t="s">
        <v>5560</v>
      </c>
      <c r="B1834" s="4" t="s">
        <v>5561</v>
      </c>
      <c r="C1834" s="4" t="s">
        <v>5562</v>
      </c>
      <c r="D1834" s="22" t="s">
        <v>6090</v>
      </c>
      <c r="E1834" s="4" t="s">
        <v>87</v>
      </c>
      <c r="F1834" s="4" t="s">
        <v>65</v>
      </c>
      <c r="G1834" s="4" t="s">
        <v>57</v>
      </c>
      <c r="H1834" s="4" t="s">
        <v>72</v>
      </c>
      <c r="I1834" s="5">
        <v>45122</v>
      </c>
      <c r="J1834" s="4" t="s">
        <v>30</v>
      </c>
      <c r="K1834" s="5">
        <v>45304</v>
      </c>
      <c r="L1834" s="4" t="s">
        <v>59</v>
      </c>
      <c r="M1834" s="6">
        <v>56268</v>
      </c>
      <c r="N1834" s="6">
        <v>2123</v>
      </c>
      <c r="O1834" s="4">
        <v>35</v>
      </c>
      <c r="P1834" s="5">
        <v>45339</v>
      </c>
      <c r="Q1834" s="4" t="s">
        <v>33</v>
      </c>
      <c r="R1834" s="4" t="s">
        <v>33</v>
      </c>
      <c r="S1834" s="4" t="s">
        <v>60</v>
      </c>
      <c r="T1834" s="7">
        <v>26.504000000000001</v>
      </c>
      <c r="U1834" s="8">
        <v>182</v>
      </c>
      <c r="V1834" s="8">
        <v>2024</v>
      </c>
      <c r="W1834" s="4" t="s">
        <v>73</v>
      </c>
    </row>
    <row r="1835" spans="1:23" s="9" customFormat="1" ht="15.75" hidden="1" customHeight="1" x14ac:dyDescent="0.25">
      <c r="A1835" s="10" t="s">
        <v>5563</v>
      </c>
      <c r="B1835" s="10" t="s">
        <v>5564</v>
      </c>
      <c r="C1835" s="10" t="s">
        <v>5565</v>
      </c>
      <c r="D1835" s="22" t="s">
        <v>6090</v>
      </c>
      <c r="E1835" s="10" t="s">
        <v>26</v>
      </c>
      <c r="F1835" s="10" t="s">
        <v>46</v>
      </c>
      <c r="G1835" s="10" t="s">
        <v>57</v>
      </c>
      <c r="H1835" s="10" t="s">
        <v>88</v>
      </c>
      <c r="I1835" s="11">
        <v>45342</v>
      </c>
      <c r="J1835" s="10" t="s">
        <v>30</v>
      </c>
      <c r="K1835" s="11">
        <v>45394</v>
      </c>
      <c r="L1835" s="10" t="s">
        <v>59</v>
      </c>
      <c r="M1835" s="12">
        <v>53435</v>
      </c>
      <c r="N1835" s="12">
        <v>4396</v>
      </c>
      <c r="O1835" s="10">
        <v>22</v>
      </c>
      <c r="P1835" s="11">
        <v>45416</v>
      </c>
      <c r="Q1835" s="10" t="s">
        <v>94</v>
      </c>
      <c r="R1835" s="10" t="s">
        <v>33</v>
      </c>
      <c r="S1835" s="10" t="s">
        <v>60</v>
      </c>
      <c r="T1835" s="13">
        <v>12.1554</v>
      </c>
      <c r="U1835" s="14">
        <v>52</v>
      </c>
      <c r="V1835" s="14">
        <v>2024</v>
      </c>
      <c r="W1835" s="10" t="s">
        <v>47</v>
      </c>
    </row>
    <row r="1836" spans="1:23" s="9" customFormat="1" ht="15.75" hidden="1" customHeight="1" x14ac:dyDescent="0.25">
      <c r="A1836" s="4" t="s">
        <v>5566</v>
      </c>
      <c r="B1836" s="4" t="s">
        <v>5567</v>
      </c>
      <c r="C1836" s="4" t="s">
        <v>5568</v>
      </c>
      <c r="D1836" s="22" t="s">
        <v>6087</v>
      </c>
      <c r="E1836" s="4" t="s">
        <v>87</v>
      </c>
      <c r="F1836" s="4" t="s">
        <v>65</v>
      </c>
      <c r="G1836" s="4" t="s">
        <v>5</v>
      </c>
      <c r="H1836" s="4" t="s">
        <v>118</v>
      </c>
      <c r="I1836" s="5">
        <v>45492</v>
      </c>
      <c r="J1836" s="4" t="s">
        <v>40</v>
      </c>
      <c r="K1836" s="5">
        <v>45588</v>
      </c>
      <c r="L1836" s="4" t="s">
        <v>59</v>
      </c>
      <c r="M1836" s="6">
        <v>5220</v>
      </c>
      <c r="N1836" s="6">
        <v>3957</v>
      </c>
      <c r="O1836" s="4">
        <v>5</v>
      </c>
      <c r="P1836" s="5">
        <v>45593</v>
      </c>
      <c r="Q1836" s="4" t="s">
        <v>94</v>
      </c>
      <c r="R1836" s="4" t="s">
        <v>33</v>
      </c>
      <c r="S1836" s="4" t="s">
        <v>34</v>
      </c>
      <c r="T1836" s="7">
        <v>1.3191999999999999</v>
      </c>
      <c r="U1836" s="8">
        <v>96</v>
      </c>
      <c r="V1836" s="8">
        <v>2024</v>
      </c>
      <c r="W1836" s="4" t="s">
        <v>95</v>
      </c>
    </row>
    <row r="1837" spans="1:23" s="9" customFormat="1" ht="15.75" hidden="1" customHeight="1" x14ac:dyDescent="0.25">
      <c r="A1837" s="10" t="s">
        <v>5569</v>
      </c>
      <c r="B1837" s="10" t="s">
        <v>5570</v>
      </c>
      <c r="C1837" s="10" t="s">
        <v>5571</v>
      </c>
      <c r="D1837" s="21" t="s">
        <v>6091</v>
      </c>
      <c r="E1837" s="10" t="s">
        <v>51</v>
      </c>
      <c r="F1837" s="10" t="s">
        <v>65</v>
      </c>
      <c r="G1837" s="10" t="s">
        <v>5</v>
      </c>
      <c r="H1837" s="10" t="s">
        <v>29</v>
      </c>
      <c r="I1837" s="11">
        <v>45364</v>
      </c>
      <c r="J1837" s="10" t="s">
        <v>30</v>
      </c>
      <c r="K1837" s="11">
        <v>45621</v>
      </c>
      <c r="L1837" s="10" t="s">
        <v>59</v>
      </c>
      <c r="M1837" s="12">
        <v>10241</v>
      </c>
      <c r="N1837" s="12">
        <v>7750</v>
      </c>
      <c r="O1837" s="10">
        <v>34</v>
      </c>
      <c r="P1837" s="11">
        <v>45655</v>
      </c>
      <c r="Q1837" s="10" t="s">
        <v>94</v>
      </c>
      <c r="R1837" s="10" t="s">
        <v>94</v>
      </c>
      <c r="S1837" s="10" t="s">
        <v>41</v>
      </c>
      <c r="T1837" s="13">
        <v>1.3213999999999999</v>
      </c>
      <c r="U1837" s="14">
        <v>257</v>
      </c>
      <c r="V1837" s="14">
        <v>2024</v>
      </c>
      <c r="W1837" s="10" t="s">
        <v>61</v>
      </c>
    </row>
    <row r="1838" spans="1:23" s="9" customFormat="1" ht="15.75" hidden="1" customHeight="1" x14ac:dyDescent="0.25">
      <c r="A1838" s="4" t="s">
        <v>5572</v>
      </c>
      <c r="B1838" s="4" t="s">
        <v>5573</v>
      </c>
      <c r="C1838" s="4" t="s">
        <v>5574</v>
      </c>
      <c r="D1838" s="21" t="s">
        <v>6089</v>
      </c>
      <c r="E1838" s="4" t="s">
        <v>87</v>
      </c>
      <c r="F1838" s="4" t="s">
        <v>71</v>
      </c>
      <c r="G1838" s="4" t="s">
        <v>5</v>
      </c>
      <c r="H1838" s="4" t="s">
        <v>58</v>
      </c>
      <c r="I1838" s="5">
        <v>45491</v>
      </c>
      <c r="J1838" s="4" t="s">
        <v>40</v>
      </c>
      <c r="K1838" s="5">
        <v>45554</v>
      </c>
      <c r="L1838" s="4" t="s">
        <v>31</v>
      </c>
      <c r="M1838" s="6">
        <v>66549</v>
      </c>
      <c r="N1838" s="6">
        <v>8396</v>
      </c>
      <c r="O1838" s="4" t="s">
        <v>32</v>
      </c>
      <c r="P1838" s="4" t="s">
        <v>32</v>
      </c>
      <c r="Q1838" s="4" t="s">
        <v>33</v>
      </c>
      <c r="R1838" s="4" t="s">
        <v>33</v>
      </c>
      <c r="S1838" s="4" t="s">
        <v>60</v>
      </c>
      <c r="T1838" s="7">
        <v>7.9263000000000003</v>
      </c>
      <c r="U1838" s="8">
        <v>63</v>
      </c>
      <c r="V1838" s="8">
        <v>2024</v>
      </c>
      <c r="W1838" s="4" t="s">
        <v>168</v>
      </c>
    </row>
    <row r="1839" spans="1:23" s="9" customFormat="1" ht="15.75" hidden="1" customHeight="1" x14ac:dyDescent="0.25">
      <c r="A1839" s="10" t="s">
        <v>5575</v>
      </c>
      <c r="B1839" s="10" t="s">
        <v>5576</v>
      </c>
      <c r="C1839" s="10" t="s">
        <v>5577</v>
      </c>
      <c r="D1839" s="21" t="s">
        <v>6086</v>
      </c>
      <c r="E1839" s="10" t="s">
        <v>87</v>
      </c>
      <c r="F1839" s="10" t="s">
        <v>46</v>
      </c>
      <c r="G1839" s="10" t="s">
        <v>5</v>
      </c>
      <c r="H1839" s="10" t="s">
        <v>29</v>
      </c>
      <c r="I1839" s="11">
        <v>45322</v>
      </c>
      <c r="J1839" s="10" t="s">
        <v>30</v>
      </c>
      <c r="K1839" s="11">
        <v>45651</v>
      </c>
      <c r="L1839" s="10" t="s">
        <v>31</v>
      </c>
      <c r="M1839" s="12">
        <v>75609</v>
      </c>
      <c r="N1839" s="12">
        <v>1679</v>
      </c>
      <c r="O1839" s="10" t="s">
        <v>32</v>
      </c>
      <c r="P1839" s="10" t="s">
        <v>32</v>
      </c>
      <c r="Q1839" s="10" t="s">
        <v>94</v>
      </c>
      <c r="R1839" s="10" t="s">
        <v>33</v>
      </c>
      <c r="S1839" s="10" t="s">
        <v>34</v>
      </c>
      <c r="T1839" s="13">
        <v>45.032200000000003</v>
      </c>
      <c r="U1839" s="14">
        <v>329</v>
      </c>
      <c r="V1839" s="14">
        <v>2024</v>
      </c>
      <c r="W1839" s="10" t="s">
        <v>89</v>
      </c>
    </row>
    <row r="1840" spans="1:23" s="9" customFormat="1" ht="15.75" hidden="1" customHeight="1" x14ac:dyDescent="0.25">
      <c r="A1840" s="4" t="s">
        <v>5578</v>
      </c>
      <c r="B1840" s="4" t="s">
        <v>5579</v>
      </c>
      <c r="C1840" s="4" t="s">
        <v>5580</v>
      </c>
      <c r="D1840" s="22" t="s">
        <v>6090</v>
      </c>
      <c r="E1840" s="4" t="s">
        <v>51</v>
      </c>
      <c r="F1840" s="4" t="s">
        <v>71</v>
      </c>
      <c r="G1840" s="4" t="s">
        <v>57</v>
      </c>
      <c r="H1840" s="4" t="s">
        <v>39</v>
      </c>
      <c r="I1840" s="5">
        <v>45352</v>
      </c>
      <c r="J1840" s="4" t="s">
        <v>40</v>
      </c>
      <c r="K1840" s="5">
        <v>45618</v>
      </c>
      <c r="L1840" s="4" t="s">
        <v>31</v>
      </c>
      <c r="M1840" s="6">
        <v>3515</v>
      </c>
      <c r="N1840" s="6">
        <v>507</v>
      </c>
      <c r="O1840" s="4" t="s">
        <v>32</v>
      </c>
      <c r="P1840" s="4" t="s">
        <v>32</v>
      </c>
      <c r="Q1840" s="4" t="s">
        <v>33</v>
      </c>
      <c r="R1840" s="4" t="s">
        <v>33</v>
      </c>
      <c r="S1840" s="4" t="s">
        <v>34</v>
      </c>
      <c r="T1840" s="7">
        <v>6.9329000000000001</v>
      </c>
      <c r="U1840" s="8">
        <v>266</v>
      </c>
      <c r="V1840" s="8">
        <v>2024</v>
      </c>
      <c r="W1840" s="4" t="s">
        <v>61</v>
      </c>
    </row>
    <row r="1841" spans="1:23" s="9" customFormat="1" ht="15.75" hidden="1" customHeight="1" x14ac:dyDescent="0.25">
      <c r="A1841" s="10" t="s">
        <v>5581</v>
      </c>
      <c r="B1841" s="10" t="s">
        <v>5582</v>
      </c>
      <c r="C1841" s="10" t="s">
        <v>5583</v>
      </c>
      <c r="D1841" s="22" t="s">
        <v>6087</v>
      </c>
      <c r="E1841" s="10" t="s">
        <v>26</v>
      </c>
      <c r="F1841" s="10" t="s">
        <v>65</v>
      </c>
      <c r="G1841" s="10" t="s">
        <v>28</v>
      </c>
      <c r="H1841" s="10" t="s">
        <v>29</v>
      </c>
      <c r="I1841" s="11">
        <v>45572</v>
      </c>
      <c r="J1841" s="10" t="s">
        <v>30</v>
      </c>
      <c r="K1841" s="11">
        <v>45634</v>
      </c>
      <c r="L1841" s="10" t="s">
        <v>59</v>
      </c>
      <c r="M1841" s="12">
        <v>3569</v>
      </c>
      <c r="N1841" s="12">
        <v>6401</v>
      </c>
      <c r="O1841" s="10">
        <v>43</v>
      </c>
      <c r="P1841" s="11">
        <v>45677</v>
      </c>
      <c r="Q1841" s="10" t="s">
        <v>33</v>
      </c>
      <c r="R1841" s="10" t="s">
        <v>33</v>
      </c>
      <c r="S1841" s="10" t="s">
        <v>41</v>
      </c>
      <c r="T1841" s="13">
        <v>0.55759999999999998</v>
      </c>
      <c r="U1841" s="14">
        <v>62</v>
      </c>
      <c r="V1841" s="14">
        <v>2024</v>
      </c>
      <c r="W1841" s="10" t="s">
        <v>89</v>
      </c>
    </row>
    <row r="1842" spans="1:23" s="9" customFormat="1" ht="15.75" hidden="1" customHeight="1" x14ac:dyDescent="0.25">
      <c r="A1842" s="4" t="s">
        <v>5584</v>
      </c>
      <c r="B1842" s="4" t="s">
        <v>5585</v>
      </c>
      <c r="C1842" s="4" t="s">
        <v>5586</v>
      </c>
      <c r="D1842" s="22" t="s">
        <v>6087</v>
      </c>
      <c r="E1842" s="4" t="s">
        <v>26</v>
      </c>
      <c r="F1842" s="4" t="s">
        <v>27</v>
      </c>
      <c r="G1842" s="4" t="s">
        <v>5</v>
      </c>
      <c r="H1842" s="4" t="s">
        <v>93</v>
      </c>
      <c r="I1842" s="5">
        <v>45429</v>
      </c>
      <c r="J1842" s="4" t="s">
        <v>30</v>
      </c>
      <c r="K1842" s="5">
        <v>45589</v>
      </c>
      <c r="L1842" s="4" t="s">
        <v>59</v>
      </c>
      <c r="M1842" s="6">
        <v>20276</v>
      </c>
      <c r="N1842" s="6">
        <v>7411</v>
      </c>
      <c r="O1842" s="4">
        <v>8</v>
      </c>
      <c r="P1842" s="5">
        <v>45597</v>
      </c>
      <c r="Q1842" s="4" t="s">
        <v>94</v>
      </c>
      <c r="R1842" s="4" t="s">
        <v>94</v>
      </c>
      <c r="S1842" s="4" t="s">
        <v>60</v>
      </c>
      <c r="T1842" s="7">
        <v>2.7359</v>
      </c>
      <c r="U1842" s="8">
        <v>160</v>
      </c>
      <c r="V1842" s="8">
        <v>2024</v>
      </c>
      <c r="W1842" s="4" t="s">
        <v>95</v>
      </c>
    </row>
    <row r="1843" spans="1:23" s="9" customFormat="1" ht="15.75" hidden="1" customHeight="1" x14ac:dyDescent="0.25">
      <c r="A1843" s="10" t="s">
        <v>5587</v>
      </c>
      <c r="B1843" s="10" t="s">
        <v>5588</v>
      </c>
      <c r="C1843" s="10" t="s">
        <v>5589</v>
      </c>
      <c r="D1843" s="21" t="s">
        <v>6088</v>
      </c>
      <c r="E1843" s="10" t="s">
        <v>87</v>
      </c>
      <c r="F1843" s="21" t="s">
        <v>6092</v>
      </c>
      <c r="G1843" s="10" t="s">
        <v>57</v>
      </c>
      <c r="H1843" s="10" t="s">
        <v>88</v>
      </c>
      <c r="I1843" s="11">
        <v>45303</v>
      </c>
      <c r="J1843" s="10" t="s">
        <v>30</v>
      </c>
      <c r="K1843" s="11">
        <v>45465</v>
      </c>
      <c r="L1843" s="10" t="s">
        <v>59</v>
      </c>
      <c r="M1843" s="12">
        <v>71437</v>
      </c>
      <c r="N1843" s="12">
        <v>948</v>
      </c>
      <c r="O1843" s="10">
        <v>41</v>
      </c>
      <c r="P1843" s="11">
        <v>45506</v>
      </c>
      <c r="Q1843" s="10" t="s">
        <v>94</v>
      </c>
      <c r="R1843" s="10" t="s">
        <v>33</v>
      </c>
      <c r="S1843" s="10" t="s">
        <v>41</v>
      </c>
      <c r="T1843" s="13">
        <v>75.355500000000006</v>
      </c>
      <c r="U1843" s="14">
        <v>162</v>
      </c>
      <c r="V1843" s="14">
        <v>2024</v>
      </c>
      <c r="W1843" s="10" t="s">
        <v>67</v>
      </c>
    </row>
    <row r="1844" spans="1:23" s="9" customFormat="1" ht="15.75" hidden="1" customHeight="1" x14ac:dyDescent="0.25">
      <c r="A1844" s="4" t="s">
        <v>5590</v>
      </c>
      <c r="B1844" s="4" t="s">
        <v>5591</v>
      </c>
      <c r="C1844" s="4" t="s">
        <v>5592</v>
      </c>
      <c r="D1844" s="22" t="s">
        <v>6090</v>
      </c>
      <c r="E1844" s="4" t="s">
        <v>26</v>
      </c>
      <c r="F1844" s="4" t="s">
        <v>46</v>
      </c>
      <c r="G1844" s="4" t="s">
        <v>28</v>
      </c>
      <c r="H1844" s="4" t="s">
        <v>88</v>
      </c>
      <c r="I1844" s="5">
        <v>45142</v>
      </c>
      <c r="J1844" s="4" t="s">
        <v>30</v>
      </c>
      <c r="K1844" s="5">
        <v>45457</v>
      </c>
      <c r="L1844" s="4" t="s">
        <v>66</v>
      </c>
      <c r="M1844" s="6">
        <v>57585</v>
      </c>
      <c r="N1844" s="6">
        <v>4592</v>
      </c>
      <c r="O1844" s="4" t="s">
        <v>32</v>
      </c>
      <c r="P1844" s="4" t="s">
        <v>32</v>
      </c>
      <c r="Q1844" s="4" t="s">
        <v>33</v>
      </c>
      <c r="R1844" s="4" t="s">
        <v>33</v>
      </c>
      <c r="S1844" s="4" t="s">
        <v>34</v>
      </c>
      <c r="T1844" s="7">
        <v>12.5403</v>
      </c>
      <c r="U1844" s="8">
        <v>315</v>
      </c>
      <c r="V1844" s="8">
        <v>2024</v>
      </c>
      <c r="W1844" s="4" t="s">
        <v>67</v>
      </c>
    </row>
    <row r="1845" spans="1:23" s="9" customFormat="1" ht="15.75" hidden="1" customHeight="1" x14ac:dyDescent="0.25">
      <c r="A1845" s="10" t="s">
        <v>5593</v>
      </c>
      <c r="B1845" s="10" t="s">
        <v>5594</v>
      </c>
      <c r="C1845" s="10" t="s">
        <v>5595</v>
      </c>
      <c r="D1845" s="22" t="s">
        <v>6087</v>
      </c>
      <c r="E1845" s="10" t="s">
        <v>51</v>
      </c>
      <c r="F1845" s="10" t="s">
        <v>56</v>
      </c>
      <c r="G1845" s="10" t="s">
        <v>5</v>
      </c>
      <c r="H1845" s="10" t="s">
        <v>58</v>
      </c>
      <c r="I1845" s="11">
        <v>45430</v>
      </c>
      <c r="J1845" s="10" t="s">
        <v>30</v>
      </c>
      <c r="K1845" s="11">
        <v>45466</v>
      </c>
      <c r="L1845" s="10" t="s">
        <v>66</v>
      </c>
      <c r="M1845" s="12">
        <v>20116</v>
      </c>
      <c r="N1845" s="12">
        <v>8536</v>
      </c>
      <c r="O1845" s="10" t="s">
        <v>32</v>
      </c>
      <c r="P1845" s="10" t="s">
        <v>32</v>
      </c>
      <c r="Q1845" s="10" t="s">
        <v>33</v>
      </c>
      <c r="R1845" s="10" t="s">
        <v>33</v>
      </c>
      <c r="S1845" s="10" t="s">
        <v>60</v>
      </c>
      <c r="T1845" s="13">
        <v>2.3565999999999998</v>
      </c>
      <c r="U1845" s="14">
        <v>36</v>
      </c>
      <c r="V1845" s="14">
        <v>2024</v>
      </c>
      <c r="W1845" s="10" t="s">
        <v>67</v>
      </c>
    </row>
    <row r="1846" spans="1:23" s="9" customFormat="1" ht="15.75" hidden="1" customHeight="1" x14ac:dyDescent="0.25">
      <c r="A1846" s="4" t="s">
        <v>5596</v>
      </c>
      <c r="B1846" s="4" t="s">
        <v>5597</v>
      </c>
      <c r="C1846" s="4" t="s">
        <v>5598</v>
      </c>
      <c r="D1846" s="22" t="s">
        <v>6090</v>
      </c>
      <c r="E1846" s="4" t="s">
        <v>51</v>
      </c>
      <c r="F1846" s="4" t="s">
        <v>71</v>
      </c>
      <c r="G1846" s="4" t="s">
        <v>57</v>
      </c>
      <c r="H1846" s="4" t="s">
        <v>93</v>
      </c>
      <c r="I1846" s="5">
        <v>45471</v>
      </c>
      <c r="J1846" s="4" t="s">
        <v>30</v>
      </c>
      <c r="K1846" s="5">
        <v>45522</v>
      </c>
      <c r="L1846" s="4" t="s">
        <v>31</v>
      </c>
      <c r="M1846" s="6">
        <v>56219</v>
      </c>
      <c r="N1846" s="6">
        <v>2234</v>
      </c>
      <c r="O1846" s="4" t="s">
        <v>32</v>
      </c>
      <c r="P1846" s="4" t="s">
        <v>32</v>
      </c>
      <c r="Q1846" s="4" t="s">
        <v>33</v>
      </c>
      <c r="R1846" s="4" t="s">
        <v>33</v>
      </c>
      <c r="S1846" s="4" t="s">
        <v>34</v>
      </c>
      <c r="T1846" s="7">
        <v>25.165199999999999</v>
      </c>
      <c r="U1846" s="8">
        <v>51</v>
      </c>
      <c r="V1846" s="8">
        <v>2024</v>
      </c>
      <c r="W1846" s="4" t="s">
        <v>114</v>
      </c>
    </row>
    <row r="1847" spans="1:23" s="9" customFormat="1" ht="15.75" hidden="1" customHeight="1" x14ac:dyDescent="0.25">
      <c r="A1847" s="10" t="s">
        <v>5599</v>
      </c>
      <c r="B1847" s="10" t="s">
        <v>5600</v>
      </c>
      <c r="C1847" s="10" t="s">
        <v>5601</v>
      </c>
      <c r="D1847" s="22" t="s">
        <v>6087</v>
      </c>
      <c r="E1847" s="10" t="s">
        <v>51</v>
      </c>
      <c r="F1847" s="10" t="s">
        <v>65</v>
      </c>
      <c r="G1847" s="10" t="s">
        <v>57</v>
      </c>
      <c r="H1847" s="10" t="s">
        <v>29</v>
      </c>
      <c r="I1847" s="11">
        <v>45555</v>
      </c>
      <c r="J1847" s="10" t="s">
        <v>30</v>
      </c>
      <c r="K1847" s="11">
        <v>45601</v>
      </c>
      <c r="L1847" s="10" t="s">
        <v>31</v>
      </c>
      <c r="M1847" s="12">
        <v>24305</v>
      </c>
      <c r="N1847" s="12">
        <v>7141</v>
      </c>
      <c r="O1847" s="10" t="s">
        <v>32</v>
      </c>
      <c r="P1847" s="10" t="s">
        <v>32</v>
      </c>
      <c r="Q1847" s="10" t="s">
        <v>33</v>
      </c>
      <c r="R1847" s="10" t="s">
        <v>33</v>
      </c>
      <c r="S1847" s="10" t="s">
        <v>41</v>
      </c>
      <c r="T1847" s="13">
        <v>3.4036</v>
      </c>
      <c r="U1847" s="14">
        <v>46</v>
      </c>
      <c r="V1847" s="14">
        <v>2024</v>
      </c>
      <c r="W1847" s="10" t="s">
        <v>61</v>
      </c>
    </row>
    <row r="1848" spans="1:23" s="9" customFormat="1" ht="15.75" hidden="1" customHeight="1" x14ac:dyDescent="0.25">
      <c r="A1848" s="4" t="s">
        <v>5602</v>
      </c>
      <c r="B1848" s="4" t="s">
        <v>5603</v>
      </c>
      <c r="C1848" s="4" t="s">
        <v>5604</v>
      </c>
      <c r="D1848" s="22" t="s">
        <v>6090</v>
      </c>
      <c r="E1848" s="4" t="s">
        <v>26</v>
      </c>
      <c r="F1848" s="21" t="s">
        <v>6092</v>
      </c>
      <c r="G1848" s="4" t="s">
        <v>57</v>
      </c>
      <c r="H1848" s="4" t="s">
        <v>118</v>
      </c>
      <c r="I1848" s="5">
        <v>45378</v>
      </c>
      <c r="J1848" s="4" t="s">
        <v>40</v>
      </c>
      <c r="K1848" s="5">
        <v>45656</v>
      </c>
      <c r="L1848" s="4" t="s">
        <v>66</v>
      </c>
      <c r="M1848" s="6">
        <v>3868</v>
      </c>
      <c r="N1848" s="6">
        <v>4562</v>
      </c>
      <c r="O1848" s="4" t="s">
        <v>32</v>
      </c>
      <c r="P1848" s="4" t="s">
        <v>32</v>
      </c>
      <c r="Q1848" s="4" t="s">
        <v>94</v>
      </c>
      <c r="R1848" s="4" t="s">
        <v>33</v>
      </c>
      <c r="S1848" s="4" t="s">
        <v>41</v>
      </c>
      <c r="T1848" s="7">
        <v>0.84789999999999999</v>
      </c>
      <c r="U1848" s="8">
        <v>278</v>
      </c>
      <c r="V1848" s="8">
        <v>2024</v>
      </c>
      <c r="W1848" s="4" t="s">
        <v>89</v>
      </c>
    </row>
    <row r="1849" spans="1:23" s="9" customFormat="1" ht="15.75" hidden="1" customHeight="1" x14ac:dyDescent="0.25">
      <c r="A1849" s="10" t="s">
        <v>5605</v>
      </c>
      <c r="B1849" s="10" t="s">
        <v>5606</v>
      </c>
      <c r="C1849" s="10" t="s">
        <v>5607</v>
      </c>
      <c r="D1849" s="22" t="s">
        <v>6090</v>
      </c>
      <c r="E1849" s="10" t="s">
        <v>51</v>
      </c>
      <c r="F1849" s="10" t="s">
        <v>27</v>
      </c>
      <c r="G1849" s="10" t="s">
        <v>28</v>
      </c>
      <c r="H1849" s="10" t="s">
        <v>39</v>
      </c>
      <c r="I1849" s="11">
        <v>45202</v>
      </c>
      <c r="J1849" s="10" t="s">
        <v>30</v>
      </c>
      <c r="K1849" s="11">
        <v>45559</v>
      </c>
      <c r="L1849" s="10" t="s">
        <v>59</v>
      </c>
      <c r="M1849" s="12">
        <v>13252</v>
      </c>
      <c r="N1849" s="12">
        <v>1792</v>
      </c>
      <c r="O1849" s="10">
        <v>7</v>
      </c>
      <c r="P1849" s="11">
        <v>45566</v>
      </c>
      <c r="Q1849" s="10" t="s">
        <v>33</v>
      </c>
      <c r="R1849" s="10" t="s">
        <v>33</v>
      </c>
      <c r="S1849" s="10" t="s">
        <v>41</v>
      </c>
      <c r="T1849" s="13">
        <v>7.3951000000000002</v>
      </c>
      <c r="U1849" s="14">
        <v>357</v>
      </c>
      <c r="V1849" s="14">
        <v>2024</v>
      </c>
      <c r="W1849" s="10" t="s">
        <v>168</v>
      </c>
    </row>
    <row r="1850" spans="1:23" s="9" customFormat="1" ht="15.75" hidden="1" customHeight="1" x14ac:dyDescent="0.25">
      <c r="A1850" s="4" t="s">
        <v>5608</v>
      </c>
      <c r="B1850" s="4" t="s">
        <v>5609</v>
      </c>
      <c r="C1850" s="4" t="s">
        <v>5610</v>
      </c>
      <c r="D1850" s="22" t="s">
        <v>6087</v>
      </c>
      <c r="E1850" s="4" t="s">
        <v>26</v>
      </c>
      <c r="F1850" s="4" t="s">
        <v>46</v>
      </c>
      <c r="G1850" s="4" t="s">
        <v>28</v>
      </c>
      <c r="H1850" s="4" t="s">
        <v>161</v>
      </c>
      <c r="I1850" s="5">
        <v>45489</v>
      </c>
      <c r="J1850" s="4" t="s">
        <v>40</v>
      </c>
      <c r="K1850" s="5">
        <v>45549</v>
      </c>
      <c r="L1850" s="4" t="s">
        <v>59</v>
      </c>
      <c r="M1850" s="6">
        <v>34325</v>
      </c>
      <c r="N1850" s="6">
        <v>8802</v>
      </c>
      <c r="O1850" s="4">
        <v>9</v>
      </c>
      <c r="P1850" s="5">
        <v>45558</v>
      </c>
      <c r="Q1850" s="4" t="s">
        <v>33</v>
      </c>
      <c r="R1850" s="4" t="s">
        <v>33</v>
      </c>
      <c r="S1850" s="4" t="s">
        <v>41</v>
      </c>
      <c r="T1850" s="7">
        <v>3.8997000000000002</v>
      </c>
      <c r="U1850" s="8">
        <v>60</v>
      </c>
      <c r="V1850" s="8">
        <v>2024</v>
      </c>
      <c r="W1850" s="4" t="s">
        <v>168</v>
      </c>
    </row>
    <row r="1851" spans="1:23" s="9" customFormat="1" ht="15.75" hidden="1" customHeight="1" x14ac:dyDescent="0.25">
      <c r="A1851" s="10" t="s">
        <v>5611</v>
      </c>
      <c r="B1851" s="10" t="s">
        <v>5612</v>
      </c>
      <c r="C1851" s="10" t="s">
        <v>5613</v>
      </c>
      <c r="D1851" s="22" t="s">
        <v>6087</v>
      </c>
      <c r="E1851" s="10" t="s">
        <v>26</v>
      </c>
      <c r="F1851" s="10" t="s">
        <v>56</v>
      </c>
      <c r="G1851" s="10" t="s">
        <v>5</v>
      </c>
      <c r="H1851" s="10" t="s">
        <v>93</v>
      </c>
      <c r="I1851" s="11">
        <v>45584</v>
      </c>
      <c r="J1851" s="10" t="s">
        <v>40</v>
      </c>
      <c r="K1851" s="11">
        <v>45619</v>
      </c>
      <c r="L1851" s="10" t="s">
        <v>59</v>
      </c>
      <c r="M1851" s="12">
        <v>22510</v>
      </c>
      <c r="N1851" s="12">
        <v>1094</v>
      </c>
      <c r="O1851" s="10">
        <v>7</v>
      </c>
      <c r="P1851" s="11">
        <v>45626</v>
      </c>
      <c r="Q1851" s="10" t="s">
        <v>33</v>
      </c>
      <c r="R1851" s="10" t="s">
        <v>33</v>
      </c>
      <c r="S1851" s="10" t="s">
        <v>41</v>
      </c>
      <c r="T1851" s="13">
        <v>20.575900000000001</v>
      </c>
      <c r="U1851" s="14">
        <v>35</v>
      </c>
      <c r="V1851" s="14">
        <v>2024</v>
      </c>
      <c r="W1851" s="10" t="s">
        <v>61</v>
      </c>
    </row>
    <row r="1852" spans="1:23" s="9" customFormat="1" ht="15.75" hidden="1" customHeight="1" x14ac:dyDescent="0.25">
      <c r="A1852" s="4" t="s">
        <v>5614</v>
      </c>
      <c r="B1852" s="4" t="s">
        <v>5615</v>
      </c>
      <c r="C1852" s="4" t="s">
        <v>5616</v>
      </c>
      <c r="D1852" s="21" t="s">
        <v>6086</v>
      </c>
      <c r="E1852" s="4" t="s">
        <v>26</v>
      </c>
      <c r="F1852" s="4" t="s">
        <v>71</v>
      </c>
      <c r="G1852" s="4" t="s">
        <v>28</v>
      </c>
      <c r="H1852" s="4" t="s">
        <v>161</v>
      </c>
      <c r="I1852" s="5">
        <v>45195</v>
      </c>
      <c r="J1852" s="4" t="s">
        <v>40</v>
      </c>
      <c r="K1852" s="5">
        <v>45375</v>
      </c>
      <c r="L1852" s="4" t="s">
        <v>59</v>
      </c>
      <c r="M1852" s="6">
        <v>76867</v>
      </c>
      <c r="N1852" s="6">
        <v>5322</v>
      </c>
      <c r="O1852" s="4">
        <v>34</v>
      </c>
      <c r="P1852" s="5">
        <v>45409</v>
      </c>
      <c r="Q1852" s="4" t="s">
        <v>33</v>
      </c>
      <c r="R1852" s="4" t="s">
        <v>33</v>
      </c>
      <c r="S1852" s="4" t="s">
        <v>60</v>
      </c>
      <c r="T1852" s="7">
        <v>14.443300000000001</v>
      </c>
      <c r="U1852" s="8">
        <v>180</v>
      </c>
      <c r="V1852" s="8">
        <v>2024</v>
      </c>
      <c r="W1852" s="4" t="s">
        <v>77</v>
      </c>
    </row>
    <row r="1853" spans="1:23" s="9" customFormat="1" ht="15.75" hidden="1" customHeight="1" x14ac:dyDescent="0.25">
      <c r="A1853" s="10" t="s">
        <v>5617</v>
      </c>
      <c r="B1853" s="10" t="s">
        <v>5618</v>
      </c>
      <c r="C1853" s="10" t="s">
        <v>5619</v>
      </c>
      <c r="D1853" s="21" t="s">
        <v>6091</v>
      </c>
      <c r="E1853" s="10" t="s">
        <v>87</v>
      </c>
      <c r="F1853" s="10" t="s">
        <v>71</v>
      </c>
      <c r="G1853" s="10" t="s">
        <v>28</v>
      </c>
      <c r="H1853" s="10" t="s">
        <v>88</v>
      </c>
      <c r="I1853" s="11">
        <v>45063</v>
      </c>
      <c r="J1853" s="10" t="s">
        <v>30</v>
      </c>
      <c r="K1853" s="11">
        <v>45360</v>
      </c>
      <c r="L1853" s="10" t="s">
        <v>59</v>
      </c>
      <c r="M1853" s="12">
        <v>18719</v>
      </c>
      <c r="N1853" s="12">
        <v>8305</v>
      </c>
      <c r="O1853" s="10">
        <v>45</v>
      </c>
      <c r="P1853" s="11">
        <v>45405</v>
      </c>
      <c r="Q1853" s="10" t="s">
        <v>33</v>
      </c>
      <c r="R1853" s="10" t="s">
        <v>33</v>
      </c>
      <c r="S1853" s="10" t="s">
        <v>34</v>
      </c>
      <c r="T1853" s="13">
        <v>2.2538999999999998</v>
      </c>
      <c r="U1853" s="14">
        <v>297</v>
      </c>
      <c r="V1853" s="14">
        <v>2024</v>
      </c>
      <c r="W1853" s="10" t="s">
        <v>77</v>
      </c>
    </row>
    <row r="1854" spans="1:23" s="9" customFormat="1" ht="15.75" hidden="1" customHeight="1" x14ac:dyDescent="0.25">
      <c r="A1854" s="4" t="s">
        <v>5620</v>
      </c>
      <c r="B1854" s="4" t="s">
        <v>5621</v>
      </c>
      <c r="C1854" s="4" t="s">
        <v>5622</v>
      </c>
      <c r="D1854" s="21" t="s">
        <v>6088</v>
      </c>
      <c r="E1854" s="4" t="s">
        <v>26</v>
      </c>
      <c r="F1854" s="4" t="s">
        <v>65</v>
      </c>
      <c r="G1854" s="4" t="s">
        <v>5</v>
      </c>
      <c r="H1854" s="4" t="s">
        <v>39</v>
      </c>
      <c r="I1854" s="5">
        <v>45270</v>
      </c>
      <c r="J1854" s="4" t="s">
        <v>40</v>
      </c>
      <c r="K1854" s="5">
        <v>45342</v>
      </c>
      <c r="L1854" s="4" t="s">
        <v>66</v>
      </c>
      <c r="M1854" s="6">
        <v>45874</v>
      </c>
      <c r="N1854" s="6">
        <v>4392</v>
      </c>
      <c r="O1854" s="4" t="s">
        <v>32</v>
      </c>
      <c r="P1854" s="4" t="s">
        <v>32</v>
      </c>
      <c r="Q1854" s="4" t="s">
        <v>33</v>
      </c>
      <c r="R1854" s="4" t="s">
        <v>33</v>
      </c>
      <c r="S1854" s="4" t="s">
        <v>34</v>
      </c>
      <c r="T1854" s="7">
        <v>10.444900000000001</v>
      </c>
      <c r="U1854" s="8">
        <v>72</v>
      </c>
      <c r="V1854" s="8">
        <v>2024</v>
      </c>
      <c r="W1854" s="4" t="s">
        <v>35</v>
      </c>
    </row>
    <row r="1855" spans="1:23" s="9" customFormat="1" ht="15.75" hidden="1" customHeight="1" x14ac:dyDescent="0.25">
      <c r="A1855" s="10" t="s">
        <v>5623</v>
      </c>
      <c r="B1855" s="10" t="s">
        <v>5624</v>
      </c>
      <c r="C1855" s="10" t="s">
        <v>5625</v>
      </c>
      <c r="D1855" s="21" t="s">
        <v>6086</v>
      </c>
      <c r="E1855" s="10" t="s">
        <v>26</v>
      </c>
      <c r="F1855" s="21" t="s">
        <v>6092</v>
      </c>
      <c r="G1855" s="10" t="s">
        <v>57</v>
      </c>
      <c r="H1855" s="10" t="s">
        <v>118</v>
      </c>
      <c r="I1855" s="11">
        <v>45336</v>
      </c>
      <c r="J1855" s="10" t="s">
        <v>40</v>
      </c>
      <c r="K1855" s="11">
        <v>45522</v>
      </c>
      <c r="L1855" s="10" t="s">
        <v>31</v>
      </c>
      <c r="M1855" s="12">
        <v>69481</v>
      </c>
      <c r="N1855" s="12">
        <v>6371</v>
      </c>
      <c r="O1855" s="10" t="s">
        <v>32</v>
      </c>
      <c r="P1855" s="10" t="s">
        <v>32</v>
      </c>
      <c r="Q1855" s="10" t="s">
        <v>94</v>
      </c>
      <c r="R1855" s="10" t="s">
        <v>33</v>
      </c>
      <c r="S1855" s="10" t="s">
        <v>34</v>
      </c>
      <c r="T1855" s="13">
        <v>10.905799999999999</v>
      </c>
      <c r="U1855" s="14">
        <v>186</v>
      </c>
      <c r="V1855" s="14">
        <v>2024</v>
      </c>
      <c r="W1855" s="10" t="s">
        <v>114</v>
      </c>
    </row>
    <row r="1856" spans="1:23" s="9" customFormat="1" ht="15.75" hidden="1" customHeight="1" x14ac:dyDescent="0.25">
      <c r="A1856" s="4" t="s">
        <v>5626</v>
      </c>
      <c r="B1856" s="4" t="s">
        <v>5627</v>
      </c>
      <c r="C1856" s="4" t="s">
        <v>5628</v>
      </c>
      <c r="D1856" s="21" t="s">
        <v>6089</v>
      </c>
      <c r="E1856" s="4" t="s">
        <v>51</v>
      </c>
      <c r="F1856" s="21" t="s">
        <v>6092</v>
      </c>
      <c r="G1856" s="4" t="s">
        <v>57</v>
      </c>
      <c r="H1856" s="4" t="s">
        <v>39</v>
      </c>
      <c r="I1856" s="5">
        <v>45454</v>
      </c>
      <c r="J1856" s="4" t="s">
        <v>30</v>
      </c>
      <c r="K1856" s="5">
        <v>45631</v>
      </c>
      <c r="L1856" s="4" t="s">
        <v>59</v>
      </c>
      <c r="M1856" s="6">
        <v>34722</v>
      </c>
      <c r="N1856" s="6">
        <v>3792</v>
      </c>
      <c r="O1856" s="4">
        <v>25</v>
      </c>
      <c r="P1856" s="5">
        <v>45656</v>
      </c>
      <c r="Q1856" s="4" t="s">
        <v>33</v>
      </c>
      <c r="R1856" s="4" t="s">
        <v>33</v>
      </c>
      <c r="S1856" s="4" t="s">
        <v>60</v>
      </c>
      <c r="T1856" s="7">
        <v>9.1565999999999992</v>
      </c>
      <c r="U1856" s="8">
        <v>177</v>
      </c>
      <c r="V1856" s="8">
        <v>2024</v>
      </c>
      <c r="W1856" s="4" t="s">
        <v>89</v>
      </c>
    </row>
    <row r="1857" spans="1:23" s="9" customFormat="1" ht="15.75" hidden="1" customHeight="1" x14ac:dyDescent="0.25">
      <c r="A1857" s="10" t="s">
        <v>5629</v>
      </c>
      <c r="B1857" s="10" t="s">
        <v>5630</v>
      </c>
      <c r="C1857" s="10" t="s">
        <v>5631</v>
      </c>
      <c r="D1857" s="21" t="s">
        <v>6089</v>
      </c>
      <c r="E1857" s="10" t="s">
        <v>51</v>
      </c>
      <c r="F1857" s="10" t="s">
        <v>27</v>
      </c>
      <c r="G1857" s="10" t="s">
        <v>57</v>
      </c>
      <c r="H1857" s="10" t="s">
        <v>161</v>
      </c>
      <c r="I1857" s="11">
        <v>45443</v>
      </c>
      <c r="J1857" s="10" t="s">
        <v>30</v>
      </c>
      <c r="K1857" s="11">
        <v>45630</v>
      </c>
      <c r="L1857" s="10" t="s">
        <v>59</v>
      </c>
      <c r="M1857" s="12">
        <v>15076</v>
      </c>
      <c r="N1857" s="12">
        <v>5307</v>
      </c>
      <c r="O1857" s="10">
        <v>9</v>
      </c>
      <c r="P1857" s="11">
        <v>45639</v>
      </c>
      <c r="Q1857" s="10" t="s">
        <v>33</v>
      </c>
      <c r="R1857" s="10" t="s">
        <v>33</v>
      </c>
      <c r="S1857" s="10" t="s">
        <v>41</v>
      </c>
      <c r="T1857" s="13">
        <v>2.8408000000000002</v>
      </c>
      <c r="U1857" s="14">
        <v>187</v>
      </c>
      <c r="V1857" s="14">
        <v>2024</v>
      </c>
      <c r="W1857" s="10" t="s">
        <v>89</v>
      </c>
    </row>
    <row r="1858" spans="1:23" s="9" customFormat="1" ht="15.75" hidden="1" customHeight="1" x14ac:dyDescent="0.25">
      <c r="A1858" s="4" t="s">
        <v>5632</v>
      </c>
      <c r="B1858" s="4" t="s">
        <v>5633</v>
      </c>
      <c r="C1858" s="4" t="s">
        <v>5634</v>
      </c>
      <c r="D1858" s="22" t="s">
        <v>6090</v>
      </c>
      <c r="E1858" s="4" t="s">
        <v>51</v>
      </c>
      <c r="F1858" s="4" t="s">
        <v>27</v>
      </c>
      <c r="G1858" s="4" t="s">
        <v>5</v>
      </c>
      <c r="H1858" s="4" t="s">
        <v>161</v>
      </c>
      <c r="I1858" s="5">
        <v>45546</v>
      </c>
      <c r="J1858" s="4" t="s">
        <v>30</v>
      </c>
      <c r="K1858" s="5">
        <v>45619</v>
      </c>
      <c r="L1858" s="4" t="s">
        <v>66</v>
      </c>
      <c r="M1858" s="6">
        <v>10172</v>
      </c>
      <c r="N1858" s="6">
        <v>8744</v>
      </c>
      <c r="O1858" s="4" t="s">
        <v>32</v>
      </c>
      <c r="P1858" s="4" t="s">
        <v>32</v>
      </c>
      <c r="Q1858" s="4" t="s">
        <v>33</v>
      </c>
      <c r="R1858" s="4" t="s">
        <v>33</v>
      </c>
      <c r="S1858" s="4" t="s">
        <v>34</v>
      </c>
      <c r="T1858" s="7">
        <v>1.1633</v>
      </c>
      <c r="U1858" s="8">
        <v>73</v>
      </c>
      <c r="V1858" s="8">
        <v>2024</v>
      </c>
      <c r="W1858" s="4" t="s">
        <v>61</v>
      </c>
    </row>
    <row r="1859" spans="1:23" s="9" customFormat="1" ht="15.75" hidden="1" customHeight="1" x14ac:dyDescent="0.25">
      <c r="A1859" s="10" t="s">
        <v>5635</v>
      </c>
      <c r="B1859" s="10" t="s">
        <v>5636</v>
      </c>
      <c r="C1859" s="10" t="s">
        <v>5637</v>
      </c>
      <c r="D1859" s="21" t="s">
        <v>6086</v>
      </c>
      <c r="E1859" s="10" t="s">
        <v>26</v>
      </c>
      <c r="F1859" s="10" t="s">
        <v>46</v>
      </c>
      <c r="G1859" s="10" t="s">
        <v>5</v>
      </c>
      <c r="H1859" s="10" t="s">
        <v>118</v>
      </c>
      <c r="I1859" s="11">
        <v>45059</v>
      </c>
      <c r="J1859" s="10" t="s">
        <v>40</v>
      </c>
      <c r="K1859" s="11">
        <v>45366</v>
      </c>
      <c r="L1859" s="10" t="s">
        <v>59</v>
      </c>
      <c r="M1859" s="12">
        <v>83783</v>
      </c>
      <c r="N1859" s="12">
        <v>7761</v>
      </c>
      <c r="O1859" s="10">
        <v>16</v>
      </c>
      <c r="P1859" s="11">
        <v>45382</v>
      </c>
      <c r="Q1859" s="10" t="s">
        <v>33</v>
      </c>
      <c r="R1859" s="10" t="s">
        <v>33</v>
      </c>
      <c r="S1859" s="10" t="s">
        <v>34</v>
      </c>
      <c r="T1859" s="13">
        <v>10.795400000000001</v>
      </c>
      <c r="U1859" s="14">
        <v>307</v>
      </c>
      <c r="V1859" s="14">
        <v>2024</v>
      </c>
      <c r="W1859" s="10" t="s">
        <v>77</v>
      </c>
    </row>
    <row r="1860" spans="1:23" s="9" customFormat="1" ht="15.75" hidden="1" customHeight="1" x14ac:dyDescent="0.25">
      <c r="A1860" s="4" t="s">
        <v>5638</v>
      </c>
      <c r="B1860" s="4" t="s">
        <v>5639</v>
      </c>
      <c r="C1860" s="4" t="s">
        <v>5640</v>
      </c>
      <c r="D1860" s="22" t="s">
        <v>6087</v>
      </c>
      <c r="E1860" s="4" t="s">
        <v>51</v>
      </c>
      <c r="F1860" s="4" t="s">
        <v>71</v>
      </c>
      <c r="G1860" s="4" t="s">
        <v>57</v>
      </c>
      <c r="H1860" s="4" t="s">
        <v>72</v>
      </c>
      <c r="I1860" s="5">
        <v>45370</v>
      </c>
      <c r="J1860" s="4" t="s">
        <v>30</v>
      </c>
      <c r="K1860" s="5">
        <v>45480</v>
      </c>
      <c r="L1860" s="4" t="s">
        <v>59</v>
      </c>
      <c r="M1860" s="6">
        <v>33191</v>
      </c>
      <c r="N1860" s="6">
        <v>7427</v>
      </c>
      <c r="O1860" s="4">
        <v>18</v>
      </c>
      <c r="P1860" s="5">
        <v>45498</v>
      </c>
      <c r="Q1860" s="4" t="s">
        <v>33</v>
      </c>
      <c r="R1860" s="4" t="s">
        <v>33</v>
      </c>
      <c r="S1860" s="4" t="s">
        <v>41</v>
      </c>
      <c r="T1860" s="7">
        <v>4.4690000000000003</v>
      </c>
      <c r="U1860" s="8">
        <v>110</v>
      </c>
      <c r="V1860" s="8">
        <v>2024</v>
      </c>
      <c r="W1860" s="4" t="s">
        <v>42</v>
      </c>
    </row>
    <row r="1861" spans="1:23" s="9" customFormat="1" ht="15.75" hidden="1" customHeight="1" x14ac:dyDescent="0.25">
      <c r="A1861" s="10" t="s">
        <v>5641</v>
      </c>
      <c r="B1861" s="10" t="s">
        <v>5642</v>
      </c>
      <c r="C1861" s="10" t="s">
        <v>5643</v>
      </c>
      <c r="D1861" s="22" t="s">
        <v>6090</v>
      </c>
      <c r="E1861" s="10" t="s">
        <v>51</v>
      </c>
      <c r="F1861" s="10" t="s">
        <v>46</v>
      </c>
      <c r="G1861" s="10" t="s">
        <v>5</v>
      </c>
      <c r="H1861" s="10" t="s">
        <v>39</v>
      </c>
      <c r="I1861" s="11">
        <v>45133</v>
      </c>
      <c r="J1861" s="10" t="s">
        <v>30</v>
      </c>
      <c r="K1861" s="11">
        <v>45345</v>
      </c>
      <c r="L1861" s="10" t="s">
        <v>59</v>
      </c>
      <c r="M1861" s="12">
        <v>28855</v>
      </c>
      <c r="N1861" s="12">
        <v>4010</v>
      </c>
      <c r="O1861" s="10">
        <v>11</v>
      </c>
      <c r="P1861" s="11">
        <v>45356</v>
      </c>
      <c r="Q1861" s="10" t="s">
        <v>33</v>
      </c>
      <c r="R1861" s="10" t="s">
        <v>33</v>
      </c>
      <c r="S1861" s="10" t="s">
        <v>34</v>
      </c>
      <c r="T1861" s="13">
        <v>7.1958000000000002</v>
      </c>
      <c r="U1861" s="14">
        <v>212</v>
      </c>
      <c r="V1861" s="14">
        <v>2024</v>
      </c>
      <c r="W1861" s="10" t="s">
        <v>35</v>
      </c>
    </row>
    <row r="1862" spans="1:23" s="9" customFormat="1" ht="15.75" hidden="1" customHeight="1" x14ac:dyDescent="0.25">
      <c r="A1862" s="4" t="s">
        <v>5644</v>
      </c>
      <c r="B1862" s="4" t="s">
        <v>5645</v>
      </c>
      <c r="C1862" s="4" t="s">
        <v>5646</v>
      </c>
      <c r="D1862" s="22" t="s">
        <v>6090</v>
      </c>
      <c r="E1862" s="4" t="s">
        <v>51</v>
      </c>
      <c r="F1862" s="4" t="s">
        <v>71</v>
      </c>
      <c r="G1862" s="4" t="s">
        <v>57</v>
      </c>
      <c r="H1862" s="4" t="s">
        <v>118</v>
      </c>
      <c r="I1862" s="5">
        <v>45238</v>
      </c>
      <c r="J1862" s="4" t="s">
        <v>40</v>
      </c>
      <c r="K1862" s="5">
        <v>45472</v>
      </c>
      <c r="L1862" s="4" t="s">
        <v>59</v>
      </c>
      <c r="M1862" s="6">
        <v>12695</v>
      </c>
      <c r="N1862" s="6">
        <v>3222</v>
      </c>
      <c r="O1862" s="4">
        <v>15</v>
      </c>
      <c r="P1862" s="5">
        <v>45487</v>
      </c>
      <c r="Q1862" s="4" t="s">
        <v>33</v>
      </c>
      <c r="R1862" s="4" t="s">
        <v>33</v>
      </c>
      <c r="S1862" s="4" t="s">
        <v>41</v>
      </c>
      <c r="T1862" s="7">
        <v>3.9401000000000002</v>
      </c>
      <c r="U1862" s="8">
        <v>234</v>
      </c>
      <c r="V1862" s="8">
        <v>2024</v>
      </c>
      <c r="W1862" s="4" t="s">
        <v>67</v>
      </c>
    </row>
    <row r="1863" spans="1:23" s="9" customFormat="1" ht="15.75" hidden="1" customHeight="1" x14ac:dyDescent="0.25">
      <c r="A1863" s="10" t="s">
        <v>5647</v>
      </c>
      <c r="B1863" s="10" t="s">
        <v>5648</v>
      </c>
      <c r="C1863" s="10" t="s">
        <v>5649</v>
      </c>
      <c r="D1863" s="21" t="s">
        <v>6091</v>
      </c>
      <c r="E1863" s="10" t="s">
        <v>51</v>
      </c>
      <c r="F1863" s="10" t="s">
        <v>65</v>
      </c>
      <c r="G1863" s="10" t="s">
        <v>5</v>
      </c>
      <c r="H1863" s="10" t="s">
        <v>161</v>
      </c>
      <c r="I1863" s="11">
        <v>45067</v>
      </c>
      <c r="J1863" s="10" t="s">
        <v>40</v>
      </c>
      <c r="K1863" s="11">
        <v>45405</v>
      </c>
      <c r="L1863" s="10" t="s">
        <v>66</v>
      </c>
      <c r="M1863" s="12">
        <v>14034</v>
      </c>
      <c r="N1863" s="12">
        <v>6553</v>
      </c>
      <c r="O1863" s="10" t="s">
        <v>32</v>
      </c>
      <c r="P1863" s="10" t="s">
        <v>32</v>
      </c>
      <c r="Q1863" s="10" t="s">
        <v>33</v>
      </c>
      <c r="R1863" s="10" t="s">
        <v>33</v>
      </c>
      <c r="S1863" s="10" t="s">
        <v>60</v>
      </c>
      <c r="T1863" s="13">
        <v>2.1415999999999999</v>
      </c>
      <c r="U1863" s="14">
        <v>338</v>
      </c>
      <c r="V1863" s="14">
        <v>2024</v>
      </c>
      <c r="W1863" s="10" t="s">
        <v>47</v>
      </c>
    </row>
    <row r="1864" spans="1:23" s="9" customFormat="1" ht="15.75" hidden="1" customHeight="1" x14ac:dyDescent="0.25">
      <c r="A1864" s="4" t="s">
        <v>5650</v>
      </c>
      <c r="B1864" s="4" t="s">
        <v>5651</v>
      </c>
      <c r="C1864" s="4" t="s">
        <v>5652</v>
      </c>
      <c r="D1864" s="21" t="s">
        <v>6091</v>
      </c>
      <c r="E1864" s="4" t="s">
        <v>51</v>
      </c>
      <c r="F1864" s="4" t="s">
        <v>46</v>
      </c>
      <c r="G1864" s="4" t="s">
        <v>5</v>
      </c>
      <c r="H1864" s="4" t="s">
        <v>29</v>
      </c>
      <c r="I1864" s="5">
        <v>45245</v>
      </c>
      <c r="J1864" s="4" t="s">
        <v>40</v>
      </c>
      <c r="K1864" s="5">
        <v>45471</v>
      </c>
      <c r="L1864" s="4" t="s">
        <v>59</v>
      </c>
      <c r="M1864" s="6">
        <v>2626</v>
      </c>
      <c r="N1864" s="6">
        <v>7660</v>
      </c>
      <c r="O1864" s="4">
        <v>44</v>
      </c>
      <c r="P1864" s="5">
        <v>45515</v>
      </c>
      <c r="Q1864" s="4" t="s">
        <v>33</v>
      </c>
      <c r="R1864" s="4" t="s">
        <v>33</v>
      </c>
      <c r="S1864" s="4" t="s">
        <v>34</v>
      </c>
      <c r="T1864" s="7">
        <v>0.34279999999999999</v>
      </c>
      <c r="U1864" s="8">
        <v>226</v>
      </c>
      <c r="V1864" s="8">
        <v>2024</v>
      </c>
      <c r="W1864" s="4" t="s">
        <v>67</v>
      </c>
    </row>
    <row r="1865" spans="1:23" s="9" customFormat="1" ht="15.75" hidden="1" customHeight="1" x14ac:dyDescent="0.25">
      <c r="A1865" s="10" t="s">
        <v>5653</v>
      </c>
      <c r="B1865" s="10" t="s">
        <v>5654</v>
      </c>
      <c r="C1865" s="10" t="s">
        <v>5655</v>
      </c>
      <c r="D1865" s="21" t="s">
        <v>6089</v>
      </c>
      <c r="E1865" s="10" t="s">
        <v>87</v>
      </c>
      <c r="F1865" s="10" t="s">
        <v>56</v>
      </c>
      <c r="G1865" s="10" t="s">
        <v>5</v>
      </c>
      <c r="H1865" s="10" t="s">
        <v>88</v>
      </c>
      <c r="I1865" s="11">
        <v>45029</v>
      </c>
      <c r="J1865" s="10" t="s">
        <v>30</v>
      </c>
      <c r="K1865" s="11">
        <v>45372</v>
      </c>
      <c r="L1865" s="10" t="s">
        <v>59</v>
      </c>
      <c r="M1865" s="12">
        <v>30392</v>
      </c>
      <c r="N1865" s="12">
        <v>1264</v>
      </c>
      <c r="O1865" s="10">
        <v>36</v>
      </c>
      <c r="P1865" s="11">
        <v>45408</v>
      </c>
      <c r="Q1865" s="10" t="s">
        <v>33</v>
      </c>
      <c r="R1865" s="10" t="s">
        <v>33</v>
      </c>
      <c r="S1865" s="10" t="s">
        <v>60</v>
      </c>
      <c r="T1865" s="13">
        <v>24.0443</v>
      </c>
      <c r="U1865" s="14">
        <v>343</v>
      </c>
      <c r="V1865" s="14">
        <v>2024</v>
      </c>
      <c r="W1865" s="10" t="s">
        <v>77</v>
      </c>
    </row>
    <row r="1866" spans="1:23" s="9" customFormat="1" ht="15.75" hidden="1" customHeight="1" x14ac:dyDescent="0.25">
      <c r="A1866" s="4" t="s">
        <v>5656</v>
      </c>
      <c r="B1866" s="4" t="s">
        <v>5657</v>
      </c>
      <c r="C1866" s="4" t="s">
        <v>5658</v>
      </c>
      <c r="D1866" s="21" t="s">
        <v>6086</v>
      </c>
      <c r="E1866" s="4" t="s">
        <v>87</v>
      </c>
      <c r="F1866" s="4" t="s">
        <v>56</v>
      </c>
      <c r="G1866" s="4" t="s">
        <v>28</v>
      </c>
      <c r="H1866" s="4" t="s">
        <v>93</v>
      </c>
      <c r="I1866" s="5">
        <v>45460</v>
      </c>
      <c r="J1866" s="4" t="s">
        <v>40</v>
      </c>
      <c r="K1866" s="5">
        <v>45628</v>
      </c>
      <c r="L1866" s="4" t="s">
        <v>31</v>
      </c>
      <c r="M1866" s="6">
        <v>39441</v>
      </c>
      <c r="N1866" s="6">
        <v>8146</v>
      </c>
      <c r="O1866" s="4" t="s">
        <v>32</v>
      </c>
      <c r="P1866" s="4" t="s">
        <v>32</v>
      </c>
      <c r="Q1866" s="4" t="s">
        <v>94</v>
      </c>
      <c r="R1866" s="4" t="s">
        <v>33</v>
      </c>
      <c r="S1866" s="4" t="s">
        <v>41</v>
      </c>
      <c r="T1866" s="7">
        <v>4.8418000000000001</v>
      </c>
      <c r="U1866" s="8">
        <v>168</v>
      </c>
      <c r="V1866" s="8">
        <v>2024</v>
      </c>
      <c r="W1866" s="4" t="s">
        <v>89</v>
      </c>
    </row>
    <row r="1867" spans="1:23" s="9" customFormat="1" ht="15.75" hidden="1" customHeight="1" x14ac:dyDescent="0.25">
      <c r="A1867" s="10" t="s">
        <v>5659</v>
      </c>
      <c r="B1867" s="10" t="s">
        <v>5660</v>
      </c>
      <c r="C1867" s="10" t="s">
        <v>5661</v>
      </c>
      <c r="D1867" s="22" t="s">
        <v>6087</v>
      </c>
      <c r="E1867" s="10" t="s">
        <v>87</v>
      </c>
      <c r="F1867" s="10" t="s">
        <v>56</v>
      </c>
      <c r="G1867" s="10" t="s">
        <v>5</v>
      </c>
      <c r="H1867" s="10" t="s">
        <v>58</v>
      </c>
      <c r="I1867" s="11">
        <v>45495</v>
      </c>
      <c r="J1867" s="10" t="s">
        <v>30</v>
      </c>
      <c r="K1867" s="11">
        <v>45528</v>
      </c>
      <c r="L1867" s="10" t="s">
        <v>66</v>
      </c>
      <c r="M1867" s="12">
        <v>22037</v>
      </c>
      <c r="N1867" s="12">
        <v>4851</v>
      </c>
      <c r="O1867" s="10" t="s">
        <v>32</v>
      </c>
      <c r="P1867" s="10" t="s">
        <v>32</v>
      </c>
      <c r="Q1867" s="10" t="s">
        <v>33</v>
      </c>
      <c r="R1867" s="10" t="s">
        <v>33</v>
      </c>
      <c r="S1867" s="10" t="s">
        <v>34</v>
      </c>
      <c r="T1867" s="13">
        <v>4.5427999999999997</v>
      </c>
      <c r="U1867" s="14">
        <v>33</v>
      </c>
      <c r="V1867" s="14">
        <v>2024</v>
      </c>
      <c r="W1867" s="10" t="s">
        <v>114</v>
      </c>
    </row>
    <row r="1868" spans="1:23" s="9" customFormat="1" ht="15.75" hidden="1" customHeight="1" x14ac:dyDescent="0.25">
      <c r="A1868" s="4" t="s">
        <v>5662</v>
      </c>
      <c r="B1868" s="4" t="s">
        <v>5663</v>
      </c>
      <c r="C1868" s="4" t="s">
        <v>5664</v>
      </c>
      <c r="D1868" s="22" t="s">
        <v>6090</v>
      </c>
      <c r="E1868" s="4" t="s">
        <v>87</v>
      </c>
      <c r="F1868" s="4" t="s">
        <v>27</v>
      </c>
      <c r="G1868" s="4" t="s">
        <v>5</v>
      </c>
      <c r="H1868" s="4" t="s">
        <v>88</v>
      </c>
      <c r="I1868" s="5">
        <v>45298</v>
      </c>
      <c r="J1868" s="4" t="s">
        <v>30</v>
      </c>
      <c r="K1868" s="5">
        <v>45450</v>
      </c>
      <c r="L1868" s="4" t="s">
        <v>31</v>
      </c>
      <c r="M1868" s="6">
        <v>56257</v>
      </c>
      <c r="N1868" s="6">
        <v>1465</v>
      </c>
      <c r="O1868" s="4" t="s">
        <v>32</v>
      </c>
      <c r="P1868" s="4" t="s">
        <v>32</v>
      </c>
      <c r="Q1868" s="4" t="s">
        <v>33</v>
      </c>
      <c r="R1868" s="4" t="s">
        <v>33</v>
      </c>
      <c r="S1868" s="4" t="s">
        <v>41</v>
      </c>
      <c r="T1868" s="7">
        <v>38.400700000000001</v>
      </c>
      <c r="U1868" s="8">
        <v>152</v>
      </c>
      <c r="V1868" s="8">
        <v>2024</v>
      </c>
      <c r="W1868" s="4" t="s">
        <v>67</v>
      </c>
    </row>
    <row r="1869" spans="1:23" s="9" customFormat="1" ht="27.75" customHeight="1" x14ac:dyDescent="0.25">
      <c r="A1869" s="10" t="s">
        <v>5665</v>
      </c>
      <c r="B1869" s="10" t="s">
        <v>5666</v>
      </c>
      <c r="C1869" s="10" t="s">
        <v>5667</v>
      </c>
      <c r="D1869" s="22" t="s">
        <v>6087</v>
      </c>
      <c r="E1869" s="10" t="s">
        <v>87</v>
      </c>
      <c r="F1869" s="10" t="s">
        <v>6092</v>
      </c>
      <c r="G1869" s="10" t="s">
        <v>28</v>
      </c>
      <c r="H1869" s="10" t="s">
        <v>39</v>
      </c>
      <c r="I1869" s="11">
        <v>45141</v>
      </c>
      <c r="J1869" s="10" t="s">
        <v>30</v>
      </c>
      <c r="K1869" s="11">
        <v>45394</v>
      </c>
      <c r="L1869" s="10" t="s">
        <v>59</v>
      </c>
      <c r="M1869" s="12">
        <v>34835</v>
      </c>
      <c r="N1869" s="12">
        <v>7775</v>
      </c>
      <c r="O1869" s="10">
        <v>5</v>
      </c>
      <c r="P1869" s="11">
        <v>45399</v>
      </c>
      <c r="Q1869" s="10" t="s">
        <v>94</v>
      </c>
      <c r="R1869" s="10" t="s">
        <v>94</v>
      </c>
      <c r="S1869" s="10" t="s">
        <v>34</v>
      </c>
      <c r="T1869" s="13">
        <v>4.4804000000000004</v>
      </c>
      <c r="U1869" s="14">
        <v>253</v>
      </c>
      <c r="V1869" s="14">
        <v>2024</v>
      </c>
      <c r="W1869" s="10" t="s">
        <v>47</v>
      </c>
    </row>
    <row r="1870" spans="1:23" s="9" customFormat="1" ht="15.75" hidden="1" customHeight="1" x14ac:dyDescent="0.25">
      <c r="A1870" s="4" t="s">
        <v>5668</v>
      </c>
      <c r="B1870" s="4" t="s">
        <v>5669</v>
      </c>
      <c r="C1870" s="4" t="s">
        <v>5670</v>
      </c>
      <c r="D1870" s="21" t="s">
        <v>6086</v>
      </c>
      <c r="E1870" s="4" t="s">
        <v>26</v>
      </c>
      <c r="F1870" s="4" t="s">
        <v>65</v>
      </c>
      <c r="G1870" s="4" t="s">
        <v>57</v>
      </c>
      <c r="H1870" s="4" t="s">
        <v>88</v>
      </c>
      <c r="I1870" s="5">
        <v>45206</v>
      </c>
      <c r="J1870" s="4" t="s">
        <v>40</v>
      </c>
      <c r="K1870" s="5">
        <v>45325</v>
      </c>
      <c r="L1870" s="4" t="s">
        <v>59</v>
      </c>
      <c r="M1870" s="6">
        <v>33666</v>
      </c>
      <c r="N1870" s="6">
        <v>8407</v>
      </c>
      <c r="O1870" s="4">
        <v>34</v>
      </c>
      <c r="P1870" s="5">
        <v>45359</v>
      </c>
      <c r="Q1870" s="4" t="s">
        <v>33</v>
      </c>
      <c r="R1870" s="4" t="s">
        <v>33</v>
      </c>
      <c r="S1870" s="4" t="s">
        <v>60</v>
      </c>
      <c r="T1870" s="7">
        <v>4.0045000000000002</v>
      </c>
      <c r="U1870" s="8">
        <v>119</v>
      </c>
      <c r="V1870" s="8">
        <v>2024</v>
      </c>
      <c r="W1870" s="4" t="s">
        <v>35</v>
      </c>
    </row>
    <row r="1871" spans="1:23" s="9" customFormat="1" ht="15.75" hidden="1" customHeight="1" x14ac:dyDescent="0.25">
      <c r="A1871" s="10" t="s">
        <v>5671</v>
      </c>
      <c r="B1871" s="10" t="s">
        <v>5672</v>
      </c>
      <c r="C1871" s="10" t="s">
        <v>5673</v>
      </c>
      <c r="D1871" s="22" t="s">
        <v>6087</v>
      </c>
      <c r="E1871" s="10" t="s">
        <v>87</v>
      </c>
      <c r="F1871" s="10" t="s">
        <v>56</v>
      </c>
      <c r="G1871" s="10" t="s">
        <v>5</v>
      </c>
      <c r="H1871" s="10" t="s">
        <v>118</v>
      </c>
      <c r="I1871" s="11">
        <v>45309</v>
      </c>
      <c r="J1871" s="10" t="s">
        <v>40</v>
      </c>
      <c r="K1871" s="11">
        <v>45484</v>
      </c>
      <c r="L1871" s="10" t="s">
        <v>59</v>
      </c>
      <c r="M1871" s="12">
        <v>9722</v>
      </c>
      <c r="N1871" s="12">
        <v>1689</v>
      </c>
      <c r="O1871" s="10">
        <v>4</v>
      </c>
      <c r="P1871" s="11">
        <v>45488</v>
      </c>
      <c r="Q1871" s="10" t="s">
        <v>33</v>
      </c>
      <c r="R1871" s="10" t="s">
        <v>33</v>
      </c>
      <c r="S1871" s="10" t="s">
        <v>60</v>
      </c>
      <c r="T1871" s="13">
        <v>5.7561</v>
      </c>
      <c r="U1871" s="14">
        <v>175</v>
      </c>
      <c r="V1871" s="14">
        <v>2024</v>
      </c>
      <c r="W1871" s="10" t="s">
        <v>42</v>
      </c>
    </row>
    <row r="1872" spans="1:23" s="9" customFormat="1" ht="15.75" hidden="1" customHeight="1" x14ac:dyDescent="0.25">
      <c r="A1872" s="4" t="s">
        <v>5674</v>
      </c>
      <c r="B1872" s="4" t="s">
        <v>5675</v>
      </c>
      <c r="C1872" s="4" t="s">
        <v>5676</v>
      </c>
      <c r="D1872" s="22" t="s">
        <v>6087</v>
      </c>
      <c r="E1872" s="4" t="s">
        <v>87</v>
      </c>
      <c r="F1872" s="4" t="s">
        <v>65</v>
      </c>
      <c r="G1872" s="4" t="s">
        <v>5</v>
      </c>
      <c r="H1872" s="4" t="s">
        <v>161</v>
      </c>
      <c r="I1872" s="5">
        <v>45149</v>
      </c>
      <c r="J1872" s="4" t="s">
        <v>30</v>
      </c>
      <c r="K1872" s="5">
        <v>45363</v>
      </c>
      <c r="L1872" s="4" t="s">
        <v>59</v>
      </c>
      <c r="M1872" s="6">
        <v>11091</v>
      </c>
      <c r="N1872" s="6">
        <v>8634</v>
      </c>
      <c r="O1872" s="4">
        <v>21</v>
      </c>
      <c r="P1872" s="5">
        <v>45384</v>
      </c>
      <c r="Q1872" s="4" t="s">
        <v>33</v>
      </c>
      <c r="R1872" s="4" t="s">
        <v>33</v>
      </c>
      <c r="S1872" s="4" t="s">
        <v>41</v>
      </c>
      <c r="T1872" s="7">
        <v>1.2846</v>
      </c>
      <c r="U1872" s="8">
        <v>214</v>
      </c>
      <c r="V1872" s="8">
        <v>2024</v>
      </c>
      <c r="W1872" s="4" t="s">
        <v>77</v>
      </c>
    </row>
    <row r="1873" spans="1:23" s="9" customFormat="1" ht="15.75" hidden="1" customHeight="1" x14ac:dyDescent="0.25">
      <c r="A1873" s="10" t="s">
        <v>5677</v>
      </c>
      <c r="B1873" s="10" t="s">
        <v>5678</v>
      </c>
      <c r="C1873" s="10" t="s">
        <v>5679</v>
      </c>
      <c r="D1873" s="22" t="s">
        <v>6090</v>
      </c>
      <c r="E1873" s="10" t="s">
        <v>51</v>
      </c>
      <c r="F1873" s="10" t="s">
        <v>65</v>
      </c>
      <c r="G1873" s="10" t="s">
        <v>57</v>
      </c>
      <c r="H1873" s="10" t="s">
        <v>39</v>
      </c>
      <c r="I1873" s="11">
        <v>45150</v>
      </c>
      <c r="J1873" s="10" t="s">
        <v>30</v>
      </c>
      <c r="K1873" s="11">
        <v>45353</v>
      </c>
      <c r="L1873" s="10" t="s">
        <v>66</v>
      </c>
      <c r="M1873" s="12">
        <v>27361</v>
      </c>
      <c r="N1873" s="12">
        <v>2803</v>
      </c>
      <c r="O1873" s="10" t="s">
        <v>32</v>
      </c>
      <c r="P1873" s="10" t="s">
        <v>32</v>
      </c>
      <c r="Q1873" s="10" t="s">
        <v>94</v>
      </c>
      <c r="R1873" s="10" t="s">
        <v>33</v>
      </c>
      <c r="S1873" s="10" t="s">
        <v>34</v>
      </c>
      <c r="T1873" s="13">
        <v>9.7613000000000003</v>
      </c>
      <c r="U1873" s="14">
        <v>203</v>
      </c>
      <c r="V1873" s="14">
        <v>2024</v>
      </c>
      <c r="W1873" s="10" t="s">
        <v>77</v>
      </c>
    </row>
    <row r="1874" spans="1:23" s="9" customFormat="1" ht="15.75" hidden="1" customHeight="1" x14ac:dyDescent="0.25">
      <c r="A1874" s="4" t="s">
        <v>5680</v>
      </c>
      <c r="B1874" s="4" t="s">
        <v>5681</v>
      </c>
      <c r="C1874" s="4" t="s">
        <v>5682</v>
      </c>
      <c r="D1874" s="22" t="s">
        <v>6090</v>
      </c>
      <c r="E1874" s="4" t="s">
        <v>26</v>
      </c>
      <c r="F1874" s="4" t="s">
        <v>46</v>
      </c>
      <c r="G1874" s="4" t="s">
        <v>28</v>
      </c>
      <c r="H1874" s="4" t="s">
        <v>39</v>
      </c>
      <c r="I1874" s="5">
        <v>45459</v>
      </c>
      <c r="J1874" s="4" t="s">
        <v>30</v>
      </c>
      <c r="K1874" s="5">
        <v>45622</v>
      </c>
      <c r="L1874" s="4" t="s">
        <v>59</v>
      </c>
      <c r="M1874" s="6">
        <v>14286</v>
      </c>
      <c r="N1874" s="6">
        <v>4554</v>
      </c>
      <c r="O1874" s="4">
        <v>42</v>
      </c>
      <c r="P1874" s="5">
        <v>45664</v>
      </c>
      <c r="Q1874" s="4" t="s">
        <v>94</v>
      </c>
      <c r="R1874" s="4" t="s">
        <v>94</v>
      </c>
      <c r="S1874" s="4" t="s">
        <v>41</v>
      </c>
      <c r="T1874" s="7">
        <v>3.137</v>
      </c>
      <c r="U1874" s="8">
        <v>163</v>
      </c>
      <c r="V1874" s="8">
        <v>2024</v>
      </c>
      <c r="W1874" s="4" t="s">
        <v>61</v>
      </c>
    </row>
    <row r="1875" spans="1:23" s="9" customFormat="1" ht="15.75" hidden="1" customHeight="1" x14ac:dyDescent="0.25">
      <c r="A1875" s="10" t="s">
        <v>5683</v>
      </c>
      <c r="B1875" s="10" t="s">
        <v>5684</v>
      </c>
      <c r="C1875" s="10" t="s">
        <v>5685</v>
      </c>
      <c r="D1875" s="22" t="s">
        <v>6087</v>
      </c>
      <c r="E1875" s="10" t="s">
        <v>87</v>
      </c>
      <c r="F1875" s="10" t="s">
        <v>46</v>
      </c>
      <c r="G1875" s="10" t="s">
        <v>57</v>
      </c>
      <c r="H1875" s="10" t="s">
        <v>118</v>
      </c>
      <c r="I1875" s="11">
        <v>45215</v>
      </c>
      <c r="J1875" s="10" t="s">
        <v>30</v>
      </c>
      <c r="K1875" s="11">
        <v>45498</v>
      </c>
      <c r="L1875" s="10" t="s">
        <v>59</v>
      </c>
      <c r="M1875" s="12">
        <v>13067</v>
      </c>
      <c r="N1875" s="12">
        <v>858</v>
      </c>
      <c r="O1875" s="10">
        <v>36</v>
      </c>
      <c r="P1875" s="11">
        <v>45534</v>
      </c>
      <c r="Q1875" s="10" t="s">
        <v>33</v>
      </c>
      <c r="R1875" s="10" t="s">
        <v>33</v>
      </c>
      <c r="S1875" s="10" t="s">
        <v>60</v>
      </c>
      <c r="T1875" s="13">
        <v>15.2296</v>
      </c>
      <c r="U1875" s="14">
        <v>283</v>
      </c>
      <c r="V1875" s="14">
        <v>2024</v>
      </c>
      <c r="W1875" s="10" t="s">
        <v>42</v>
      </c>
    </row>
    <row r="1876" spans="1:23" s="9" customFormat="1" ht="15.75" hidden="1" customHeight="1" x14ac:dyDescent="0.25">
      <c r="A1876" s="4" t="s">
        <v>5686</v>
      </c>
      <c r="B1876" s="4" t="s">
        <v>5687</v>
      </c>
      <c r="C1876" s="4" t="s">
        <v>5688</v>
      </c>
      <c r="D1876" s="22" t="s">
        <v>6087</v>
      </c>
      <c r="E1876" s="4" t="s">
        <v>26</v>
      </c>
      <c r="F1876" s="21" t="s">
        <v>6092</v>
      </c>
      <c r="G1876" s="4" t="s">
        <v>28</v>
      </c>
      <c r="H1876" s="4" t="s">
        <v>39</v>
      </c>
      <c r="I1876" s="5">
        <v>45308</v>
      </c>
      <c r="J1876" s="4" t="s">
        <v>30</v>
      </c>
      <c r="K1876" s="5">
        <v>45543</v>
      </c>
      <c r="L1876" s="4" t="s">
        <v>59</v>
      </c>
      <c r="M1876" s="6">
        <v>23783</v>
      </c>
      <c r="N1876" s="6">
        <v>8383</v>
      </c>
      <c r="O1876" s="4">
        <v>28</v>
      </c>
      <c r="P1876" s="5">
        <v>45571</v>
      </c>
      <c r="Q1876" s="4" t="s">
        <v>33</v>
      </c>
      <c r="R1876" s="4" t="s">
        <v>33</v>
      </c>
      <c r="S1876" s="4" t="s">
        <v>34</v>
      </c>
      <c r="T1876" s="7">
        <v>2.8371</v>
      </c>
      <c r="U1876" s="8">
        <v>235</v>
      </c>
      <c r="V1876" s="8">
        <v>2024</v>
      </c>
      <c r="W1876" s="4" t="s">
        <v>168</v>
      </c>
    </row>
    <row r="1877" spans="1:23" s="9" customFormat="1" ht="15.75" hidden="1" customHeight="1" x14ac:dyDescent="0.25">
      <c r="A1877" s="10" t="s">
        <v>5689</v>
      </c>
      <c r="B1877" s="10" t="s">
        <v>5690</v>
      </c>
      <c r="C1877" s="10" t="s">
        <v>5691</v>
      </c>
      <c r="D1877" s="22" t="s">
        <v>6090</v>
      </c>
      <c r="E1877" s="10" t="s">
        <v>26</v>
      </c>
      <c r="F1877" s="10" t="s">
        <v>56</v>
      </c>
      <c r="G1877" s="10" t="s">
        <v>5</v>
      </c>
      <c r="H1877" s="10" t="s">
        <v>93</v>
      </c>
      <c r="I1877" s="11">
        <v>45314</v>
      </c>
      <c r="J1877" s="10" t="s">
        <v>30</v>
      </c>
      <c r="K1877" s="11">
        <v>45351</v>
      </c>
      <c r="L1877" s="10" t="s">
        <v>59</v>
      </c>
      <c r="M1877" s="12">
        <v>5478</v>
      </c>
      <c r="N1877" s="12">
        <v>1878</v>
      </c>
      <c r="O1877" s="10">
        <v>19</v>
      </c>
      <c r="P1877" s="11">
        <v>45370</v>
      </c>
      <c r="Q1877" s="10" t="s">
        <v>33</v>
      </c>
      <c r="R1877" s="10" t="s">
        <v>33</v>
      </c>
      <c r="S1877" s="10" t="s">
        <v>34</v>
      </c>
      <c r="T1877" s="13">
        <v>2.9169</v>
      </c>
      <c r="U1877" s="14">
        <v>37</v>
      </c>
      <c r="V1877" s="14">
        <v>2024</v>
      </c>
      <c r="W1877" s="10" t="s">
        <v>35</v>
      </c>
    </row>
    <row r="1878" spans="1:23" s="9" customFormat="1" ht="15.75" hidden="1" customHeight="1" x14ac:dyDescent="0.25">
      <c r="A1878" s="4" t="s">
        <v>5692</v>
      </c>
      <c r="B1878" s="4" t="s">
        <v>5693</v>
      </c>
      <c r="C1878" s="4" t="s">
        <v>5694</v>
      </c>
      <c r="D1878" s="22" t="s">
        <v>6087</v>
      </c>
      <c r="E1878" s="4" t="s">
        <v>87</v>
      </c>
      <c r="F1878" s="4" t="s">
        <v>56</v>
      </c>
      <c r="G1878" s="4" t="s">
        <v>28</v>
      </c>
      <c r="H1878" s="4" t="s">
        <v>93</v>
      </c>
      <c r="I1878" s="5">
        <v>45196</v>
      </c>
      <c r="J1878" s="4" t="s">
        <v>30</v>
      </c>
      <c r="K1878" s="5">
        <v>45432</v>
      </c>
      <c r="L1878" s="4" t="s">
        <v>31</v>
      </c>
      <c r="M1878" s="6">
        <v>28495</v>
      </c>
      <c r="N1878" s="6">
        <v>3998</v>
      </c>
      <c r="O1878" s="4" t="s">
        <v>32</v>
      </c>
      <c r="P1878" s="4" t="s">
        <v>32</v>
      </c>
      <c r="Q1878" s="4" t="s">
        <v>33</v>
      </c>
      <c r="R1878" s="4" t="s">
        <v>33</v>
      </c>
      <c r="S1878" s="4" t="s">
        <v>41</v>
      </c>
      <c r="T1878" s="7">
        <v>7.1273</v>
      </c>
      <c r="U1878" s="8">
        <v>236</v>
      </c>
      <c r="V1878" s="8">
        <v>2024</v>
      </c>
      <c r="W1878" s="4" t="s">
        <v>52</v>
      </c>
    </row>
    <row r="1879" spans="1:23" s="9" customFormat="1" ht="15.75" hidden="1" customHeight="1" x14ac:dyDescent="0.25">
      <c r="A1879" s="10" t="s">
        <v>5695</v>
      </c>
      <c r="B1879" s="10" t="s">
        <v>5696</v>
      </c>
      <c r="C1879" s="10" t="s">
        <v>5697</v>
      </c>
      <c r="D1879" s="21" t="s">
        <v>6089</v>
      </c>
      <c r="E1879" s="10" t="s">
        <v>51</v>
      </c>
      <c r="F1879" s="10" t="s">
        <v>65</v>
      </c>
      <c r="G1879" s="10" t="s">
        <v>28</v>
      </c>
      <c r="H1879" s="10" t="s">
        <v>39</v>
      </c>
      <c r="I1879" s="11">
        <v>45226</v>
      </c>
      <c r="J1879" s="10" t="s">
        <v>30</v>
      </c>
      <c r="K1879" s="11">
        <v>45427</v>
      </c>
      <c r="L1879" s="10" t="s">
        <v>59</v>
      </c>
      <c r="M1879" s="12">
        <v>25192</v>
      </c>
      <c r="N1879" s="12">
        <v>2594</v>
      </c>
      <c r="O1879" s="10">
        <v>41</v>
      </c>
      <c r="P1879" s="11">
        <v>45468</v>
      </c>
      <c r="Q1879" s="10" t="s">
        <v>33</v>
      </c>
      <c r="R1879" s="10" t="s">
        <v>33</v>
      </c>
      <c r="S1879" s="10" t="s">
        <v>34</v>
      </c>
      <c r="T1879" s="13">
        <v>9.7116000000000007</v>
      </c>
      <c r="U1879" s="14">
        <v>201</v>
      </c>
      <c r="V1879" s="14">
        <v>2024</v>
      </c>
      <c r="W1879" s="10" t="s">
        <v>52</v>
      </c>
    </row>
    <row r="1880" spans="1:23" s="9" customFormat="1" ht="15.75" hidden="1" customHeight="1" x14ac:dyDescent="0.25">
      <c r="A1880" s="4" t="s">
        <v>5698</v>
      </c>
      <c r="B1880" s="4" t="s">
        <v>5699</v>
      </c>
      <c r="C1880" s="4" t="s">
        <v>5700</v>
      </c>
      <c r="D1880" s="22" t="s">
        <v>6090</v>
      </c>
      <c r="E1880" s="4" t="s">
        <v>87</v>
      </c>
      <c r="F1880" s="4" t="s">
        <v>71</v>
      </c>
      <c r="G1880" s="4" t="s">
        <v>57</v>
      </c>
      <c r="H1880" s="4" t="s">
        <v>72</v>
      </c>
      <c r="I1880" s="5">
        <v>45617</v>
      </c>
      <c r="J1880" s="4" t="s">
        <v>40</v>
      </c>
      <c r="K1880" s="5">
        <v>45648</v>
      </c>
      <c r="L1880" s="4" t="s">
        <v>59</v>
      </c>
      <c r="M1880" s="6">
        <v>36051</v>
      </c>
      <c r="N1880" s="6">
        <v>3413</v>
      </c>
      <c r="O1880" s="4">
        <v>4</v>
      </c>
      <c r="P1880" s="5">
        <v>45652</v>
      </c>
      <c r="Q1880" s="4" t="s">
        <v>33</v>
      </c>
      <c r="R1880" s="4" t="s">
        <v>33</v>
      </c>
      <c r="S1880" s="4" t="s">
        <v>41</v>
      </c>
      <c r="T1880" s="7">
        <v>10.562799999999999</v>
      </c>
      <c r="U1880" s="8">
        <v>31</v>
      </c>
      <c r="V1880" s="8">
        <v>2024</v>
      </c>
      <c r="W1880" s="4" t="s">
        <v>89</v>
      </c>
    </row>
    <row r="1881" spans="1:23" s="9" customFormat="1" ht="15.75" hidden="1" customHeight="1" x14ac:dyDescent="0.25">
      <c r="A1881" s="10" t="s">
        <v>5701</v>
      </c>
      <c r="B1881" s="10" t="s">
        <v>5702</v>
      </c>
      <c r="C1881" s="10" t="s">
        <v>5703</v>
      </c>
      <c r="D1881" s="21" t="s">
        <v>6089</v>
      </c>
      <c r="E1881" s="10" t="s">
        <v>87</v>
      </c>
      <c r="F1881" s="10" t="s">
        <v>27</v>
      </c>
      <c r="G1881" s="10" t="s">
        <v>5</v>
      </c>
      <c r="H1881" s="10" t="s">
        <v>39</v>
      </c>
      <c r="I1881" s="11">
        <v>45399</v>
      </c>
      <c r="J1881" s="10" t="s">
        <v>40</v>
      </c>
      <c r="K1881" s="11">
        <v>45448</v>
      </c>
      <c r="L1881" s="10" t="s">
        <v>59</v>
      </c>
      <c r="M1881" s="12">
        <v>47503</v>
      </c>
      <c r="N1881" s="12">
        <v>8053</v>
      </c>
      <c r="O1881" s="10">
        <v>24</v>
      </c>
      <c r="P1881" s="11">
        <v>45472</v>
      </c>
      <c r="Q1881" s="10" t="s">
        <v>33</v>
      </c>
      <c r="R1881" s="10" t="s">
        <v>33</v>
      </c>
      <c r="S1881" s="10" t="s">
        <v>34</v>
      </c>
      <c r="T1881" s="13">
        <v>5.8987999999999996</v>
      </c>
      <c r="U1881" s="14">
        <v>49</v>
      </c>
      <c r="V1881" s="14">
        <v>2024</v>
      </c>
      <c r="W1881" s="10" t="s">
        <v>67</v>
      </c>
    </row>
    <row r="1882" spans="1:23" s="9" customFormat="1" ht="15.75" hidden="1" customHeight="1" x14ac:dyDescent="0.25">
      <c r="A1882" s="4" t="s">
        <v>5704</v>
      </c>
      <c r="B1882" s="4" t="s">
        <v>5705</v>
      </c>
      <c r="C1882" s="4" t="s">
        <v>5706</v>
      </c>
      <c r="D1882" s="22" t="s">
        <v>6090</v>
      </c>
      <c r="E1882" s="4" t="s">
        <v>26</v>
      </c>
      <c r="F1882" s="4" t="s">
        <v>56</v>
      </c>
      <c r="G1882" s="4" t="s">
        <v>5</v>
      </c>
      <c r="H1882" s="4" t="s">
        <v>39</v>
      </c>
      <c r="I1882" s="5">
        <v>45359</v>
      </c>
      <c r="J1882" s="4" t="s">
        <v>30</v>
      </c>
      <c r="K1882" s="5">
        <v>45612</v>
      </c>
      <c r="L1882" s="4" t="s">
        <v>66</v>
      </c>
      <c r="M1882" s="6">
        <v>27352</v>
      </c>
      <c r="N1882" s="6">
        <v>8455</v>
      </c>
      <c r="O1882" s="4" t="s">
        <v>32</v>
      </c>
      <c r="P1882" s="4" t="s">
        <v>32</v>
      </c>
      <c r="Q1882" s="4" t="s">
        <v>94</v>
      </c>
      <c r="R1882" s="4" t="s">
        <v>94</v>
      </c>
      <c r="S1882" s="4" t="s">
        <v>41</v>
      </c>
      <c r="T1882" s="7">
        <v>3.2349999999999999</v>
      </c>
      <c r="U1882" s="8">
        <v>253</v>
      </c>
      <c r="V1882" s="8">
        <v>2024</v>
      </c>
      <c r="W1882" s="4" t="s">
        <v>61</v>
      </c>
    </row>
    <row r="1883" spans="1:23" s="9" customFormat="1" ht="15.75" hidden="1" customHeight="1" x14ac:dyDescent="0.25">
      <c r="A1883" s="10" t="s">
        <v>5707</v>
      </c>
      <c r="B1883" s="10" t="s">
        <v>5708</v>
      </c>
      <c r="C1883" s="10" t="s">
        <v>5709</v>
      </c>
      <c r="D1883" s="21" t="s">
        <v>6089</v>
      </c>
      <c r="E1883" s="10" t="s">
        <v>87</v>
      </c>
      <c r="F1883" s="10" t="s">
        <v>71</v>
      </c>
      <c r="G1883" s="10" t="s">
        <v>5</v>
      </c>
      <c r="H1883" s="10" t="s">
        <v>161</v>
      </c>
      <c r="I1883" s="11">
        <v>45444</v>
      </c>
      <c r="J1883" s="10" t="s">
        <v>40</v>
      </c>
      <c r="K1883" s="11">
        <v>45595</v>
      </c>
      <c r="L1883" s="10" t="s">
        <v>59</v>
      </c>
      <c r="M1883" s="12">
        <v>60367</v>
      </c>
      <c r="N1883" s="12">
        <v>2718</v>
      </c>
      <c r="O1883" s="10">
        <v>25</v>
      </c>
      <c r="P1883" s="11">
        <v>45620</v>
      </c>
      <c r="Q1883" s="10" t="s">
        <v>94</v>
      </c>
      <c r="R1883" s="10" t="s">
        <v>33</v>
      </c>
      <c r="S1883" s="10" t="s">
        <v>34</v>
      </c>
      <c r="T1883" s="13">
        <v>22.210100000000001</v>
      </c>
      <c r="U1883" s="14">
        <v>151</v>
      </c>
      <c r="V1883" s="14">
        <v>2024</v>
      </c>
      <c r="W1883" s="10" t="s">
        <v>95</v>
      </c>
    </row>
    <row r="1884" spans="1:23" s="9" customFormat="1" ht="15.75" hidden="1" customHeight="1" x14ac:dyDescent="0.25">
      <c r="A1884" s="4" t="s">
        <v>5710</v>
      </c>
      <c r="B1884" s="4" t="s">
        <v>5711</v>
      </c>
      <c r="C1884" s="4" t="s">
        <v>5712</v>
      </c>
      <c r="D1884" s="21" t="s">
        <v>6089</v>
      </c>
      <c r="E1884" s="4" t="s">
        <v>26</v>
      </c>
      <c r="F1884" s="21" t="s">
        <v>6092</v>
      </c>
      <c r="G1884" s="4" t="s">
        <v>28</v>
      </c>
      <c r="H1884" s="4" t="s">
        <v>161</v>
      </c>
      <c r="I1884" s="5">
        <v>45343</v>
      </c>
      <c r="J1884" s="4" t="s">
        <v>30</v>
      </c>
      <c r="K1884" s="5">
        <v>45505</v>
      </c>
      <c r="L1884" s="4" t="s">
        <v>59</v>
      </c>
      <c r="M1884" s="6">
        <v>43496</v>
      </c>
      <c r="N1884" s="6">
        <v>2902</v>
      </c>
      <c r="O1884" s="4">
        <v>24</v>
      </c>
      <c r="P1884" s="5">
        <v>45529</v>
      </c>
      <c r="Q1884" s="4" t="s">
        <v>33</v>
      </c>
      <c r="R1884" s="4" t="s">
        <v>33</v>
      </c>
      <c r="S1884" s="4" t="s">
        <v>60</v>
      </c>
      <c r="T1884" s="7">
        <v>14.988300000000001</v>
      </c>
      <c r="U1884" s="8">
        <v>162</v>
      </c>
      <c r="V1884" s="8">
        <v>2024</v>
      </c>
      <c r="W1884" s="4" t="s">
        <v>114</v>
      </c>
    </row>
    <row r="1885" spans="1:23" s="9" customFormat="1" ht="15.75" hidden="1" customHeight="1" x14ac:dyDescent="0.25">
      <c r="A1885" s="10" t="s">
        <v>5713</v>
      </c>
      <c r="B1885" s="10" t="s">
        <v>5714</v>
      </c>
      <c r="C1885" s="10" t="s">
        <v>5715</v>
      </c>
      <c r="D1885" s="21" t="s">
        <v>6088</v>
      </c>
      <c r="E1885" s="10" t="s">
        <v>26</v>
      </c>
      <c r="F1885" s="10" t="s">
        <v>71</v>
      </c>
      <c r="G1885" s="10" t="s">
        <v>28</v>
      </c>
      <c r="H1885" s="10" t="s">
        <v>93</v>
      </c>
      <c r="I1885" s="11">
        <v>45494</v>
      </c>
      <c r="J1885" s="10" t="s">
        <v>40</v>
      </c>
      <c r="K1885" s="11">
        <v>45594</v>
      </c>
      <c r="L1885" s="10" t="s">
        <v>59</v>
      </c>
      <c r="M1885" s="12">
        <v>43857</v>
      </c>
      <c r="N1885" s="12">
        <v>7670</v>
      </c>
      <c r="O1885" s="10">
        <v>3</v>
      </c>
      <c r="P1885" s="11">
        <v>45597</v>
      </c>
      <c r="Q1885" s="10" t="s">
        <v>33</v>
      </c>
      <c r="R1885" s="10" t="s">
        <v>33</v>
      </c>
      <c r="S1885" s="10" t="s">
        <v>60</v>
      </c>
      <c r="T1885" s="13">
        <v>5.718</v>
      </c>
      <c r="U1885" s="14">
        <v>100</v>
      </c>
      <c r="V1885" s="14">
        <v>2024</v>
      </c>
      <c r="W1885" s="10" t="s">
        <v>95</v>
      </c>
    </row>
    <row r="1886" spans="1:23" s="9" customFormat="1" ht="15.75" hidden="1" customHeight="1" x14ac:dyDescent="0.25">
      <c r="A1886" s="4" t="s">
        <v>5716</v>
      </c>
      <c r="B1886" s="4" t="s">
        <v>5717</v>
      </c>
      <c r="C1886" s="4" t="s">
        <v>5718</v>
      </c>
      <c r="D1886" s="22" t="s">
        <v>6090</v>
      </c>
      <c r="E1886" s="4" t="s">
        <v>87</v>
      </c>
      <c r="F1886" s="4" t="s">
        <v>65</v>
      </c>
      <c r="G1886" s="4" t="s">
        <v>57</v>
      </c>
      <c r="H1886" s="4" t="s">
        <v>118</v>
      </c>
      <c r="I1886" s="5">
        <v>45198</v>
      </c>
      <c r="J1886" s="4" t="s">
        <v>30</v>
      </c>
      <c r="K1886" s="5">
        <v>45484</v>
      </c>
      <c r="L1886" s="4" t="s">
        <v>59</v>
      </c>
      <c r="M1886" s="6">
        <v>48720</v>
      </c>
      <c r="N1886" s="6">
        <v>8022</v>
      </c>
      <c r="O1886" s="4">
        <v>14</v>
      </c>
      <c r="P1886" s="5">
        <v>45498</v>
      </c>
      <c r="Q1886" s="4" t="s">
        <v>33</v>
      </c>
      <c r="R1886" s="4" t="s">
        <v>33</v>
      </c>
      <c r="S1886" s="4" t="s">
        <v>41</v>
      </c>
      <c r="T1886" s="7">
        <v>6.0732999999999997</v>
      </c>
      <c r="U1886" s="8">
        <v>286</v>
      </c>
      <c r="V1886" s="8">
        <v>2024</v>
      </c>
      <c r="W1886" s="4" t="s">
        <v>42</v>
      </c>
    </row>
    <row r="1887" spans="1:23" s="9" customFormat="1" ht="15.75" hidden="1" customHeight="1" x14ac:dyDescent="0.25">
      <c r="A1887" s="10" t="s">
        <v>5719</v>
      </c>
      <c r="B1887" s="10" t="s">
        <v>5720</v>
      </c>
      <c r="C1887" s="10" t="s">
        <v>5721</v>
      </c>
      <c r="D1887" s="21" t="s">
        <v>6086</v>
      </c>
      <c r="E1887" s="10" t="s">
        <v>87</v>
      </c>
      <c r="F1887" s="10" t="s">
        <v>46</v>
      </c>
      <c r="G1887" s="10" t="s">
        <v>28</v>
      </c>
      <c r="H1887" s="10" t="s">
        <v>39</v>
      </c>
      <c r="I1887" s="11">
        <v>45138</v>
      </c>
      <c r="J1887" s="10" t="s">
        <v>40</v>
      </c>
      <c r="K1887" s="11">
        <v>45449</v>
      </c>
      <c r="L1887" s="10" t="s">
        <v>59</v>
      </c>
      <c r="M1887" s="12">
        <v>21421</v>
      </c>
      <c r="N1887" s="12">
        <v>6801</v>
      </c>
      <c r="O1887" s="10">
        <v>38</v>
      </c>
      <c r="P1887" s="11">
        <v>45487</v>
      </c>
      <c r="Q1887" s="10" t="s">
        <v>33</v>
      </c>
      <c r="R1887" s="10" t="s">
        <v>33</v>
      </c>
      <c r="S1887" s="10" t="s">
        <v>34</v>
      </c>
      <c r="T1887" s="13">
        <v>3.1497000000000002</v>
      </c>
      <c r="U1887" s="14">
        <v>311</v>
      </c>
      <c r="V1887" s="14">
        <v>2024</v>
      </c>
      <c r="W1887" s="10" t="s">
        <v>67</v>
      </c>
    </row>
    <row r="1888" spans="1:23" s="9" customFormat="1" ht="15.75" hidden="1" customHeight="1" x14ac:dyDescent="0.25">
      <c r="A1888" s="4" t="s">
        <v>5722</v>
      </c>
      <c r="B1888" s="4" t="s">
        <v>5723</v>
      </c>
      <c r="C1888" s="4" t="s">
        <v>5724</v>
      </c>
      <c r="D1888" s="21" t="s">
        <v>6086</v>
      </c>
      <c r="E1888" s="4" t="s">
        <v>51</v>
      </c>
      <c r="F1888" s="4" t="s">
        <v>71</v>
      </c>
      <c r="G1888" s="4" t="s">
        <v>5</v>
      </c>
      <c r="H1888" s="4" t="s">
        <v>72</v>
      </c>
      <c r="I1888" s="5">
        <v>45189</v>
      </c>
      <c r="J1888" s="4" t="s">
        <v>40</v>
      </c>
      <c r="K1888" s="5">
        <v>45425</v>
      </c>
      <c r="L1888" s="4" t="s">
        <v>31</v>
      </c>
      <c r="M1888" s="6">
        <v>54703</v>
      </c>
      <c r="N1888" s="6">
        <v>4389</v>
      </c>
      <c r="O1888" s="4" t="s">
        <v>32</v>
      </c>
      <c r="P1888" s="4" t="s">
        <v>32</v>
      </c>
      <c r="Q1888" s="4" t="s">
        <v>33</v>
      </c>
      <c r="R1888" s="4" t="s">
        <v>33</v>
      </c>
      <c r="S1888" s="4" t="s">
        <v>41</v>
      </c>
      <c r="T1888" s="7">
        <v>12.463699999999999</v>
      </c>
      <c r="U1888" s="8">
        <v>236</v>
      </c>
      <c r="V1888" s="8">
        <v>2024</v>
      </c>
      <c r="W1888" s="4" t="s">
        <v>52</v>
      </c>
    </row>
    <row r="1889" spans="1:23" s="9" customFormat="1" ht="15.75" hidden="1" customHeight="1" x14ac:dyDescent="0.25">
      <c r="A1889" s="10" t="s">
        <v>5725</v>
      </c>
      <c r="B1889" s="10" t="s">
        <v>5726</v>
      </c>
      <c r="C1889" s="10" t="s">
        <v>5727</v>
      </c>
      <c r="D1889" s="21" t="s">
        <v>6088</v>
      </c>
      <c r="E1889" s="10" t="s">
        <v>26</v>
      </c>
      <c r="F1889" s="10" t="s">
        <v>65</v>
      </c>
      <c r="G1889" s="10" t="s">
        <v>5</v>
      </c>
      <c r="H1889" s="10" t="s">
        <v>72</v>
      </c>
      <c r="I1889" s="11">
        <v>45054</v>
      </c>
      <c r="J1889" s="10" t="s">
        <v>30</v>
      </c>
      <c r="K1889" s="11">
        <v>45332</v>
      </c>
      <c r="L1889" s="10" t="s">
        <v>59</v>
      </c>
      <c r="M1889" s="12">
        <v>30480</v>
      </c>
      <c r="N1889" s="12">
        <v>645</v>
      </c>
      <c r="O1889" s="10">
        <v>16</v>
      </c>
      <c r="P1889" s="11">
        <v>45348</v>
      </c>
      <c r="Q1889" s="10" t="s">
        <v>33</v>
      </c>
      <c r="R1889" s="10" t="s">
        <v>33</v>
      </c>
      <c r="S1889" s="10" t="s">
        <v>60</v>
      </c>
      <c r="T1889" s="13">
        <v>47.255800000000001</v>
      </c>
      <c r="U1889" s="14">
        <v>278</v>
      </c>
      <c r="V1889" s="14">
        <v>2024</v>
      </c>
      <c r="W1889" s="10" t="s">
        <v>35</v>
      </c>
    </row>
    <row r="1890" spans="1:23" s="9" customFormat="1" ht="15.75" hidden="1" customHeight="1" x14ac:dyDescent="0.25">
      <c r="A1890" s="4" t="s">
        <v>5728</v>
      </c>
      <c r="B1890" s="4" t="s">
        <v>5729</v>
      </c>
      <c r="C1890" s="4" t="s">
        <v>5730</v>
      </c>
      <c r="D1890" s="21" t="s">
        <v>6086</v>
      </c>
      <c r="E1890" s="4" t="s">
        <v>87</v>
      </c>
      <c r="F1890" s="4" t="s">
        <v>27</v>
      </c>
      <c r="G1890" s="4" t="s">
        <v>57</v>
      </c>
      <c r="H1890" s="4" t="s">
        <v>58</v>
      </c>
      <c r="I1890" s="5">
        <v>45250</v>
      </c>
      <c r="J1890" s="4" t="s">
        <v>40</v>
      </c>
      <c r="K1890" s="5">
        <v>45295</v>
      </c>
      <c r="L1890" s="4" t="s">
        <v>66</v>
      </c>
      <c r="M1890" s="6">
        <v>97793</v>
      </c>
      <c r="N1890" s="6">
        <v>6216</v>
      </c>
      <c r="O1890" s="4" t="s">
        <v>32</v>
      </c>
      <c r="P1890" s="4" t="s">
        <v>32</v>
      </c>
      <c r="Q1890" s="4" t="s">
        <v>33</v>
      </c>
      <c r="R1890" s="4" t="s">
        <v>33</v>
      </c>
      <c r="S1890" s="4" t="s">
        <v>41</v>
      </c>
      <c r="T1890" s="7">
        <v>15.7325</v>
      </c>
      <c r="U1890" s="8">
        <v>45</v>
      </c>
      <c r="V1890" s="8">
        <v>2024</v>
      </c>
      <c r="W1890" s="4" t="s">
        <v>73</v>
      </c>
    </row>
    <row r="1891" spans="1:23" s="9" customFormat="1" ht="15.75" hidden="1" customHeight="1" x14ac:dyDescent="0.25">
      <c r="A1891" s="10" t="s">
        <v>5731</v>
      </c>
      <c r="B1891" s="10" t="s">
        <v>5732</v>
      </c>
      <c r="C1891" s="10" t="s">
        <v>5733</v>
      </c>
      <c r="D1891" s="21" t="s">
        <v>6088</v>
      </c>
      <c r="E1891" s="10" t="s">
        <v>51</v>
      </c>
      <c r="F1891" s="10" t="s">
        <v>56</v>
      </c>
      <c r="G1891" s="10" t="s">
        <v>57</v>
      </c>
      <c r="H1891" s="10" t="s">
        <v>58</v>
      </c>
      <c r="I1891" s="11">
        <v>45186</v>
      </c>
      <c r="J1891" s="10" t="s">
        <v>30</v>
      </c>
      <c r="K1891" s="11">
        <v>45482</v>
      </c>
      <c r="L1891" s="10" t="s">
        <v>31</v>
      </c>
      <c r="M1891" s="12">
        <v>31895</v>
      </c>
      <c r="N1891" s="12">
        <v>4270</v>
      </c>
      <c r="O1891" s="10" t="s">
        <v>32</v>
      </c>
      <c r="P1891" s="10" t="s">
        <v>32</v>
      </c>
      <c r="Q1891" s="10" t="s">
        <v>33</v>
      </c>
      <c r="R1891" s="10" t="s">
        <v>33</v>
      </c>
      <c r="S1891" s="10" t="s">
        <v>41</v>
      </c>
      <c r="T1891" s="13">
        <v>7.4695999999999998</v>
      </c>
      <c r="U1891" s="14">
        <v>296</v>
      </c>
      <c r="V1891" s="14">
        <v>2024</v>
      </c>
      <c r="W1891" s="10" t="s">
        <v>42</v>
      </c>
    </row>
    <row r="1892" spans="1:23" s="9" customFormat="1" ht="15.75" hidden="1" customHeight="1" x14ac:dyDescent="0.25">
      <c r="A1892" s="4" t="s">
        <v>5734</v>
      </c>
      <c r="B1892" s="4" t="s">
        <v>5735</v>
      </c>
      <c r="C1892" s="4" t="s">
        <v>5736</v>
      </c>
      <c r="D1892" s="22" t="s">
        <v>6090</v>
      </c>
      <c r="E1892" s="4" t="s">
        <v>26</v>
      </c>
      <c r="F1892" s="4" t="s">
        <v>71</v>
      </c>
      <c r="G1892" s="4" t="s">
        <v>57</v>
      </c>
      <c r="H1892" s="4" t="s">
        <v>72</v>
      </c>
      <c r="I1892" s="5">
        <v>45196</v>
      </c>
      <c r="J1892" s="4" t="s">
        <v>40</v>
      </c>
      <c r="K1892" s="5">
        <v>45321</v>
      </c>
      <c r="L1892" s="4" t="s">
        <v>66</v>
      </c>
      <c r="M1892" s="6">
        <v>18514</v>
      </c>
      <c r="N1892" s="6">
        <v>6854</v>
      </c>
      <c r="O1892" s="4" t="s">
        <v>32</v>
      </c>
      <c r="P1892" s="4" t="s">
        <v>32</v>
      </c>
      <c r="Q1892" s="4" t="s">
        <v>33</v>
      </c>
      <c r="R1892" s="4" t="s">
        <v>33</v>
      </c>
      <c r="S1892" s="4" t="s">
        <v>60</v>
      </c>
      <c r="T1892" s="7">
        <v>2.7012</v>
      </c>
      <c r="U1892" s="8">
        <v>125</v>
      </c>
      <c r="V1892" s="8">
        <v>2024</v>
      </c>
      <c r="W1892" s="4" t="s">
        <v>73</v>
      </c>
    </row>
    <row r="1893" spans="1:23" s="9" customFormat="1" ht="15.75" hidden="1" customHeight="1" x14ac:dyDescent="0.25">
      <c r="A1893" s="10" t="s">
        <v>5737</v>
      </c>
      <c r="B1893" s="10" t="s">
        <v>5738</v>
      </c>
      <c r="C1893" s="10" t="s">
        <v>5739</v>
      </c>
      <c r="D1893" s="21" t="s">
        <v>6091</v>
      </c>
      <c r="E1893" s="10" t="s">
        <v>51</v>
      </c>
      <c r="F1893" s="10" t="s">
        <v>65</v>
      </c>
      <c r="G1893" s="10" t="s">
        <v>5</v>
      </c>
      <c r="H1893" s="10" t="s">
        <v>72</v>
      </c>
      <c r="I1893" s="11">
        <v>45342</v>
      </c>
      <c r="J1893" s="10" t="s">
        <v>40</v>
      </c>
      <c r="K1893" s="11">
        <v>45639</v>
      </c>
      <c r="L1893" s="10" t="s">
        <v>31</v>
      </c>
      <c r="M1893" s="12">
        <v>10271</v>
      </c>
      <c r="N1893" s="12">
        <v>6930</v>
      </c>
      <c r="O1893" s="10" t="s">
        <v>32</v>
      </c>
      <c r="P1893" s="10" t="s">
        <v>32</v>
      </c>
      <c r="Q1893" s="10" t="s">
        <v>33</v>
      </c>
      <c r="R1893" s="10" t="s">
        <v>33</v>
      </c>
      <c r="S1893" s="10" t="s">
        <v>34</v>
      </c>
      <c r="T1893" s="13">
        <v>1.4821</v>
      </c>
      <c r="U1893" s="14">
        <v>297</v>
      </c>
      <c r="V1893" s="14">
        <v>2024</v>
      </c>
      <c r="W1893" s="10" t="s">
        <v>89</v>
      </c>
    </row>
    <row r="1894" spans="1:23" s="9" customFormat="1" ht="15.75" hidden="1" customHeight="1" x14ac:dyDescent="0.25">
      <c r="A1894" s="4" t="s">
        <v>5740</v>
      </c>
      <c r="B1894" s="4" t="s">
        <v>5741</v>
      </c>
      <c r="C1894" s="4" t="s">
        <v>5742</v>
      </c>
      <c r="D1894" s="21" t="s">
        <v>6091</v>
      </c>
      <c r="E1894" s="4" t="s">
        <v>51</v>
      </c>
      <c r="F1894" s="21" t="s">
        <v>6092</v>
      </c>
      <c r="G1894" s="4" t="s">
        <v>57</v>
      </c>
      <c r="H1894" s="4" t="s">
        <v>118</v>
      </c>
      <c r="I1894" s="5">
        <v>45360</v>
      </c>
      <c r="J1894" s="4" t="s">
        <v>40</v>
      </c>
      <c r="K1894" s="5">
        <v>45396</v>
      </c>
      <c r="L1894" s="4" t="s">
        <v>31</v>
      </c>
      <c r="M1894" s="6">
        <v>16869</v>
      </c>
      <c r="N1894" s="6">
        <v>6272</v>
      </c>
      <c r="O1894" s="4" t="s">
        <v>32</v>
      </c>
      <c r="P1894" s="4" t="s">
        <v>32</v>
      </c>
      <c r="Q1894" s="4" t="s">
        <v>33</v>
      </c>
      <c r="R1894" s="4" t="s">
        <v>33</v>
      </c>
      <c r="S1894" s="4" t="s">
        <v>41</v>
      </c>
      <c r="T1894" s="7">
        <v>2.6896</v>
      </c>
      <c r="U1894" s="8">
        <v>36</v>
      </c>
      <c r="V1894" s="8">
        <v>2024</v>
      </c>
      <c r="W1894" s="4" t="s">
        <v>47</v>
      </c>
    </row>
    <row r="1895" spans="1:23" s="9" customFormat="1" ht="15.75" hidden="1" customHeight="1" x14ac:dyDescent="0.25">
      <c r="A1895" s="10" t="s">
        <v>5743</v>
      </c>
      <c r="B1895" s="10" t="s">
        <v>5744</v>
      </c>
      <c r="C1895" s="10" t="s">
        <v>5745</v>
      </c>
      <c r="D1895" s="21" t="s">
        <v>6089</v>
      </c>
      <c r="E1895" s="10" t="s">
        <v>51</v>
      </c>
      <c r="F1895" s="10" t="s">
        <v>46</v>
      </c>
      <c r="G1895" s="10" t="s">
        <v>28</v>
      </c>
      <c r="H1895" s="10" t="s">
        <v>118</v>
      </c>
      <c r="I1895" s="11">
        <v>45367</v>
      </c>
      <c r="J1895" s="10" t="s">
        <v>40</v>
      </c>
      <c r="K1895" s="11">
        <v>45462</v>
      </c>
      <c r="L1895" s="10" t="s">
        <v>59</v>
      </c>
      <c r="M1895" s="12">
        <v>37867</v>
      </c>
      <c r="N1895" s="12">
        <v>6465</v>
      </c>
      <c r="O1895" s="10">
        <v>38</v>
      </c>
      <c r="P1895" s="11">
        <v>45500</v>
      </c>
      <c r="Q1895" s="10" t="s">
        <v>33</v>
      </c>
      <c r="R1895" s="10" t="s">
        <v>33</v>
      </c>
      <c r="S1895" s="10" t="s">
        <v>60</v>
      </c>
      <c r="T1895" s="13">
        <v>5.8571999999999997</v>
      </c>
      <c r="U1895" s="14">
        <v>95</v>
      </c>
      <c r="V1895" s="14">
        <v>2024</v>
      </c>
      <c r="W1895" s="10" t="s">
        <v>67</v>
      </c>
    </row>
    <row r="1896" spans="1:23" s="9" customFormat="1" ht="15.75" hidden="1" customHeight="1" x14ac:dyDescent="0.25">
      <c r="A1896" s="4" t="s">
        <v>5746</v>
      </c>
      <c r="B1896" s="4" t="s">
        <v>5747</v>
      </c>
      <c r="C1896" s="4" t="s">
        <v>5748</v>
      </c>
      <c r="D1896" s="22" t="s">
        <v>6090</v>
      </c>
      <c r="E1896" s="4" t="s">
        <v>26</v>
      </c>
      <c r="F1896" s="4" t="s">
        <v>46</v>
      </c>
      <c r="G1896" s="4" t="s">
        <v>28</v>
      </c>
      <c r="H1896" s="4" t="s">
        <v>29</v>
      </c>
      <c r="I1896" s="5">
        <v>45591</v>
      </c>
      <c r="J1896" s="4" t="s">
        <v>30</v>
      </c>
      <c r="K1896" s="5">
        <v>45638</v>
      </c>
      <c r="L1896" s="4" t="s">
        <v>66</v>
      </c>
      <c r="M1896" s="6">
        <v>32369</v>
      </c>
      <c r="N1896" s="6">
        <v>5786</v>
      </c>
      <c r="O1896" s="4" t="s">
        <v>32</v>
      </c>
      <c r="P1896" s="4" t="s">
        <v>32</v>
      </c>
      <c r="Q1896" s="4" t="s">
        <v>33</v>
      </c>
      <c r="R1896" s="4" t="s">
        <v>33</v>
      </c>
      <c r="S1896" s="4" t="s">
        <v>34</v>
      </c>
      <c r="T1896" s="7">
        <v>5.5944000000000003</v>
      </c>
      <c r="U1896" s="8">
        <v>47</v>
      </c>
      <c r="V1896" s="8">
        <v>2024</v>
      </c>
      <c r="W1896" s="4" t="s">
        <v>89</v>
      </c>
    </row>
    <row r="1897" spans="1:23" s="9" customFormat="1" ht="15.75" hidden="1" customHeight="1" x14ac:dyDescent="0.25">
      <c r="A1897" s="10" t="s">
        <v>5749</v>
      </c>
      <c r="B1897" s="10" t="s">
        <v>5750</v>
      </c>
      <c r="C1897" s="10" t="s">
        <v>5751</v>
      </c>
      <c r="D1897" s="22" t="s">
        <v>6087</v>
      </c>
      <c r="E1897" s="10" t="s">
        <v>51</v>
      </c>
      <c r="F1897" s="10" t="s">
        <v>46</v>
      </c>
      <c r="G1897" s="10" t="s">
        <v>28</v>
      </c>
      <c r="H1897" s="10" t="s">
        <v>88</v>
      </c>
      <c r="I1897" s="11">
        <v>45323</v>
      </c>
      <c r="J1897" s="10" t="s">
        <v>30</v>
      </c>
      <c r="K1897" s="11">
        <v>45564</v>
      </c>
      <c r="L1897" s="10" t="s">
        <v>59</v>
      </c>
      <c r="M1897" s="12">
        <v>29527</v>
      </c>
      <c r="N1897" s="12">
        <v>2229</v>
      </c>
      <c r="O1897" s="10">
        <v>37</v>
      </c>
      <c r="P1897" s="11">
        <v>45601</v>
      </c>
      <c r="Q1897" s="10" t="s">
        <v>33</v>
      </c>
      <c r="R1897" s="10" t="s">
        <v>33</v>
      </c>
      <c r="S1897" s="10" t="s">
        <v>60</v>
      </c>
      <c r="T1897" s="13">
        <v>13.246700000000001</v>
      </c>
      <c r="U1897" s="14">
        <v>241</v>
      </c>
      <c r="V1897" s="14">
        <v>2024</v>
      </c>
      <c r="W1897" s="10" t="s">
        <v>168</v>
      </c>
    </row>
    <row r="1898" spans="1:23" s="9" customFormat="1" ht="15.75" hidden="1" customHeight="1" x14ac:dyDescent="0.25">
      <c r="A1898" s="4" t="s">
        <v>5752</v>
      </c>
      <c r="B1898" s="4" t="s">
        <v>5753</v>
      </c>
      <c r="C1898" s="4" t="s">
        <v>5754</v>
      </c>
      <c r="D1898" s="22" t="s">
        <v>6090</v>
      </c>
      <c r="E1898" s="4" t="s">
        <v>87</v>
      </c>
      <c r="F1898" s="4" t="s">
        <v>71</v>
      </c>
      <c r="G1898" s="4" t="s">
        <v>5</v>
      </c>
      <c r="H1898" s="4" t="s">
        <v>39</v>
      </c>
      <c r="I1898" s="5">
        <v>45424</v>
      </c>
      <c r="J1898" s="4" t="s">
        <v>30</v>
      </c>
      <c r="K1898" s="5">
        <v>45527</v>
      </c>
      <c r="L1898" s="4" t="s">
        <v>31</v>
      </c>
      <c r="M1898" s="6">
        <v>28799</v>
      </c>
      <c r="N1898" s="6">
        <v>2480</v>
      </c>
      <c r="O1898" s="4" t="s">
        <v>32</v>
      </c>
      <c r="P1898" s="4" t="s">
        <v>32</v>
      </c>
      <c r="Q1898" s="4" t="s">
        <v>94</v>
      </c>
      <c r="R1898" s="4" t="s">
        <v>33</v>
      </c>
      <c r="S1898" s="4" t="s">
        <v>41</v>
      </c>
      <c r="T1898" s="7">
        <v>11.612500000000001</v>
      </c>
      <c r="U1898" s="8">
        <v>103</v>
      </c>
      <c r="V1898" s="8">
        <v>2024</v>
      </c>
      <c r="W1898" s="4" t="s">
        <v>114</v>
      </c>
    </row>
    <row r="1899" spans="1:23" s="9" customFormat="1" ht="15.75" hidden="1" customHeight="1" x14ac:dyDescent="0.25">
      <c r="A1899" s="10" t="s">
        <v>5755</v>
      </c>
      <c r="B1899" s="10" t="s">
        <v>5756</v>
      </c>
      <c r="C1899" s="10" t="s">
        <v>5757</v>
      </c>
      <c r="D1899" s="21" t="s">
        <v>6088</v>
      </c>
      <c r="E1899" s="10" t="s">
        <v>87</v>
      </c>
      <c r="F1899" s="10" t="s">
        <v>27</v>
      </c>
      <c r="G1899" s="10" t="s">
        <v>57</v>
      </c>
      <c r="H1899" s="10" t="s">
        <v>39</v>
      </c>
      <c r="I1899" s="11">
        <v>45508</v>
      </c>
      <c r="J1899" s="10" t="s">
        <v>40</v>
      </c>
      <c r="K1899" s="11">
        <v>45599</v>
      </c>
      <c r="L1899" s="10" t="s">
        <v>31</v>
      </c>
      <c r="M1899" s="12">
        <v>55349</v>
      </c>
      <c r="N1899" s="12">
        <v>8421</v>
      </c>
      <c r="O1899" s="10" t="s">
        <v>32</v>
      </c>
      <c r="P1899" s="10" t="s">
        <v>32</v>
      </c>
      <c r="Q1899" s="10" t="s">
        <v>94</v>
      </c>
      <c r="R1899" s="10" t="s">
        <v>33</v>
      </c>
      <c r="S1899" s="10" t="s">
        <v>34</v>
      </c>
      <c r="T1899" s="13">
        <v>6.5727000000000002</v>
      </c>
      <c r="U1899" s="14">
        <v>91</v>
      </c>
      <c r="V1899" s="14">
        <v>2024</v>
      </c>
      <c r="W1899" s="10" t="s">
        <v>61</v>
      </c>
    </row>
    <row r="1900" spans="1:23" s="9" customFormat="1" ht="15.75" hidden="1" customHeight="1" x14ac:dyDescent="0.25">
      <c r="A1900" s="4" t="s">
        <v>5758</v>
      </c>
      <c r="B1900" s="4" t="s">
        <v>5759</v>
      </c>
      <c r="C1900" s="4" t="s">
        <v>5760</v>
      </c>
      <c r="D1900" s="22" t="s">
        <v>6090</v>
      </c>
      <c r="E1900" s="4" t="s">
        <v>26</v>
      </c>
      <c r="F1900" s="4" t="s">
        <v>71</v>
      </c>
      <c r="G1900" s="4" t="s">
        <v>5</v>
      </c>
      <c r="H1900" s="4" t="s">
        <v>88</v>
      </c>
      <c r="I1900" s="5">
        <v>45267</v>
      </c>
      <c r="J1900" s="4" t="s">
        <v>40</v>
      </c>
      <c r="K1900" s="5">
        <v>45405</v>
      </c>
      <c r="L1900" s="4" t="s">
        <v>31</v>
      </c>
      <c r="M1900" s="6">
        <v>23662</v>
      </c>
      <c r="N1900" s="6">
        <v>8633</v>
      </c>
      <c r="O1900" s="4" t="s">
        <v>32</v>
      </c>
      <c r="P1900" s="4" t="s">
        <v>32</v>
      </c>
      <c r="Q1900" s="4" t="s">
        <v>33</v>
      </c>
      <c r="R1900" s="4" t="s">
        <v>33</v>
      </c>
      <c r="S1900" s="4" t="s">
        <v>34</v>
      </c>
      <c r="T1900" s="7">
        <v>2.7408999999999999</v>
      </c>
      <c r="U1900" s="8">
        <v>138</v>
      </c>
      <c r="V1900" s="8">
        <v>2024</v>
      </c>
      <c r="W1900" s="4" t="s">
        <v>47</v>
      </c>
    </row>
    <row r="1901" spans="1:23" s="9" customFormat="1" ht="15.75" hidden="1" customHeight="1" x14ac:dyDescent="0.25">
      <c r="A1901" s="10" t="s">
        <v>5761</v>
      </c>
      <c r="B1901" s="10" t="s">
        <v>5762</v>
      </c>
      <c r="C1901" s="10" t="s">
        <v>5763</v>
      </c>
      <c r="D1901" s="21" t="s">
        <v>6088</v>
      </c>
      <c r="E1901" s="10" t="s">
        <v>26</v>
      </c>
      <c r="F1901" s="10" t="s">
        <v>65</v>
      </c>
      <c r="G1901" s="10" t="s">
        <v>28</v>
      </c>
      <c r="H1901" s="10" t="s">
        <v>88</v>
      </c>
      <c r="I1901" s="11">
        <v>45152</v>
      </c>
      <c r="J1901" s="10" t="s">
        <v>30</v>
      </c>
      <c r="K1901" s="11">
        <v>45517</v>
      </c>
      <c r="L1901" s="10" t="s">
        <v>31</v>
      </c>
      <c r="M1901" s="12">
        <v>52806</v>
      </c>
      <c r="N1901" s="12">
        <v>2644</v>
      </c>
      <c r="O1901" s="10" t="s">
        <v>32</v>
      </c>
      <c r="P1901" s="10" t="s">
        <v>32</v>
      </c>
      <c r="Q1901" s="10" t="s">
        <v>94</v>
      </c>
      <c r="R1901" s="10" t="s">
        <v>94</v>
      </c>
      <c r="S1901" s="10" t="s">
        <v>34</v>
      </c>
      <c r="T1901" s="13">
        <v>19.972000000000001</v>
      </c>
      <c r="U1901" s="14">
        <v>365</v>
      </c>
      <c r="V1901" s="14">
        <v>2024</v>
      </c>
      <c r="W1901" s="10" t="s">
        <v>114</v>
      </c>
    </row>
    <row r="1902" spans="1:23" s="9" customFormat="1" ht="15.75" hidden="1" customHeight="1" x14ac:dyDescent="0.25">
      <c r="A1902" s="4" t="s">
        <v>5764</v>
      </c>
      <c r="B1902" s="4" t="s">
        <v>5765</v>
      </c>
      <c r="C1902" s="4" t="s">
        <v>5766</v>
      </c>
      <c r="D1902" s="21" t="s">
        <v>6089</v>
      </c>
      <c r="E1902" s="4" t="s">
        <v>87</v>
      </c>
      <c r="F1902" s="4" t="s">
        <v>46</v>
      </c>
      <c r="G1902" s="4" t="s">
        <v>57</v>
      </c>
      <c r="H1902" s="4" t="s">
        <v>88</v>
      </c>
      <c r="I1902" s="5">
        <v>45357</v>
      </c>
      <c r="J1902" s="4" t="s">
        <v>40</v>
      </c>
      <c r="K1902" s="5">
        <v>45576</v>
      </c>
      <c r="L1902" s="4" t="s">
        <v>59</v>
      </c>
      <c r="M1902" s="6">
        <v>30016</v>
      </c>
      <c r="N1902" s="6">
        <v>6956</v>
      </c>
      <c r="O1902" s="4">
        <v>15</v>
      </c>
      <c r="P1902" s="5">
        <v>45591</v>
      </c>
      <c r="Q1902" s="4" t="s">
        <v>33</v>
      </c>
      <c r="R1902" s="4" t="s">
        <v>33</v>
      </c>
      <c r="S1902" s="4" t="s">
        <v>34</v>
      </c>
      <c r="T1902" s="7">
        <v>4.3151000000000002</v>
      </c>
      <c r="U1902" s="8">
        <v>219</v>
      </c>
      <c r="V1902" s="8">
        <v>2024</v>
      </c>
      <c r="W1902" s="4" t="s">
        <v>95</v>
      </c>
    </row>
    <row r="1903" spans="1:23" s="9" customFormat="1" ht="15.75" hidden="1" customHeight="1" x14ac:dyDescent="0.25">
      <c r="A1903" s="10" t="s">
        <v>5767</v>
      </c>
      <c r="B1903" s="10" t="s">
        <v>5768</v>
      </c>
      <c r="C1903" s="10" t="s">
        <v>5769</v>
      </c>
      <c r="D1903" s="21" t="s">
        <v>6088</v>
      </c>
      <c r="E1903" s="10" t="s">
        <v>87</v>
      </c>
      <c r="F1903" s="21" t="s">
        <v>6092</v>
      </c>
      <c r="G1903" s="10" t="s">
        <v>28</v>
      </c>
      <c r="H1903" s="10" t="s">
        <v>58</v>
      </c>
      <c r="I1903" s="11">
        <v>45170</v>
      </c>
      <c r="J1903" s="10" t="s">
        <v>40</v>
      </c>
      <c r="K1903" s="11">
        <v>45374</v>
      </c>
      <c r="L1903" s="10" t="s">
        <v>59</v>
      </c>
      <c r="M1903" s="12">
        <v>68708</v>
      </c>
      <c r="N1903" s="12">
        <v>3365</v>
      </c>
      <c r="O1903" s="10">
        <v>5</v>
      </c>
      <c r="P1903" s="11">
        <v>45379</v>
      </c>
      <c r="Q1903" s="10" t="s">
        <v>33</v>
      </c>
      <c r="R1903" s="10" t="s">
        <v>33</v>
      </c>
      <c r="S1903" s="10" t="s">
        <v>41</v>
      </c>
      <c r="T1903" s="13">
        <v>20.418399999999998</v>
      </c>
      <c r="U1903" s="14">
        <v>204</v>
      </c>
      <c r="V1903" s="14">
        <v>2024</v>
      </c>
      <c r="W1903" s="10" t="s">
        <v>77</v>
      </c>
    </row>
    <row r="1904" spans="1:23" s="9" customFormat="1" ht="15.75" hidden="1" customHeight="1" x14ac:dyDescent="0.25">
      <c r="A1904" s="4" t="s">
        <v>5770</v>
      </c>
      <c r="B1904" s="4" t="s">
        <v>5771</v>
      </c>
      <c r="C1904" s="4" t="s">
        <v>5772</v>
      </c>
      <c r="D1904" s="21" t="s">
        <v>6091</v>
      </c>
      <c r="E1904" s="4" t="s">
        <v>26</v>
      </c>
      <c r="F1904" s="4" t="s">
        <v>46</v>
      </c>
      <c r="G1904" s="4" t="s">
        <v>28</v>
      </c>
      <c r="H1904" s="4" t="s">
        <v>161</v>
      </c>
      <c r="I1904" s="5">
        <v>45380</v>
      </c>
      <c r="J1904" s="4" t="s">
        <v>40</v>
      </c>
      <c r="K1904" s="5">
        <v>45634</v>
      </c>
      <c r="L1904" s="4" t="s">
        <v>31</v>
      </c>
      <c r="M1904" s="6">
        <v>9222</v>
      </c>
      <c r="N1904" s="6">
        <v>1803</v>
      </c>
      <c r="O1904" s="4" t="s">
        <v>32</v>
      </c>
      <c r="P1904" s="4" t="s">
        <v>32</v>
      </c>
      <c r="Q1904" s="4" t="s">
        <v>33</v>
      </c>
      <c r="R1904" s="4" t="s">
        <v>33</v>
      </c>
      <c r="S1904" s="4" t="s">
        <v>41</v>
      </c>
      <c r="T1904" s="7">
        <v>5.1147999999999998</v>
      </c>
      <c r="U1904" s="8">
        <v>254</v>
      </c>
      <c r="V1904" s="8">
        <v>2024</v>
      </c>
      <c r="W1904" s="4" t="s">
        <v>89</v>
      </c>
    </row>
    <row r="1905" spans="1:23" s="9" customFormat="1" ht="15.75" hidden="1" customHeight="1" x14ac:dyDescent="0.25">
      <c r="A1905" s="10" t="s">
        <v>5773</v>
      </c>
      <c r="B1905" s="10" t="s">
        <v>5774</v>
      </c>
      <c r="C1905" s="10" t="s">
        <v>5775</v>
      </c>
      <c r="D1905" s="22" t="s">
        <v>6090</v>
      </c>
      <c r="E1905" s="10" t="s">
        <v>87</v>
      </c>
      <c r="F1905" s="21" t="s">
        <v>6092</v>
      </c>
      <c r="G1905" s="10" t="s">
        <v>57</v>
      </c>
      <c r="H1905" s="10" t="s">
        <v>39</v>
      </c>
      <c r="I1905" s="11">
        <v>45395</v>
      </c>
      <c r="J1905" s="10" t="s">
        <v>30</v>
      </c>
      <c r="K1905" s="11">
        <v>45636</v>
      </c>
      <c r="L1905" s="10" t="s">
        <v>66</v>
      </c>
      <c r="M1905" s="12">
        <v>5990</v>
      </c>
      <c r="N1905" s="12">
        <v>3988</v>
      </c>
      <c r="O1905" s="10" t="s">
        <v>32</v>
      </c>
      <c r="P1905" s="10" t="s">
        <v>32</v>
      </c>
      <c r="Q1905" s="10" t="s">
        <v>33</v>
      </c>
      <c r="R1905" s="10" t="s">
        <v>33</v>
      </c>
      <c r="S1905" s="10" t="s">
        <v>34</v>
      </c>
      <c r="T1905" s="13">
        <v>1.502</v>
      </c>
      <c r="U1905" s="14">
        <v>241</v>
      </c>
      <c r="V1905" s="14">
        <v>2024</v>
      </c>
      <c r="W1905" s="10" t="s">
        <v>89</v>
      </c>
    </row>
    <row r="1906" spans="1:23" s="9" customFormat="1" ht="15.75" hidden="1" customHeight="1" x14ac:dyDescent="0.25">
      <c r="A1906" s="4" t="s">
        <v>5776</v>
      </c>
      <c r="B1906" s="4" t="s">
        <v>5777</v>
      </c>
      <c r="C1906" s="4" t="s">
        <v>5778</v>
      </c>
      <c r="D1906" s="21" t="s">
        <v>6086</v>
      </c>
      <c r="E1906" s="4" t="s">
        <v>26</v>
      </c>
      <c r="F1906" s="21" t="s">
        <v>6092</v>
      </c>
      <c r="G1906" s="4" t="s">
        <v>57</v>
      </c>
      <c r="H1906" s="4" t="s">
        <v>88</v>
      </c>
      <c r="I1906" s="5">
        <v>45350</v>
      </c>
      <c r="J1906" s="4" t="s">
        <v>40</v>
      </c>
      <c r="K1906" s="5">
        <v>45455</v>
      </c>
      <c r="L1906" s="4" t="s">
        <v>59</v>
      </c>
      <c r="M1906" s="6">
        <v>20482</v>
      </c>
      <c r="N1906" s="6">
        <v>8355</v>
      </c>
      <c r="O1906" s="4">
        <v>13</v>
      </c>
      <c r="P1906" s="5">
        <v>45468</v>
      </c>
      <c r="Q1906" s="4" t="s">
        <v>33</v>
      </c>
      <c r="R1906" s="4" t="s">
        <v>33</v>
      </c>
      <c r="S1906" s="4" t="s">
        <v>60</v>
      </c>
      <c r="T1906" s="7">
        <v>2.4514999999999998</v>
      </c>
      <c r="U1906" s="8">
        <v>105</v>
      </c>
      <c r="V1906" s="8">
        <v>2024</v>
      </c>
      <c r="W1906" s="4" t="s">
        <v>67</v>
      </c>
    </row>
    <row r="1907" spans="1:23" s="9" customFormat="1" ht="15.75" hidden="1" customHeight="1" x14ac:dyDescent="0.25">
      <c r="A1907" s="10" t="s">
        <v>5779</v>
      </c>
      <c r="B1907" s="10" t="s">
        <v>5780</v>
      </c>
      <c r="C1907" s="10" t="s">
        <v>5781</v>
      </c>
      <c r="D1907" s="22" t="s">
        <v>6087</v>
      </c>
      <c r="E1907" s="10" t="s">
        <v>51</v>
      </c>
      <c r="F1907" s="21" t="s">
        <v>6092</v>
      </c>
      <c r="G1907" s="10" t="s">
        <v>57</v>
      </c>
      <c r="H1907" s="10" t="s">
        <v>161</v>
      </c>
      <c r="I1907" s="11">
        <v>45247</v>
      </c>
      <c r="J1907" s="10" t="s">
        <v>40</v>
      </c>
      <c r="K1907" s="11">
        <v>45602</v>
      </c>
      <c r="L1907" s="10" t="s">
        <v>31</v>
      </c>
      <c r="M1907" s="12">
        <v>15655</v>
      </c>
      <c r="N1907" s="12">
        <v>3007</v>
      </c>
      <c r="O1907" s="10" t="s">
        <v>32</v>
      </c>
      <c r="P1907" s="10" t="s">
        <v>32</v>
      </c>
      <c r="Q1907" s="10" t="s">
        <v>33</v>
      </c>
      <c r="R1907" s="10" t="s">
        <v>33</v>
      </c>
      <c r="S1907" s="10" t="s">
        <v>34</v>
      </c>
      <c r="T1907" s="13">
        <v>5.2061999999999999</v>
      </c>
      <c r="U1907" s="14">
        <v>355</v>
      </c>
      <c r="V1907" s="14">
        <v>2024</v>
      </c>
      <c r="W1907" s="10" t="s">
        <v>61</v>
      </c>
    </row>
    <row r="1908" spans="1:23" s="9" customFormat="1" ht="15.75" hidden="1" customHeight="1" x14ac:dyDescent="0.25">
      <c r="A1908" s="4" t="s">
        <v>5782</v>
      </c>
      <c r="B1908" s="4" t="s">
        <v>5783</v>
      </c>
      <c r="C1908" s="4" t="s">
        <v>5784</v>
      </c>
      <c r="D1908" s="21" t="s">
        <v>6088</v>
      </c>
      <c r="E1908" s="4" t="s">
        <v>51</v>
      </c>
      <c r="F1908" s="21" t="s">
        <v>6092</v>
      </c>
      <c r="G1908" s="4" t="s">
        <v>28</v>
      </c>
      <c r="H1908" s="4" t="s">
        <v>39</v>
      </c>
      <c r="I1908" s="5">
        <v>45389</v>
      </c>
      <c r="J1908" s="4" t="s">
        <v>40</v>
      </c>
      <c r="K1908" s="5">
        <v>45459</v>
      </c>
      <c r="L1908" s="4" t="s">
        <v>59</v>
      </c>
      <c r="M1908" s="6">
        <v>76949</v>
      </c>
      <c r="N1908" s="6">
        <v>7566</v>
      </c>
      <c r="O1908" s="4">
        <v>32</v>
      </c>
      <c r="P1908" s="5">
        <v>45491</v>
      </c>
      <c r="Q1908" s="4" t="s">
        <v>33</v>
      </c>
      <c r="R1908" s="4" t="s">
        <v>33</v>
      </c>
      <c r="S1908" s="4" t="s">
        <v>34</v>
      </c>
      <c r="T1908" s="7">
        <v>10.170400000000001</v>
      </c>
      <c r="U1908" s="8">
        <v>70</v>
      </c>
      <c r="V1908" s="8">
        <v>2024</v>
      </c>
      <c r="W1908" s="4" t="s">
        <v>67</v>
      </c>
    </row>
    <row r="1909" spans="1:23" s="9" customFormat="1" ht="15.75" hidden="1" customHeight="1" x14ac:dyDescent="0.25">
      <c r="A1909" s="10" t="s">
        <v>5785</v>
      </c>
      <c r="B1909" s="10" t="s">
        <v>5786</v>
      </c>
      <c r="C1909" s="10" t="s">
        <v>5787</v>
      </c>
      <c r="D1909" s="22" t="s">
        <v>6090</v>
      </c>
      <c r="E1909" s="10" t="s">
        <v>51</v>
      </c>
      <c r="F1909" s="10" t="s">
        <v>46</v>
      </c>
      <c r="G1909" s="10" t="s">
        <v>5</v>
      </c>
      <c r="H1909" s="10" t="s">
        <v>29</v>
      </c>
      <c r="I1909" s="11">
        <v>45280</v>
      </c>
      <c r="J1909" s="10" t="s">
        <v>30</v>
      </c>
      <c r="K1909" s="11">
        <v>45368</v>
      </c>
      <c r="L1909" s="10" t="s">
        <v>66</v>
      </c>
      <c r="M1909" s="12">
        <v>57845</v>
      </c>
      <c r="N1909" s="12">
        <v>7371</v>
      </c>
      <c r="O1909" s="10" t="s">
        <v>32</v>
      </c>
      <c r="P1909" s="10" t="s">
        <v>32</v>
      </c>
      <c r="Q1909" s="10" t="s">
        <v>33</v>
      </c>
      <c r="R1909" s="10" t="s">
        <v>33</v>
      </c>
      <c r="S1909" s="10" t="s">
        <v>41</v>
      </c>
      <c r="T1909" s="13">
        <v>7.8475999999999999</v>
      </c>
      <c r="U1909" s="14">
        <v>88</v>
      </c>
      <c r="V1909" s="14">
        <v>2024</v>
      </c>
      <c r="W1909" s="10" t="s">
        <v>77</v>
      </c>
    </row>
    <row r="1910" spans="1:23" s="9" customFormat="1" ht="15.75" hidden="1" customHeight="1" x14ac:dyDescent="0.25">
      <c r="A1910" s="4" t="s">
        <v>5788</v>
      </c>
      <c r="B1910" s="4" t="s">
        <v>5789</v>
      </c>
      <c r="C1910" s="4" t="s">
        <v>5790</v>
      </c>
      <c r="D1910" s="21" t="s">
        <v>6086</v>
      </c>
      <c r="E1910" s="4" t="s">
        <v>87</v>
      </c>
      <c r="F1910" s="4" t="s">
        <v>56</v>
      </c>
      <c r="G1910" s="4" t="s">
        <v>5</v>
      </c>
      <c r="H1910" s="4" t="s">
        <v>88</v>
      </c>
      <c r="I1910" s="5">
        <v>45530</v>
      </c>
      <c r="J1910" s="4" t="s">
        <v>30</v>
      </c>
      <c r="K1910" s="5">
        <v>45581</v>
      </c>
      <c r="L1910" s="4" t="s">
        <v>59</v>
      </c>
      <c r="M1910" s="6">
        <v>54541</v>
      </c>
      <c r="N1910" s="6">
        <v>2971</v>
      </c>
      <c r="O1910" s="4">
        <v>30</v>
      </c>
      <c r="P1910" s="5">
        <v>45611</v>
      </c>
      <c r="Q1910" s="4" t="s">
        <v>94</v>
      </c>
      <c r="R1910" s="4" t="s">
        <v>94</v>
      </c>
      <c r="S1910" s="4" t="s">
        <v>41</v>
      </c>
      <c r="T1910" s="7">
        <v>18.357800000000001</v>
      </c>
      <c r="U1910" s="8">
        <v>51</v>
      </c>
      <c r="V1910" s="8">
        <v>2024</v>
      </c>
      <c r="W1910" s="4" t="s">
        <v>95</v>
      </c>
    </row>
    <row r="1911" spans="1:23" s="9" customFormat="1" ht="15.75" hidden="1" customHeight="1" x14ac:dyDescent="0.25">
      <c r="A1911" s="10" t="s">
        <v>5791</v>
      </c>
      <c r="B1911" s="10" t="s">
        <v>5792</v>
      </c>
      <c r="C1911" s="10" t="s">
        <v>5793</v>
      </c>
      <c r="D1911" s="22" t="s">
        <v>6090</v>
      </c>
      <c r="E1911" s="10" t="s">
        <v>26</v>
      </c>
      <c r="F1911" s="10" t="s">
        <v>56</v>
      </c>
      <c r="G1911" s="10" t="s">
        <v>5</v>
      </c>
      <c r="H1911" s="10" t="s">
        <v>58</v>
      </c>
      <c r="I1911" s="11">
        <v>45533</v>
      </c>
      <c r="J1911" s="10" t="s">
        <v>30</v>
      </c>
      <c r="K1911" s="11">
        <v>45596</v>
      </c>
      <c r="L1911" s="10" t="s">
        <v>66</v>
      </c>
      <c r="M1911" s="12">
        <v>11448</v>
      </c>
      <c r="N1911" s="12">
        <v>7925</v>
      </c>
      <c r="O1911" s="10" t="s">
        <v>32</v>
      </c>
      <c r="P1911" s="10" t="s">
        <v>32</v>
      </c>
      <c r="Q1911" s="10" t="s">
        <v>33</v>
      </c>
      <c r="R1911" s="10" t="s">
        <v>33</v>
      </c>
      <c r="S1911" s="10" t="s">
        <v>34</v>
      </c>
      <c r="T1911" s="13">
        <v>1.4444999999999999</v>
      </c>
      <c r="U1911" s="14">
        <v>63</v>
      </c>
      <c r="V1911" s="14">
        <v>2024</v>
      </c>
      <c r="W1911" s="10" t="s">
        <v>95</v>
      </c>
    </row>
    <row r="1912" spans="1:23" s="9" customFormat="1" ht="15.75" hidden="1" customHeight="1" x14ac:dyDescent="0.25">
      <c r="A1912" s="4" t="s">
        <v>5794</v>
      </c>
      <c r="B1912" s="4" t="s">
        <v>5795</v>
      </c>
      <c r="C1912" s="4" t="s">
        <v>5796</v>
      </c>
      <c r="D1912" s="22" t="s">
        <v>6087</v>
      </c>
      <c r="E1912" s="4" t="s">
        <v>26</v>
      </c>
      <c r="F1912" s="4" t="s">
        <v>71</v>
      </c>
      <c r="G1912" s="4" t="s">
        <v>57</v>
      </c>
      <c r="H1912" s="4" t="s">
        <v>88</v>
      </c>
      <c r="I1912" s="5">
        <v>45449</v>
      </c>
      <c r="J1912" s="4" t="s">
        <v>40</v>
      </c>
      <c r="K1912" s="5">
        <v>45636</v>
      </c>
      <c r="L1912" s="4" t="s">
        <v>59</v>
      </c>
      <c r="M1912" s="6">
        <v>28096</v>
      </c>
      <c r="N1912" s="6">
        <v>1961</v>
      </c>
      <c r="O1912" s="4">
        <v>5</v>
      </c>
      <c r="P1912" s="5">
        <v>45641</v>
      </c>
      <c r="Q1912" s="4" t="s">
        <v>94</v>
      </c>
      <c r="R1912" s="4" t="s">
        <v>33</v>
      </c>
      <c r="S1912" s="4" t="s">
        <v>41</v>
      </c>
      <c r="T1912" s="7">
        <v>14.327400000000001</v>
      </c>
      <c r="U1912" s="8">
        <v>187</v>
      </c>
      <c r="V1912" s="8">
        <v>2024</v>
      </c>
      <c r="W1912" s="4" t="s">
        <v>89</v>
      </c>
    </row>
    <row r="1913" spans="1:23" s="9" customFormat="1" ht="15.75" hidden="1" customHeight="1" x14ac:dyDescent="0.25">
      <c r="A1913" s="10" t="s">
        <v>5797</v>
      </c>
      <c r="B1913" s="10" t="s">
        <v>5798</v>
      </c>
      <c r="C1913" s="10" t="s">
        <v>5799</v>
      </c>
      <c r="D1913" s="22" t="s">
        <v>6090</v>
      </c>
      <c r="E1913" s="10" t="s">
        <v>26</v>
      </c>
      <c r="F1913" s="10" t="s">
        <v>65</v>
      </c>
      <c r="G1913" s="10" t="s">
        <v>5</v>
      </c>
      <c r="H1913" s="10" t="s">
        <v>29</v>
      </c>
      <c r="I1913" s="11">
        <v>45552</v>
      </c>
      <c r="J1913" s="10" t="s">
        <v>40</v>
      </c>
      <c r="K1913" s="11">
        <v>45613</v>
      </c>
      <c r="L1913" s="10" t="s">
        <v>59</v>
      </c>
      <c r="M1913" s="12">
        <v>32826</v>
      </c>
      <c r="N1913" s="12">
        <v>2161</v>
      </c>
      <c r="O1913" s="10">
        <v>5</v>
      </c>
      <c r="P1913" s="11">
        <v>45618</v>
      </c>
      <c r="Q1913" s="10" t="s">
        <v>94</v>
      </c>
      <c r="R1913" s="10" t="s">
        <v>94</v>
      </c>
      <c r="S1913" s="10" t="s">
        <v>34</v>
      </c>
      <c r="T1913" s="13">
        <v>15.190200000000001</v>
      </c>
      <c r="U1913" s="14">
        <v>61</v>
      </c>
      <c r="V1913" s="14">
        <v>2024</v>
      </c>
      <c r="W1913" s="10" t="s">
        <v>61</v>
      </c>
    </row>
    <row r="1914" spans="1:23" s="9" customFormat="1" ht="15.75" hidden="1" customHeight="1" x14ac:dyDescent="0.25">
      <c r="A1914" s="4" t="s">
        <v>5800</v>
      </c>
      <c r="B1914" s="4" t="s">
        <v>5801</v>
      </c>
      <c r="C1914" s="4" t="s">
        <v>5802</v>
      </c>
      <c r="D1914" s="21" t="s">
        <v>6089</v>
      </c>
      <c r="E1914" s="4" t="s">
        <v>26</v>
      </c>
      <c r="F1914" s="4" t="s">
        <v>71</v>
      </c>
      <c r="G1914" s="4" t="s">
        <v>57</v>
      </c>
      <c r="H1914" s="4" t="s">
        <v>39</v>
      </c>
      <c r="I1914" s="5">
        <v>45317</v>
      </c>
      <c r="J1914" s="4" t="s">
        <v>40</v>
      </c>
      <c r="K1914" s="5">
        <v>45528</v>
      </c>
      <c r="L1914" s="4" t="s">
        <v>59</v>
      </c>
      <c r="M1914" s="6">
        <v>42375</v>
      </c>
      <c r="N1914" s="6">
        <v>1444</v>
      </c>
      <c r="O1914" s="4">
        <v>25</v>
      </c>
      <c r="P1914" s="5">
        <v>45553</v>
      </c>
      <c r="Q1914" s="4" t="s">
        <v>33</v>
      </c>
      <c r="R1914" s="4" t="s">
        <v>33</v>
      </c>
      <c r="S1914" s="4" t="s">
        <v>41</v>
      </c>
      <c r="T1914" s="7">
        <v>29.345600000000001</v>
      </c>
      <c r="U1914" s="8">
        <v>211</v>
      </c>
      <c r="V1914" s="8">
        <v>2024</v>
      </c>
      <c r="W1914" s="4" t="s">
        <v>114</v>
      </c>
    </row>
    <row r="1915" spans="1:23" s="9" customFormat="1" ht="15.75" hidden="1" customHeight="1" x14ac:dyDescent="0.25">
      <c r="A1915" s="10" t="s">
        <v>5803</v>
      </c>
      <c r="B1915" s="10" t="s">
        <v>5804</v>
      </c>
      <c r="C1915" s="10" t="s">
        <v>5805</v>
      </c>
      <c r="D1915" s="22" t="s">
        <v>6090</v>
      </c>
      <c r="E1915" s="10" t="s">
        <v>87</v>
      </c>
      <c r="F1915" s="10" t="s">
        <v>71</v>
      </c>
      <c r="G1915" s="10" t="s">
        <v>28</v>
      </c>
      <c r="H1915" s="10" t="s">
        <v>39</v>
      </c>
      <c r="I1915" s="11">
        <v>45390</v>
      </c>
      <c r="J1915" s="10" t="s">
        <v>40</v>
      </c>
      <c r="K1915" s="11">
        <v>45597</v>
      </c>
      <c r="L1915" s="10" t="s">
        <v>59</v>
      </c>
      <c r="M1915" s="12">
        <v>47735</v>
      </c>
      <c r="N1915" s="12">
        <v>8294</v>
      </c>
      <c r="O1915" s="10">
        <v>6</v>
      </c>
      <c r="P1915" s="11">
        <v>45603</v>
      </c>
      <c r="Q1915" s="10" t="s">
        <v>94</v>
      </c>
      <c r="R1915" s="10" t="s">
        <v>33</v>
      </c>
      <c r="S1915" s="10" t="s">
        <v>41</v>
      </c>
      <c r="T1915" s="13">
        <v>5.7553999999999998</v>
      </c>
      <c r="U1915" s="14">
        <v>207</v>
      </c>
      <c r="V1915" s="14">
        <v>2024</v>
      </c>
      <c r="W1915" s="10" t="s">
        <v>61</v>
      </c>
    </row>
    <row r="1916" spans="1:23" s="9" customFormat="1" ht="15.75" hidden="1" customHeight="1" x14ac:dyDescent="0.25">
      <c r="A1916" s="4" t="s">
        <v>5806</v>
      </c>
      <c r="B1916" s="4" t="s">
        <v>5807</v>
      </c>
      <c r="C1916" s="4" t="s">
        <v>5808</v>
      </c>
      <c r="D1916" s="22" t="s">
        <v>6087</v>
      </c>
      <c r="E1916" s="4" t="s">
        <v>87</v>
      </c>
      <c r="F1916" s="4" t="s">
        <v>71</v>
      </c>
      <c r="G1916" s="4" t="s">
        <v>57</v>
      </c>
      <c r="H1916" s="4" t="s">
        <v>29</v>
      </c>
      <c r="I1916" s="5">
        <v>45388</v>
      </c>
      <c r="J1916" s="4" t="s">
        <v>40</v>
      </c>
      <c r="K1916" s="5">
        <v>45488</v>
      </c>
      <c r="L1916" s="4" t="s">
        <v>59</v>
      </c>
      <c r="M1916" s="6">
        <v>23041</v>
      </c>
      <c r="N1916" s="6">
        <v>3648</v>
      </c>
      <c r="O1916" s="4">
        <v>28</v>
      </c>
      <c r="P1916" s="5">
        <v>45516</v>
      </c>
      <c r="Q1916" s="4" t="s">
        <v>33</v>
      </c>
      <c r="R1916" s="4" t="s">
        <v>33</v>
      </c>
      <c r="S1916" s="4" t="s">
        <v>34</v>
      </c>
      <c r="T1916" s="7">
        <v>6.3160999999999996</v>
      </c>
      <c r="U1916" s="8">
        <v>100</v>
      </c>
      <c r="V1916" s="8">
        <v>2024</v>
      </c>
      <c r="W1916" s="4" t="s">
        <v>42</v>
      </c>
    </row>
    <row r="1917" spans="1:23" s="9" customFormat="1" ht="15.75" hidden="1" customHeight="1" x14ac:dyDescent="0.25">
      <c r="A1917" s="10" t="s">
        <v>5809</v>
      </c>
      <c r="B1917" s="10" t="s">
        <v>5810</v>
      </c>
      <c r="C1917" s="10" t="s">
        <v>5811</v>
      </c>
      <c r="D1917" s="22" t="s">
        <v>6087</v>
      </c>
      <c r="E1917" s="10" t="s">
        <v>87</v>
      </c>
      <c r="F1917" s="10" t="s">
        <v>27</v>
      </c>
      <c r="G1917" s="10" t="s">
        <v>57</v>
      </c>
      <c r="H1917" s="10" t="s">
        <v>161</v>
      </c>
      <c r="I1917" s="11">
        <v>45554</v>
      </c>
      <c r="J1917" s="10" t="s">
        <v>40</v>
      </c>
      <c r="K1917" s="11">
        <v>45585</v>
      </c>
      <c r="L1917" s="10" t="s">
        <v>59</v>
      </c>
      <c r="M1917" s="12">
        <v>18655</v>
      </c>
      <c r="N1917" s="12">
        <v>2170</v>
      </c>
      <c r="O1917" s="10">
        <v>19</v>
      </c>
      <c r="P1917" s="11">
        <v>45604</v>
      </c>
      <c r="Q1917" s="10" t="s">
        <v>33</v>
      </c>
      <c r="R1917" s="10" t="s">
        <v>33</v>
      </c>
      <c r="S1917" s="10" t="s">
        <v>34</v>
      </c>
      <c r="T1917" s="13">
        <v>8.5968</v>
      </c>
      <c r="U1917" s="14">
        <v>31</v>
      </c>
      <c r="V1917" s="14">
        <v>2024</v>
      </c>
      <c r="W1917" s="10" t="s">
        <v>95</v>
      </c>
    </row>
    <row r="1918" spans="1:23" s="9" customFormat="1" ht="15.75" hidden="1" customHeight="1" x14ac:dyDescent="0.25">
      <c r="A1918" s="4" t="s">
        <v>5812</v>
      </c>
      <c r="B1918" s="4" t="s">
        <v>5813</v>
      </c>
      <c r="C1918" s="4" t="s">
        <v>5814</v>
      </c>
      <c r="D1918" s="21" t="s">
        <v>6091</v>
      </c>
      <c r="E1918" s="4" t="s">
        <v>51</v>
      </c>
      <c r="F1918" s="4" t="s">
        <v>46</v>
      </c>
      <c r="G1918" s="4" t="s">
        <v>57</v>
      </c>
      <c r="H1918" s="4" t="s">
        <v>161</v>
      </c>
      <c r="I1918" s="5">
        <v>45427</v>
      </c>
      <c r="J1918" s="4" t="s">
        <v>40</v>
      </c>
      <c r="K1918" s="5">
        <v>45464</v>
      </c>
      <c r="L1918" s="4" t="s">
        <v>59</v>
      </c>
      <c r="M1918" s="6">
        <v>8131</v>
      </c>
      <c r="N1918" s="6">
        <v>7574</v>
      </c>
      <c r="O1918" s="4">
        <v>41</v>
      </c>
      <c r="P1918" s="5">
        <v>45505</v>
      </c>
      <c r="Q1918" s="4" t="s">
        <v>33</v>
      </c>
      <c r="R1918" s="4" t="s">
        <v>33</v>
      </c>
      <c r="S1918" s="4" t="s">
        <v>41</v>
      </c>
      <c r="T1918" s="7">
        <v>1.0734999999999999</v>
      </c>
      <c r="U1918" s="8">
        <v>37</v>
      </c>
      <c r="V1918" s="8">
        <v>2024</v>
      </c>
      <c r="W1918" s="4" t="s">
        <v>67</v>
      </c>
    </row>
    <row r="1919" spans="1:23" s="9" customFormat="1" ht="15.75" hidden="1" customHeight="1" x14ac:dyDescent="0.25">
      <c r="A1919" s="10" t="s">
        <v>5815</v>
      </c>
      <c r="B1919" s="10" t="s">
        <v>5816</v>
      </c>
      <c r="C1919" s="10" t="s">
        <v>5817</v>
      </c>
      <c r="D1919" s="22" t="s">
        <v>6087</v>
      </c>
      <c r="E1919" s="10" t="s">
        <v>51</v>
      </c>
      <c r="F1919" s="10" t="s">
        <v>65</v>
      </c>
      <c r="G1919" s="10" t="s">
        <v>5</v>
      </c>
      <c r="H1919" s="10" t="s">
        <v>39</v>
      </c>
      <c r="I1919" s="11">
        <v>45040</v>
      </c>
      <c r="J1919" s="10" t="s">
        <v>30</v>
      </c>
      <c r="K1919" s="11">
        <v>45292</v>
      </c>
      <c r="L1919" s="10" t="s">
        <v>59</v>
      </c>
      <c r="M1919" s="12">
        <v>18103</v>
      </c>
      <c r="N1919" s="12">
        <v>2847</v>
      </c>
      <c r="O1919" s="10">
        <v>8</v>
      </c>
      <c r="P1919" s="11">
        <v>45300</v>
      </c>
      <c r="Q1919" s="10" t="s">
        <v>94</v>
      </c>
      <c r="R1919" s="10" t="s">
        <v>94</v>
      </c>
      <c r="S1919" s="10" t="s">
        <v>34</v>
      </c>
      <c r="T1919" s="13">
        <v>6.3586</v>
      </c>
      <c r="U1919" s="14">
        <v>252</v>
      </c>
      <c r="V1919" s="14">
        <v>2024</v>
      </c>
      <c r="W1919" s="10" t="s">
        <v>73</v>
      </c>
    </row>
    <row r="1920" spans="1:23" s="9" customFormat="1" ht="15.75" hidden="1" customHeight="1" x14ac:dyDescent="0.25">
      <c r="A1920" s="4" t="s">
        <v>5818</v>
      </c>
      <c r="B1920" s="4" t="s">
        <v>5819</v>
      </c>
      <c r="C1920" s="4" t="s">
        <v>5820</v>
      </c>
      <c r="D1920" s="21" t="s">
        <v>6091</v>
      </c>
      <c r="E1920" s="4" t="s">
        <v>26</v>
      </c>
      <c r="F1920" s="4" t="s">
        <v>27</v>
      </c>
      <c r="G1920" s="4" t="s">
        <v>5</v>
      </c>
      <c r="H1920" s="4" t="s">
        <v>72</v>
      </c>
      <c r="I1920" s="5">
        <v>45444</v>
      </c>
      <c r="J1920" s="4" t="s">
        <v>40</v>
      </c>
      <c r="K1920" s="5">
        <v>45606</v>
      </c>
      <c r="L1920" s="4" t="s">
        <v>59</v>
      </c>
      <c r="M1920" s="6">
        <v>3031</v>
      </c>
      <c r="N1920" s="6">
        <v>5399</v>
      </c>
      <c r="O1920" s="4">
        <v>20</v>
      </c>
      <c r="P1920" s="5">
        <v>45626</v>
      </c>
      <c r="Q1920" s="4" t="s">
        <v>94</v>
      </c>
      <c r="R1920" s="4" t="s">
        <v>33</v>
      </c>
      <c r="S1920" s="4" t="s">
        <v>34</v>
      </c>
      <c r="T1920" s="7">
        <v>0.56140000000000001</v>
      </c>
      <c r="U1920" s="8">
        <v>162</v>
      </c>
      <c r="V1920" s="8">
        <v>2024</v>
      </c>
      <c r="W1920" s="4" t="s">
        <v>61</v>
      </c>
    </row>
    <row r="1921" spans="1:23" s="9" customFormat="1" ht="15.75" hidden="1" customHeight="1" x14ac:dyDescent="0.25">
      <c r="A1921" s="10" t="s">
        <v>5821</v>
      </c>
      <c r="B1921" s="10" t="s">
        <v>5822</v>
      </c>
      <c r="C1921" s="10" t="s">
        <v>5823</v>
      </c>
      <c r="D1921" s="21" t="s">
        <v>6086</v>
      </c>
      <c r="E1921" s="10" t="s">
        <v>26</v>
      </c>
      <c r="F1921" s="10" t="s">
        <v>71</v>
      </c>
      <c r="G1921" s="10" t="s">
        <v>57</v>
      </c>
      <c r="H1921" s="10" t="s">
        <v>72</v>
      </c>
      <c r="I1921" s="11">
        <v>45363</v>
      </c>
      <c r="J1921" s="10" t="s">
        <v>30</v>
      </c>
      <c r="K1921" s="11">
        <v>45446</v>
      </c>
      <c r="L1921" s="10" t="s">
        <v>59</v>
      </c>
      <c r="M1921" s="12">
        <v>79752</v>
      </c>
      <c r="N1921" s="12">
        <v>3811</v>
      </c>
      <c r="O1921" s="10">
        <v>36</v>
      </c>
      <c r="P1921" s="11">
        <v>45482</v>
      </c>
      <c r="Q1921" s="10" t="s">
        <v>33</v>
      </c>
      <c r="R1921" s="10" t="s">
        <v>33</v>
      </c>
      <c r="S1921" s="10" t="s">
        <v>41</v>
      </c>
      <c r="T1921" s="13">
        <v>20.9268</v>
      </c>
      <c r="U1921" s="14">
        <v>83</v>
      </c>
      <c r="V1921" s="14">
        <v>2024</v>
      </c>
      <c r="W1921" s="10" t="s">
        <v>67</v>
      </c>
    </row>
    <row r="1922" spans="1:23" s="9" customFormat="1" ht="27.75" customHeight="1" x14ac:dyDescent="0.25">
      <c r="A1922" s="4" t="s">
        <v>5824</v>
      </c>
      <c r="B1922" s="4" t="s">
        <v>5825</v>
      </c>
      <c r="C1922" s="4" t="s">
        <v>5826</v>
      </c>
      <c r="D1922" s="22" t="s">
        <v>6090</v>
      </c>
      <c r="E1922" s="4" t="s">
        <v>51</v>
      </c>
      <c r="F1922" s="10" t="s">
        <v>6092</v>
      </c>
      <c r="G1922" s="4" t="s">
        <v>57</v>
      </c>
      <c r="H1922" s="4" t="s">
        <v>88</v>
      </c>
      <c r="I1922" s="5">
        <v>45319</v>
      </c>
      <c r="J1922" s="4" t="s">
        <v>30</v>
      </c>
      <c r="K1922" s="5">
        <v>45422</v>
      </c>
      <c r="L1922" s="4" t="s">
        <v>66</v>
      </c>
      <c r="M1922" s="6">
        <v>34471</v>
      </c>
      <c r="N1922" s="6">
        <v>3239</v>
      </c>
      <c r="O1922" s="4" t="s">
        <v>32</v>
      </c>
      <c r="P1922" s="4" t="s">
        <v>32</v>
      </c>
      <c r="Q1922" s="4" t="s">
        <v>94</v>
      </c>
      <c r="R1922" s="4" t="s">
        <v>94</v>
      </c>
      <c r="S1922" s="4" t="s">
        <v>60</v>
      </c>
      <c r="T1922" s="7">
        <v>10.6425</v>
      </c>
      <c r="U1922" s="8">
        <v>103</v>
      </c>
      <c r="V1922" s="8">
        <v>2024</v>
      </c>
      <c r="W1922" s="4" t="s">
        <v>52</v>
      </c>
    </row>
    <row r="1923" spans="1:23" s="9" customFormat="1" ht="15.75" hidden="1" customHeight="1" x14ac:dyDescent="0.25">
      <c r="A1923" s="10" t="s">
        <v>5827</v>
      </c>
      <c r="B1923" s="10" t="s">
        <v>5828</v>
      </c>
      <c r="C1923" s="10" t="s">
        <v>5829</v>
      </c>
      <c r="D1923" s="22" t="s">
        <v>6087</v>
      </c>
      <c r="E1923" s="10" t="s">
        <v>26</v>
      </c>
      <c r="F1923" s="21" t="s">
        <v>6092</v>
      </c>
      <c r="G1923" s="10" t="s">
        <v>28</v>
      </c>
      <c r="H1923" s="10" t="s">
        <v>29</v>
      </c>
      <c r="I1923" s="11">
        <v>45011</v>
      </c>
      <c r="J1923" s="10" t="s">
        <v>40</v>
      </c>
      <c r="K1923" s="11">
        <v>45308</v>
      </c>
      <c r="L1923" s="10" t="s">
        <v>59</v>
      </c>
      <c r="M1923" s="12">
        <v>29065</v>
      </c>
      <c r="N1923" s="12">
        <v>8297</v>
      </c>
      <c r="O1923" s="10">
        <v>6</v>
      </c>
      <c r="P1923" s="11">
        <v>45314</v>
      </c>
      <c r="Q1923" s="10" t="s">
        <v>33</v>
      </c>
      <c r="R1923" s="10" t="s">
        <v>33</v>
      </c>
      <c r="S1923" s="10" t="s">
        <v>34</v>
      </c>
      <c r="T1923" s="13">
        <v>3.5030999999999999</v>
      </c>
      <c r="U1923" s="14">
        <v>297</v>
      </c>
      <c r="V1923" s="14">
        <v>2024</v>
      </c>
      <c r="W1923" s="10" t="s">
        <v>73</v>
      </c>
    </row>
    <row r="1924" spans="1:23" s="9" customFormat="1" ht="15.75" hidden="1" customHeight="1" x14ac:dyDescent="0.25">
      <c r="A1924" s="4" t="s">
        <v>5830</v>
      </c>
      <c r="B1924" s="4" t="s">
        <v>5831</v>
      </c>
      <c r="C1924" s="4" t="s">
        <v>5832</v>
      </c>
      <c r="D1924" s="22" t="s">
        <v>6090</v>
      </c>
      <c r="E1924" s="4" t="s">
        <v>26</v>
      </c>
      <c r="F1924" s="4" t="s">
        <v>27</v>
      </c>
      <c r="G1924" s="4" t="s">
        <v>57</v>
      </c>
      <c r="H1924" s="4" t="s">
        <v>39</v>
      </c>
      <c r="I1924" s="5">
        <v>45260</v>
      </c>
      <c r="J1924" s="4" t="s">
        <v>30</v>
      </c>
      <c r="K1924" s="5">
        <v>45423</v>
      </c>
      <c r="L1924" s="4" t="s">
        <v>31</v>
      </c>
      <c r="M1924" s="6">
        <v>17517</v>
      </c>
      <c r="N1924" s="6">
        <v>4043</v>
      </c>
      <c r="O1924" s="4" t="s">
        <v>32</v>
      </c>
      <c r="P1924" s="4" t="s">
        <v>32</v>
      </c>
      <c r="Q1924" s="4" t="s">
        <v>33</v>
      </c>
      <c r="R1924" s="4" t="s">
        <v>33</v>
      </c>
      <c r="S1924" s="4" t="s">
        <v>60</v>
      </c>
      <c r="T1924" s="7">
        <v>4.3327</v>
      </c>
      <c r="U1924" s="8">
        <v>163</v>
      </c>
      <c r="V1924" s="8">
        <v>2024</v>
      </c>
      <c r="W1924" s="4" t="s">
        <v>52</v>
      </c>
    </row>
    <row r="1925" spans="1:23" s="9" customFormat="1" ht="15.75" hidden="1" customHeight="1" x14ac:dyDescent="0.25">
      <c r="A1925" s="10" t="s">
        <v>5833</v>
      </c>
      <c r="B1925" s="10" t="s">
        <v>5834</v>
      </c>
      <c r="C1925" s="10" t="s">
        <v>5835</v>
      </c>
      <c r="D1925" s="22" t="s">
        <v>6090</v>
      </c>
      <c r="E1925" s="10" t="s">
        <v>51</v>
      </c>
      <c r="F1925" s="21" t="s">
        <v>6092</v>
      </c>
      <c r="G1925" s="10" t="s">
        <v>5</v>
      </c>
      <c r="H1925" s="10" t="s">
        <v>161</v>
      </c>
      <c r="I1925" s="11">
        <v>45185</v>
      </c>
      <c r="J1925" s="10" t="s">
        <v>40</v>
      </c>
      <c r="K1925" s="11">
        <v>45421</v>
      </c>
      <c r="L1925" s="10" t="s">
        <v>31</v>
      </c>
      <c r="M1925" s="12">
        <v>39024</v>
      </c>
      <c r="N1925" s="12">
        <v>5551</v>
      </c>
      <c r="O1925" s="10" t="s">
        <v>32</v>
      </c>
      <c r="P1925" s="10" t="s">
        <v>32</v>
      </c>
      <c r="Q1925" s="10" t="s">
        <v>33</v>
      </c>
      <c r="R1925" s="10" t="s">
        <v>33</v>
      </c>
      <c r="S1925" s="10" t="s">
        <v>34</v>
      </c>
      <c r="T1925" s="13">
        <v>7.0301</v>
      </c>
      <c r="U1925" s="14">
        <v>236</v>
      </c>
      <c r="V1925" s="14">
        <v>2024</v>
      </c>
      <c r="W1925" s="10" t="s">
        <v>52</v>
      </c>
    </row>
    <row r="1926" spans="1:23" s="9" customFormat="1" ht="15.75" hidden="1" customHeight="1" x14ac:dyDescent="0.25">
      <c r="A1926" s="4" t="s">
        <v>5836</v>
      </c>
      <c r="B1926" s="4" t="s">
        <v>5837</v>
      </c>
      <c r="C1926" s="4" t="s">
        <v>5838</v>
      </c>
      <c r="D1926" s="22" t="s">
        <v>6087</v>
      </c>
      <c r="E1926" s="4" t="s">
        <v>26</v>
      </c>
      <c r="F1926" s="4" t="s">
        <v>27</v>
      </c>
      <c r="G1926" s="4" t="s">
        <v>28</v>
      </c>
      <c r="H1926" s="4" t="s">
        <v>72</v>
      </c>
      <c r="I1926" s="5">
        <v>45177</v>
      </c>
      <c r="J1926" s="4" t="s">
        <v>30</v>
      </c>
      <c r="K1926" s="5">
        <v>45414</v>
      </c>
      <c r="L1926" s="4" t="s">
        <v>31</v>
      </c>
      <c r="M1926" s="6">
        <v>4660</v>
      </c>
      <c r="N1926" s="6">
        <v>2390</v>
      </c>
      <c r="O1926" s="4" t="s">
        <v>32</v>
      </c>
      <c r="P1926" s="4" t="s">
        <v>32</v>
      </c>
      <c r="Q1926" s="4" t="s">
        <v>33</v>
      </c>
      <c r="R1926" s="4" t="s">
        <v>33</v>
      </c>
      <c r="S1926" s="4" t="s">
        <v>41</v>
      </c>
      <c r="T1926" s="7">
        <v>1.9498</v>
      </c>
      <c r="U1926" s="8">
        <v>237</v>
      </c>
      <c r="V1926" s="8">
        <v>2024</v>
      </c>
      <c r="W1926" s="4" t="s">
        <v>52</v>
      </c>
    </row>
    <row r="1927" spans="1:23" s="9" customFormat="1" ht="15.75" hidden="1" customHeight="1" x14ac:dyDescent="0.25">
      <c r="A1927" s="10" t="s">
        <v>5839</v>
      </c>
      <c r="B1927" s="10" t="s">
        <v>5840</v>
      </c>
      <c r="C1927" s="10" t="s">
        <v>5841</v>
      </c>
      <c r="D1927" s="22" t="s">
        <v>6090</v>
      </c>
      <c r="E1927" s="10" t="s">
        <v>26</v>
      </c>
      <c r="F1927" s="10" t="s">
        <v>56</v>
      </c>
      <c r="G1927" s="10" t="s">
        <v>57</v>
      </c>
      <c r="H1927" s="10" t="s">
        <v>88</v>
      </c>
      <c r="I1927" s="11">
        <v>45216</v>
      </c>
      <c r="J1927" s="10" t="s">
        <v>40</v>
      </c>
      <c r="K1927" s="11">
        <v>45525</v>
      </c>
      <c r="L1927" s="10" t="s">
        <v>31</v>
      </c>
      <c r="M1927" s="12">
        <v>8905</v>
      </c>
      <c r="N1927" s="12">
        <v>1858</v>
      </c>
      <c r="O1927" s="10" t="s">
        <v>32</v>
      </c>
      <c r="P1927" s="10" t="s">
        <v>32</v>
      </c>
      <c r="Q1927" s="10" t="s">
        <v>94</v>
      </c>
      <c r="R1927" s="10" t="s">
        <v>94</v>
      </c>
      <c r="S1927" s="10" t="s">
        <v>41</v>
      </c>
      <c r="T1927" s="13">
        <v>4.7927999999999997</v>
      </c>
      <c r="U1927" s="14">
        <v>309</v>
      </c>
      <c r="V1927" s="14">
        <v>2024</v>
      </c>
      <c r="W1927" s="10" t="s">
        <v>114</v>
      </c>
    </row>
    <row r="1928" spans="1:23" s="9" customFormat="1" ht="15.75" hidden="1" customHeight="1" x14ac:dyDescent="0.25">
      <c r="A1928" s="4" t="s">
        <v>5842</v>
      </c>
      <c r="B1928" s="4" t="s">
        <v>5843</v>
      </c>
      <c r="C1928" s="4" t="s">
        <v>5844</v>
      </c>
      <c r="D1928" s="21" t="s">
        <v>6091</v>
      </c>
      <c r="E1928" s="4" t="s">
        <v>87</v>
      </c>
      <c r="F1928" s="4" t="s">
        <v>56</v>
      </c>
      <c r="G1928" s="4" t="s">
        <v>57</v>
      </c>
      <c r="H1928" s="4" t="s">
        <v>39</v>
      </c>
      <c r="I1928" s="5">
        <v>44974</v>
      </c>
      <c r="J1928" s="4" t="s">
        <v>30</v>
      </c>
      <c r="K1928" s="5">
        <v>45314</v>
      </c>
      <c r="L1928" s="4" t="s">
        <v>31</v>
      </c>
      <c r="M1928" s="6">
        <v>2080</v>
      </c>
      <c r="N1928" s="6">
        <v>1495</v>
      </c>
      <c r="O1928" s="4" t="s">
        <v>32</v>
      </c>
      <c r="P1928" s="4" t="s">
        <v>32</v>
      </c>
      <c r="Q1928" s="4" t="s">
        <v>33</v>
      </c>
      <c r="R1928" s="4" t="s">
        <v>33</v>
      </c>
      <c r="S1928" s="4" t="s">
        <v>41</v>
      </c>
      <c r="T1928" s="7">
        <v>1.3913</v>
      </c>
      <c r="U1928" s="8">
        <v>340</v>
      </c>
      <c r="V1928" s="8">
        <v>2024</v>
      </c>
      <c r="W1928" s="4" t="s">
        <v>73</v>
      </c>
    </row>
    <row r="1929" spans="1:23" s="9" customFormat="1" ht="15.75" hidden="1" customHeight="1" x14ac:dyDescent="0.25">
      <c r="A1929" s="10" t="s">
        <v>5845</v>
      </c>
      <c r="B1929" s="10" t="s">
        <v>5846</v>
      </c>
      <c r="C1929" s="10" t="s">
        <v>5847</v>
      </c>
      <c r="D1929" s="22" t="s">
        <v>6090</v>
      </c>
      <c r="E1929" s="10" t="s">
        <v>26</v>
      </c>
      <c r="F1929" s="10" t="s">
        <v>71</v>
      </c>
      <c r="G1929" s="10" t="s">
        <v>28</v>
      </c>
      <c r="H1929" s="10" t="s">
        <v>58</v>
      </c>
      <c r="I1929" s="11">
        <v>45306</v>
      </c>
      <c r="J1929" s="10" t="s">
        <v>40</v>
      </c>
      <c r="K1929" s="11">
        <v>45503</v>
      </c>
      <c r="L1929" s="10" t="s">
        <v>31</v>
      </c>
      <c r="M1929" s="12">
        <v>23925</v>
      </c>
      <c r="N1929" s="12">
        <v>3367</v>
      </c>
      <c r="O1929" s="10" t="s">
        <v>32</v>
      </c>
      <c r="P1929" s="10" t="s">
        <v>32</v>
      </c>
      <c r="Q1929" s="10" t="s">
        <v>33</v>
      </c>
      <c r="R1929" s="10" t="s">
        <v>33</v>
      </c>
      <c r="S1929" s="10" t="s">
        <v>60</v>
      </c>
      <c r="T1929" s="13">
        <v>7.1056999999999997</v>
      </c>
      <c r="U1929" s="14">
        <v>197</v>
      </c>
      <c r="V1929" s="14">
        <v>2024</v>
      </c>
      <c r="W1929" s="10" t="s">
        <v>42</v>
      </c>
    </row>
    <row r="1930" spans="1:23" s="9" customFormat="1" ht="15.75" hidden="1" customHeight="1" x14ac:dyDescent="0.25">
      <c r="A1930" s="4" t="s">
        <v>5848</v>
      </c>
      <c r="B1930" s="4" t="s">
        <v>5849</v>
      </c>
      <c r="C1930" s="4" t="s">
        <v>5850</v>
      </c>
      <c r="D1930" s="21" t="s">
        <v>6091</v>
      </c>
      <c r="E1930" s="4" t="s">
        <v>26</v>
      </c>
      <c r="F1930" s="4" t="s">
        <v>65</v>
      </c>
      <c r="G1930" s="4" t="s">
        <v>57</v>
      </c>
      <c r="H1930" s="4" t="s">
        <v>88</v>
      </c>
      <c r="I1930" s="5">
        <v>45148</v>
      </c>
      <c r="J1930" s="4" t="s">
        <v>30</v>
      </c>
      <c r="K1930" s="5">
        <v>45342</v>
      </c>
      <c r="L1930" s="4" t="s">
        <v>59</v>
      </c>
      <c r="M1930" s="6">
        <v>14372</v>
      </c>
      <c r="N1930" s="6">
        <v>7441</v>
      </c>
      <c r="O1930" s="4">
        <v>31</v>
      </c>
      <c r="P1930" s="5">
        <v>45373</v>
      </c>
      <c r="Q1930" s="4" t="s">
        <v>33</v>
      </c>
      <c r="R1930" s="4" t="s">
        <v>33</v>
      </c>
      <c r="S1930" s="4" t="s">
        <v>60</v>
      </c>
      <c r="T1930" s="7">
        <v>1.9315</v>
      </c>
      <c r="U1930" s="8">
        <v>194</v>
      </c>
      <c r="V1930" s="8">
        <v>2024</v>
      </c>
      <c r="W1930" s="4" t="s">
        <v>35</v>
      </c>
    </row>
    <row r="1931" spans="1:23" s="9" customFormat="1" ht="15.75" hidden="1" customHeight="1" x14ac:dyDescent="0.25">
      <c r="A1931" s="10" t="s">
        <v>5851</v>
      </c>
      <c r="B1931" s="10" t="s">
        <v>5852</v>
      </c>
      <c r="C1931" s="10" t="s">
        <v>5853</v>
      </c>
      <c r="D1931" s="21" t="s">
        <v>6091</v>
      </c>
      <c r="E1931" s="10" t="s">
        <v>26</v>
      </c>
      <c r="F1931" s="10" t="s">
        <v>27</v>
      </c>
      <c r="G1931" s="10" t="s">
        <v>57</v>
      </c>
      <c r="H1931" s="10" t="s">
        <v>88</v>
      </c>
      <c r="I1931" s="11">
        <v>45282</v>
      </c>
      <c r="J1931" s="10" t="s">
        <v>40</v>
      </c>
      <c r="K1931" s="11">
        <v>45403</v>
      </c>
      <c r="L1931" s="10" t="s">
        <v>31</v>
      </c>
      <c r="M1931" s="12">
        <v>7033</v>
      </c>
      <c r="N1931" s="12">
        <v>695</v>
      </c>
      <c r="O1931" s="10" t="s">
        <v>32</v>
      </c>
      <c r="P1931" s="10" t="s">
        <v>32</v>
      </c>
      <c r="Q1931" s="10" t="s">
        <v>33</v>
      </c>
      <c r="R1931" s="10" t="s">
        <v>33</v>
      </c>
      <c r="S1931" s="10" t="s">
        <v>41</v>
      </c>
      <c r="T1931" s="13">
        <v>10.119400000000001</v>
      </c>
      <c r="U1931" s="14">
        <v>121</v>
      </c>
      <c r="V1931" s="14">
        <v>2024</v>
      </c>
      <c r="W1931" s="10" t="s">
        <v>47</v>
      </c>
    </row>
    <row r="1932" spans="1:23" s="9" customFormat="1" ht="15.75" hidden="1" customHeight="1" x14ac:dyDescent="0.25">
      <c r="A1932" s="4" t="s">
        <v>5854</v>
      </c>
      <c r="B1932" s="4" t="s">
        <v>5855</v>
      </c>
      <c r="C1932" s="4" t="s">
        <v>5856</v>
      </c>
      <c r="D1932" s="22" t="s">
        <v>6087</v>
      </c>
      <c r="E1932" s="4" t="s">
        <v>26</v>
      </c>
      <c r="F1932" s="4" t="s">
        <v>46</v>
      </c>
      <c r="G1932" s="4" t="s">
        <v>5</v>
      </c>
      <c r="H1932" s="4" t="s">
        <v>58</v>
      </c>
      <c r="I1932" s="5">
        <v>45120</v>
      </c>
      <c r="J1932" s="4" t="s">
        <v>40</v>
      </c>
      <c r="K1932" s="5">
        <v>45443</v>
      </c>
      <c r="L1932" s="4" t="s">
        <v>31</v>
      </c>
      <c r="M1932" s="6">
        <v>38543</v>
      </c>
      <c r="N1932" s="6">
        <v>8236</v>
      </c>
      <c r="O1932" s="4" t="s">
        <v>32</v>
      </c>
      <c r="P1932" s="4" t="s">
        <v>32</v>
      </c>
      <c r="Q1932" s="4" t="s">
        <v>33</v>
      </c>
      <c r="R1932" s="4" t="s">
        <v>33</v>
      </c>
      <c r="S1932" s="4" t="s">
        <v>41</v>
      </c>
      <c r="T1932" s="7">
        <v>4.6798000000000002</v>
      </c>
      <c r="U1932" s="8">
        <v>323</v>
      </c>
      <c r="V1932" s="8">
        <v>2024</v>
      </c>
      <c r="W1932" s="4" t="s">
        <v>52</v>
      </c>
    </row>
    <row r="1933" spans="1:23" s="9" customFormat="1" ht="15.75" hidden="1" customHeight="1" x14ac:dyDescent="0.25">
      <c r="A1933" s="10" t="s">
        <v>5857</v>
      </c>
      <c r="B1933" s="10" t="s">
        <v>5858</v>
      </c>
      <c r="C1933" s="10" t="s">
        <v>5859</v>
      </c>
      <c r="D1933" s="21" t="s">
        <v>6086</v>
      </c>
      <c r="E1933" s="10" t="s">
        <v>87</v>
      </c>
      <c r="F1933" s="10" t="s">
        <v>46</v>
      </c>
      <c r="G1933" s="10" t="s">
        <v>5</v>
      </c>
      <c r="H1933" s="10" t="s">
        <v>58</v>
      </c>
      <c r="I1933" s="11">
        <v>45214</v>
      </c>
      <c r="J1933" s="10" t="s">
        <v>40</v>
      </c>
      <c r="K1933" s="11">
        <v>45499</v>
      </c>
      <c r="L1933" s="10" t="s">
        <v>66</v>
      </c>
      <c r="M1933" s="12">
        <v>85480</v>
      </c>
      <c r="N1933" s="12">
        <v>7747</v>
      </c>
      <c r="O1933" s="10" t="s">
        <v>32</v>
      </c>
      <c r="P1933" s="10" t="s">
        <v>32</v>
      </c>
      <c r="Q1933" s="10" t="s">
        <v>33</v>
      </c>
      <c r="R1933" s="10" t="s">
        <v>33</v>
      </c>
      <c r="S1933" s="10" t="s">
        <v>60</v>
      </c>
      <c r="T1933" s="13">
        <v>11.033899999999999</v>
      </c>
      <c r="U1933" s="14">
        <v>285</v>
      </c>
      <c r="V1933" s="14">
        <v>2024</v>
      </c>
      <c r="W1933" s="10" t="s">
        <v>42</v>
      </c>
    </row>
    <row r="1934" spans="1:23" s="9" customFormat="1" ht="15.75" hidden="1" customHeight="1" x14ac:dyDescent="0.25">
      <c r="A1934" s="4" t="s">
        <v>5860</v>
      </c>
      <c r="B1934" s="4" t="s">
        <v>5861</v>
      </c>
      <c r="C1934" s="4" t="s">
        <v>5862</v>
      </c>
      <c r="D1934" s="21" t="s">
        <v>6091</v>
      </c>
      <c r="E1934" s="4" t="s">
        <v>51</v>
      </c>
      <c r="F1934" s="4" t="s">
        <v>27</v>
      </c>
      <c r="G1934" s="4" t="s">
        <v>5</v>
      </c>
      <c r="H1934" s="4" t="s">
        <v>72</v>
      </c>
      <c r="I1934" s="5">
        <v>45390</v>
      </c>
      <c r="J1934" s="4" t="s">
        <v>40</v>
      </c>
      <c r="K1934" s="5">
        <v>45486</v>
      </c>
      <c r="L1934" s="4" t="s">
        <v>59</v>
      </c>
      <c r="M1934" s="6">
        <v>19370</v>
      </c>
      <c r="N1934" s="6">
        <v>6065</v>
      </c>
      <c r="O1934" s="4">
        <v>14</v>
      </c>
      <c r="P1934" s="5">
        <v>45500</v>
      </c>
      <c r="Q1934" s="4" t="s">
        <v>33</v>
      </c>
      <c r="R1934" s="4" t="s">
        <v>33</v>
      </c>
      <c r="S1934" s="4" t="s">
        <v>60</v>
      </c>
      <c r="T1934" s="7">
        <v>3.1937000000000002</v>
      </c>
      <c r="U1934" s="8">
        <v>96</v>
      </c>
      <c r="V1934" s="8">
        <v>2024</v>
      </c>
      <c r="W1934" s="4" t="s">
        <v>42</v>
      </c>
    </row>
    <row r="1935" spans="1:23" s="9" customFormat="1" ht="15.75" hidden="1" customHeight="1" x14ac:dyDescent="0.25">
      <c r="A1935" s="10" t="s">
        <v>5863</v>
      </c>
      <c r="B1935" s="10" t="s">
        <v>5864</v>
      </c>
      <c r="C1935" s="10" t="s">
        <v>5865</v>
      </c>
      <c r="D1935" s="21" t="s">
        <v>6089</v>
      </c>
      <c r="E1935" s="10" t="s">
        <v>87</v>
      </c>
      <c r="F1935" s="10" t="s">
        <v>46</v>
      </c>
      <c r="G1935" s="10" t="s">
        <v>57</v>
      </c>
      <c r="H1935" s="10" t="s">
        <v>72</v>
      </c>
      <c r="I1935" s="11">
        <v>45421</v>
      </c>
      <c r="J1935" s="10" t="s">
        <v>40</v>
      </c>
      <c r="K1935" s="11">
        <v>45510</v>
      </c>
      <c r="L1935" s="10" t="s">
        <v>59</v>
      </c>
      <c r="M1935" s="12">
        <v>31525</v>
      </c>
      <c r="N1935" s="12">
        <v>2698</v>
      </c>
      <c r="O1935" s="10">
        <v>17</v>
      </c>
      <c r="P1935" s="11">
        <v>45527</v>
      </c>
      <c r="Q1935" s="10" t="s">
        <v>33</v>
      </c>
      <c r="R1935" s="10" t="s">
        <v>33</v>
      </c>
      <c r="S1935" s="10" t="s">
        <v>34</v>
      </c>
      <c r="T1935" s="13">
        <v>11.6846</v>
      </c>
      <c r="U1935" s="14">
        <v>89</v>
      </c>
      <c r="V1935" s="14">
        <v>2024</v>
      </c>
      <c r="W1935" s="10" t="s">
        <v>114</v>
      </c>
    </row>
    <row r="1936" spans="1:23" s="9" customFormat="1" ht="15.75" hidden="1" customHeight="1" x14ac:dyDescent="0.25">
      <c r="A1936" s="4" t="s">
        <v>5866</v>
      </c>
      <c r="B1936" s="4" t="s">
        <v>5867</v>
      </c>
      <c r="C1936" s="4" t="s">
        <v>5868</v>
      </c>
      <c r="D1936" s="22" t="s">
        <v>6087</v>
      </c>
      <c r="E1936" s="4" t="s">
        <v>87</v>
      </c>
      <c r="F1936" s="4" t="s">
        <v>65</v>
      </c>
      <c r="G1936" s="4" t="s">
        <v>57</v>
      </c>
      <c r="H1936" s="4" t="s">
        <v>29</v>
      </c>
      <c r="I1936" s="5">
        <v>45034</v>
      </c>
      <c r="J1936" s="4" t="s">
        <v>30</v>
      </c>
      <c r="K1936" s="5">
        <v>45382</v>
      </c>
      <c r="L1936" s="4" t="s">
        <v>59</v>
      </c>
      <c r="M1936" s="6">
        <v>11790</v>
      </c>
      <c r="N1936" s="6">
        <v>6912</v>
      </c>
      <c r="O1936" s="4">
        <v>6</v>
      </c>
      <c r="P1936" s="5">
        <v>45388</v>
      </c>
      <c r="Q1936" s="4" t="s">
        <v>33</v>
      </c>
      <c r="R1936" s="4" t="s">
        <v>33</v>
      </c>
      <c r="S1936" s="4" t="s">
        <v>60</v>
      </c>
      <c r="T1936" s="7">
        <v>1.7057</v>
      </c>
      <c r="U1936" s="8">
        <v>348</v>
      </c>
      <c r="V1936" s="8">
        <v>2024</v>
      </c>
      <c r="W1936" s="4" t="s">
        <v>77</v>
      </c>
    </row>
    <row r="1937" spans="1:23" s="9" customFormat="1" ht="15.75" hidden="1" customHeight="1" x14ac:dyDescent="0.25">
      <c r="A1937" s="10" t="s">
        <v>5869</v>
      </c>
      <c r="B1937" s="10" t="s">
        <v>5870</v>
      </c>
      <c r="C1937" s="10" t="s">
        <v>5871</v>
      </c>
      <c r="D1937" s="22" t="s">
        <v>6090</v>
      </c>
      <c r="E1937" s="10" t="s">
        <v>51</v>
      </c>
      <c r="F1937" s="21" t="s">
        <v>6092</v>
      </c>
      <c r="G1937" s="10" t="s">
        <v>28</v>
      </c>
      <c r="H1937" s="10" t="s">
        <v>161</v>
      </c>
      <c r="I1937" s="11">
        <v>45476</v>
      </c>
      <c r="J1937" s="10" t="s">
        <v>30</v>
      </c>
      <c r="K1937" s="11">
        <v>45653</v>
      </c>
      <c r="L1937" s="10" t="s">
        <v>59</v>
      </c>
      <c r="M1937" s="12">
        <v>19128</v>
      </c>
      <c r="N1937" s="12">
        <v>8803</v>
      </c>
      <c r="O1937" s="10">
        <v>18</v>
      </c>
      <c r="P1937" s="11">
        <v>45671</v>
      </c>
      <c r="Q1937" s="10" t="s">
        <v>33</v>
      </c>
      <c r="R1937" s="10" t="s">
        <v>33</v>
      </c>
      <c r="S1937" s="10" t="s">
        <v>60</v>
      </c>
      <c r="T1937" s="13">
        <v>2.1728999999999998</v>
      </c>
      <c r="U1937" s="14">
        <v>177</v>
      </c>
      <c r="V1937" s="14">
        <v>2024</v>
      </c>
      <c r="W1937" s="10" t="s">
        <v>89</v>
      </c>
    </row>
    <row r="1938" spans="1:23" s="9" customFormat="1" ht="15.75" hidden="1" customHeight="1" x14ac:dyDescent="0.25">
      <c r="A1938" s="4" t="s">
        <v>5872</v>
      </c>
      <c r="B1938" s="4" t="s">
        <v>5873</v>
      </c>
      <c r="C1938" s="4" t="s">
        <v>5874</v>
      </c>
      <c r="D1938" s="22" t="s">
        <v>6087</v>
      </c>
      <c r="E1938" s="4" t="s">
        <v>51</v>
      </c>
      <c r="F1938" s="4" t="s">
        <v>27</v>
      </c>
      <c r="G1938" s="4" t="s">
        <v>57</v>
      </c>
      <c r="H1938" s="4" t="s">
        <v>29</v>
      </c>
      <c r="I1938" s="5">
        <v>45115</v>
      </c>
      <c r="J1938" s="4" t="s">
        <v>30</v>
      </c>
      <c r="K1938" s="5">
        <v>45339</v>
      </c>
      <c r="L1938" s="4" t="s">
        <v>66</v>
      </c>
      <c r="M1938" s="6">
        <v>28371</v>
      </c>
      <c r="N1938" s="6">
        <v>4992</v>
      </c>
      <c r="O1938" s="4" t="s">
        <v>32</v>
      </c>
      <c r="P1938" s="4" t="s">
        <v>32</v>
      </c>
      <c r="Q1938" s="4" t="s">
        <v>94</v>
      </c>
      <c r="R1938" s="4" t="s">
        <v>94</v>
      </c>
      <c r="S1938" s="4" t="s">
        <v>60</v>
      </c>
      <c r="T1938" s="7">
        <v>5.6833</v>
      </c>
      <c r="U1938" s="8">
        <v>224</v>
      </c>
      <c r="V1938" s="8">
        <v>2024</v>
      </c>
      <c r="W1938" s="4" t="s">
        <v>35</v>
      </c>
    </row>
    <row r="1939" spans="1:23" s="9" customFormat="1" ht="15.75" hidden="1" customHeight="1" x14ac:dyDescent="0.25">
      <c r="A1939" s="10" t="s">
        <v>5875</v>
      </c>
      <c r="B1939" s="10" t="s">
        <v>5876</v>
      </c>
      <c r="C1939" s="10" t="s">
        <v>5877</v>
      </c>
      <c r="D1939" s="22" t="s">
        <v>6087</v>
      </c>
      <c r="E1939" s="10" t="s">
        <v>51</v>
      </c>
      <c r="F1939" s="10" t="s">
        <v>46</v>
      </c>
      <c r="G1939" s="10" t="s">
        <v>57</v>
      </c>
      <c r="H1939" s="10" t="s">
        <v>58</v>
      </c>
      <c r="I1939" s="11">
        <v>45276</v>
      </c>
      <c r="J1939" s="10" t="s">
        <v>40</v>
      </c>
      <c r="K1939" s="11">
        <v>45624</v>
      </c>
      <c r="L1939" s="10" t="s">
        <v>59</v>
      </c>
      <c r="M1939" s="12">
        <v>17929</v>
      </c>
      <c r="N1939" s="12">
        <v>5485</v>
      </c>
      <c r="O1939" s="10">
        <v>14</v>
      </c>
      <c r="P1939" s="11">
        <v>45638</v>
      </c>
      <c r="Q1939" s="10" t="s">
        <v>33</v>
      </c>
      <c r="R1939" s="10" t="s">
        <v>33</v>
      </c>
      <c r="S1939" s="10" t="s">
        <v>60</v>
      </c>
      <c r="T1939" s="13">
        <v>3.2686999999999999</v>
      </c>
      <c r="U1939" s="14">
        <v>348</v>
      </c>
      <c r="V1939" s="14">
        <v>2024</v>
      </c>
      <c r="W1939" s="10" t="s">
        <v>61</v>
      </c>
    </row>
    <row r="1940" spans="1:23" s="9" customFormat="1" ht="15.75" hidden="1" customHeight="1" x14ac:dyDescent="0.25">
      <c r="A1940" s="4" t="s">
        <v>5878</v>
      </c>
      <c r="B1940" s="4" t="s">
        <v>5879</v>
      </c>
      <c r="C1940" s="4" t="s">
        <v>5880</v>
      </c>
      <c r="D1940" s="22" t="s">
        <v>6090</v>
      </c>
      <c r="E1940" s="4" t="s">
        <v>26</v>
      </c>
      <c r="F1940" s="4" t="s">
        <v>46</v>
      </c>
      <c r="G1940" s="4" t="s">
        <v>28</v>
      </c>
      <c r="H1940" s="4" t="s">
        <v>93</v>
      </c>
      <c r="I1940" s="5">
        <v>45503</v>
      </c>
      <c r="J1940" s="4" t="s">
        <v>40</v>
      </c>
      <c r="K1940" s="5">
        <v>45572</v>
      </c>
      <c r="L1940" s="4" t="s">
        <v>66</v>
      </c>
      <c r="M1940" s="6">
        <v>44855</v>
      </c>
      <c r="N1940" s="6">
        <v>7564</v>
      </c>
      <c r="O1940" s="4" t="s">
        <v>32</v>
      </c>
      <c r="P1940" s="4" t="s">
        <v>32</v>
      </c>
      <c r="Q1940" s="4" t="s">
        <v>33</v>
      </c>
      <c r="R1940" s="4" t="s">
        <v>33</v>
      </c>
      <c r="S1940" s="4" t="s">
        <v>41</v>
      </c>
      <c r="T1940" s="7">
        <v>5.9301000000000004</v>
      </c>
      <c r="U1940" s="8">
        <v>69</v>
      </c>
      <c r="V1940" s="8">
        <v>2024</v>
      </c>
      <c r="W1940" s="4" t="s">
        <v>95</v>
      </c>
    </row>
    <row r="1941" spans="1:23" s="9" customFormat="1" ht="15.75" hidden="1" customHeight="1" x14ac:dyDescent="0.25">
      <c r="A1941" s="10" t="s">
        <v>5881</v>
      </c>
      <c r="B1941" s="10" t="s">
        <v>5882</v>
      </c>
      <c r="C1941" s="10" t="s">
        <v>5883</v>
      </c>
      <c r="D1941" s="22" t="s">
        <v>6090</v>
      </c>
      <c r="E1941" s="10" t="s">
        <v>87</v>
      </c>
      <c r="F1941" s="10" t="s">
        <v>27</v>
      </c>
      <c r="G1941" s="10" t="s">
        <v>28</v>
      </c>
      <c r="H1941" s="10" t="s">
        <v>58</v>
      </c>
      <c r="I1941" s="11">
        <v>45302</v>
      </c>
      <c r="J1941" s="10" t="s">
        <v>40</v>
      </c>
      <c r="K1941" s="11">
        <v>45544</v>
      </c>
      <c r="L1941" s="10" t="s">
        <v>59</v>
      </c>
      <c r="M1941" s="12">
        <v>13760</v>
      </c>
      <c r="N1941" s="12">
        <v>6254</v>
      </c>
      <c r="O1941" s="10">
        <v>31</v>
      </c>
      <c r="P1941" s="11">
        <v>45575</v>
      </c>
      <c r="Q1941" s="10" t="s">
        <v>33</v>
      </c>
      <c r="R1941" s="10" t="s">
        <v>33</v>
      </c>
      <c r="S1941" s="10" t="s">
        <v>34</v>
      </c>
      <c r="T1941" s="13">
        <v>2.2002000000000002</v>
      </c>
      <c r="U1941" s="14">
        <v>242</v>
      </c>
      <c r="V1941" s="14">
        <v>2024</v>
      </c>
      <c r="W1941" s="10" t="s">
        <v>168</v>
      </c>
    </row>
    <row r="1942" spans="1:23" s="9" customFormat="1" ht="15.75" hidden="1" customHeight="1" x14ac:dyDescent="0.25">
      <c r="A1942" s="4" t="s">
        <v>5884</v>
      </c>
      <c r="B1942" s="4" t="s">
        <v>5885</v>
      </c>
      <c r="C1942" s="4" t="s">
        <v>5886</v>
      </c>
      <c r="D1942" s="21" t="s">
        <v>6091</v>
      </c>
      <c r="E1942" s="4" t="s">
        <v>51</v>
      </c>
      <c r="F1942" s="4" t="s">
        <v>27</v>
      </c>
      <c r="G1942" s="4" t="s">
        <v>57</v>
      </c>
      <c r="H1942" s="4" t="s">
        <v>118</v>
      </c>
      <c r="I1942" s="5">
        <v>45443</v>
      </c>
      <c r="J1942" s="4" t="s">
        <v>30</v>
      </c>
      <c r="K1942" s="5">
        <v>45608</v>
      </c>
      <c r="L1942" s="4" t="s">
        <v>59</v>
      </c>
      <c r="M1942" s="6">
        <v>2684</v>
      </c>
      <c r="N1942" s="6">
        <v>8774</v>
      </c>
      <c r="O1942" s="4">
        <v>43</v>
      </c>
      <c r="P1942" s="5">
        <v>45651</v>
      </c>
      <c r="Q1942" s="4" t="s">
        <v>33</v>
      </c>
      <c r="R1942" s="4" t="s">
        <v>33</v>
      </c>
      <c r="S1942" s="4" t="s">
        <v>41</v>
      </c>
      <c r="T1942" s="7">
        <v>0.30590000000000001</v>
      </c>
      <c r="U1942" s="8">
        <v>165</v>
      </c>
      <c r="V1942" s="8">
        <v>2024</v>
      </c>
      <c r="W1942" s="4" t="s">
        <v>61</v>
      </c>
    </row>
    <row r="1943" spans="1:23" s="9" customFormat="1" ht="15.75" hidden="1" customHeight="1" x14ac:dyDescent="0.25">
      <c r="A1943" s="10" t="s">
        <v>5887</v>
      </c>
      <c r="B1943" s="10" t="s">
        <v>5888</v>
      </c>
      <c r="C1943" s="10" t="s">
        <v>5889</v>
      </c>
      <c r="D1943" s="22" t="s">
        <v>6090</v>
      </c>
      <c r="E1943" s="10" t="s">
        <v>26</v>
      </c>
      <c r="F1943" s="10" t="s">
        <v>56</v>
      </c>
      <c r="G1943" s="10" t="s">
        <v>57</v>
      </c>
      <c r="H1943" s="10" t="s">
        <v>118</v>
      </c>
      <c r="I1943" s="11">
        <v>45146</v>
      </c>
      <c r="J1943" s="10" t="s">
        <v>30</v>
      </c>
      <c r="K1943" s="11">
        <v>45377</v>
      </c>
      <c r="L1943" s="10" t="s">
        <v>31</v>
      </c>
      <c r="M1943" s="12">
        <v>35188</v>
      </c>
      <c r="N1943" s="12">
        <v>6375</v>
      </c>
      <c r="O1943" s="10" t="s">
        <v>32</v>
      </c>
      <c r="P1943" s="10" t="s">
        <v>32</v>
      </c>
      <c r="Q1943" s="10" t="s">
        <v>33</v>
      </c>
      <c r="R1943" s="10" t="s">
        <v>33</v>
      </c>
      <c r="S1943" s="10" t="s">
        <v>41</v>
      </c>
      <c r="T1943" s="13">
        <v>5.5197000000000003</v>
      </c>
      <c r="U1943" s="14">
        <v>231</v>
      </c>
      <c r="V1943" s="14">
        <v>2024</v>
      </c>
      <c r="W1943" s="10" t="s">
        <v>77</v>
      </c>
    </row>
    <row r="1944" spans="1:23" s="9" customFormat="1" ht="15.75" hidden="1" customHeight="1" x14ac:dyDescent="0.25">
      <c r="A1944" s="4" t="s">
        <v>5890</v>
      </c>
      <c r="B1944" s="4" t="s">
        <v>5891</v>
      </c>
      <c r="C1944" s="4" t="s">
        <v>5892</v>
      </c>
      <c r="D1944" s="22" t="s">
        <v>6090</v>
      </c>
      <c r="E1944" s="4" t="s">
        <v>87</v>
      </c>
      <c r="F1944" s="4" t="s">
        <v>56</v>
      </c>
      <c r="G1944" s="4" t="s">
        <v>28</v>
      </c>
      <c r="H1944" s="4" t="s">
        <v>39</v>
      </c>
      <c r="I1944" s="5">
        <v>45131</v>
      </c>
      <c r="J1944" s="4" t="s">
        <v>30</v>
      </c>
      <c r="K1944" s="5">
        <v>45444</v>
      </c>
      <c r="L1944" s="4" t="s">
        <v>59</v>
      </c>
      <c r="M1944" s="6">
        <v>32670</v>
      </c>
      <c r="N1944" s="6">
        <v>4872</v>
      </c>
      <c r="O1944" s="4">
        <v>28</v>
      </c>
      <c r="P1944" s="5">
        <v>45472</v>
      </c>
      <c r="Q1944" s="4" t="s">
        <v>33</v>
      </c>
      <c r="R1944" s="4" t="s">
        <v>33</v>
      </c>
      <c r="S1944" s="4" t="s">
        <v>60</v>
      </c>
      <c r="T1944" s="7">
        <v>6.7057000000000002</v>
      </c>
      <c r="U1944" s="8">
        <v>313</v>
      </c>
      <c r="V1944" s="8">
        <v>2024</v>
      </c>
      <c r="W1944" s="4" t="s">
        <v>67</v>
      </c>
    </row>
    <row r="1945" spans="1:23" s="9" customFormat="1" ht="15.75" hidden="1" customHeight="1" x14ac:dyDescent="0.25">
      <c r="A1945" s="10" t="s">
        <v>5893</v>
      </c>
      <c r="B1945" s="10" t="s">
        <v>5894</v>
      </c>
      <c r="C1945" s="10" t="s">
        <v>5895</v>
      </c>
      <c r="D1945" s="21" t="s">
        <v>6086</v>
      </c>
      <c r="E1945" s="10" t="s">
        <v>26</v>
      </c>
      <c r="F1945" s="10" t="s">
        <v>46</v>
      </c>
      <c r="G1945" s="10" t="s">
        <v>5</v>
      </c>
      <c r="H1945" s="10" t="s">
        <v>88</v>
      </c>
      <c r="I1945" s="11">
        <v>44973</v>
      </c>
      <c r="J1945" s="10" t="s">
        <v>40</v>
      </c>
      <c r="K1945" s="11">
        <v>45328</v>
      </c>
      <c r="L1945" s="10" t="s">
        <v>31</v>
      </c>
      <c r="M1945" s="12">
        <v>55474</v>
      </c>
      <c r="N1945" s="12">
        <v>6246</v>
      </c>
      <c r="O1945" s="10" t="s">
        <v>32</v>
      </c>
      <c r="P1945" s="10" t="s">
        <v>32</v>
      </c>
      <c r="Q1945" s="10" t="s">
        <v>33</v>
      </c>
      <c r="R1945" s="10" t="s">
        <v>33</v>
      </c>
      <c r="S1945" s="10" t="s">
        <v>60</v>
      </c>
      <c r="T1945" s="13">
        <v>8.8815000000000008</v>
      </c>
      <c r="U1945" s="14">
        <v>355</v>
      </c>
      <c r="V1945" s="14">
        <v>2024</v>
      </c>
      <c r="W1945" s="10" t="s">
        <v>35</v>
      </c>
    </row>
    <row r="1946" spans="1:23" s="9" customFormat="1" ht="15.75" hidden="1" customHeight="1" x14ac:dyDescent="0.25">
      <c r="A1946" s="4" t="s">
        <v>5896</v>
      </c>
      <c r="B1946" s="4" t="s">
        <v>5897</v>
      </c>
      <c r="C1946" s="4" t="s">
        <v>5898</v>
      </c>
      <c r="D1946" s="22" t="s">
        <v>6090</v>
      </c>
      <c r="E1946" s="4" t="s">
        <v>87</v>
      </c>
      <c r="F1946" s="4" t="s">
        <v>46</v>
      </c>
      <c r="G1946" s="4" t="s">
        <v>5</v>
      </c>
      <c r="H1946" s="4" t="s">
        <v>58</v>
      </c>
      <c r="I1946" s="5">
        <v>45121</v>
      </c>
      <c r="J1946" s="4" t="s">
        <v>30</v>
      </c>
      <c r="K1946" s="5">
        <v>45471</v>
      </c>
      <c r="L1946" s="4" t="s">
        <v>59</v>
      </c>
      <c r="M1946" s="6">
        <v>58870</v>
      </c>
      <c r="N1946" s="6">
        <v>677</v>
      </c>
      <c r="O1946" s="4">
        <v>42</v>
      </c>
      <c r="P1946" s="5">
        <v>45513</v>
      </c>
      <c r="Q1946" s="4" t="s">
        <v>33</v>
      </c>
      <c r="R1946" s="4" t="s">
        <v>33</v>
      </c>
      <c r="S1946" s="4" t="s">
        <v>34</v>
      </c>
      <c r="T1946" s="7">
        <v>86.9572</v>
      </c>
      <c r="U1946" s="8">
        <v>350</v>
      </c>
      <c r="V1946" s="8">
        <v>2024</v>
      </c>
      <c r="W1946" s="4" t="s">
        <v>67</v>
      </c>
    </row>
    <row r="1947" spans="1:23" s="9" customFormat="1" ht="15.75" hidden="1" customHeight="1" x14ac:dyDescent="0.25">
      <c r="A1947" s="10" t="s">
        <v>5899</v>
      </c>
      <c r="B1947" s="10" t="s">
        <v>5900</v>
      </c>
      <c r="C1947" s="10" t="s">
        <v>5901</v>
      </c>
      <c r="D1947" s="21" t="s">
        <v>6091</v>
      </c>
      <c r="E1947" s="10" t="s">
        <v>87</v>
      </c>
      <c r="F1947" s="10" t="s">
        <v>56</v>
      </c>
      <c r="G1947" s="10" t="s">
        <v>28</v>
      </c>
      <c r="H1947" s="10" t="s">
        <v>88</v>
      </c>
      <c r="I1947" s="11">
        <v>45299</v>
      </c>
      <c r="J1947" s="10" t="s">
        <v>40</v>
      </c>
      <c r="K1947" s="11">
        <v>45416</v>
      </c>
      <c r="L1947" s="10" t="s">
        <v>31</v>
      </c>
      <c r="M1947" s="12">
        <v>6028</v>
      </c>
      <c r="N1947" s="12">
        <v>7477</v>
      </c>
      <c r="O1947" s="10" t="s">
        <v>32</v>
      </c>
      <c r="P1947" s="10" t="s">
        <v>32</v>
      </c>
      <c r="Q1947" s="10" t="s">
        <v>33</v>
      </c>
      <c r="R1947" s="10" t="s">
        <v>33</v>
      </c>
      <c r="S1947" s="10" t="s">
        <v>41</v>
      </c>
      <c r="T1947" s="13">
        <v>0.80620000000000003</v>
      </c>
      <c r="U1947" s="14">
        <v>117</v>
      </c>
      <c r="V1947" s="14">
        <v>2024</v>
      </c>
      <c r="W1947" s="10" t="s">
        <v>52</v>
      </c>
    </row>
    <row r="1948" spans="1:23" s="9" customFormat="1" ht="15.75" hidden="1" customHeight="1" x14ac:dyDescent="0.25">
      <c r="A1948" s="4" t="s">
        <v>5902</v>
      </c>
      <c r="B1948" s="4" t="s">
        <v>5903</v>
      </c>
      <c r="C1948" s="4" t="s">
        <v>5904</v>
      </c>
      <c r="D1948" s="22" t="s">
        <v>6090</v>
      </c>
      <c r="E1948" s="4" t="s">
        <v>51</v>
      </c>
      <c r="F1948" s="4" t="s">
        <v>27</v>
      </c>
      <c r="G1948" s="4" t="s">
        <v>28</v>
      </c>
      <c r="H1948" s="4" t="s">
        <v>39</v>
      </c>
      <c r="I1948" s="5">
        <v>45171</v>
      </c>
      <c r="J1948" s="4" t="s">
        <v>40</v>
      </c>
      <c r="K1948" s="5">
        <v>45303</v>
      </c>
      <c r="L1948" s="4" t="s">
        <v>59</v>
      </c>
      <c r="M1948" s="6">
        <v>30508</v>
      </c>
      <c r="N1948" s="6">
        <v>932</v>
      </c>
      <c r="O1948" s="4">
        <v>14</v>
      </c>
      <c r="P1948" s="5">
        <v>45317</v>
      </c>
      <c r="Q1948" s="4" t="s">
        <v>33</v>
      </c>
      <c r="R1948" s="4" t="s">
        <v>33</v>
      </c>
      <c r="S1948" s="4" t="s">
        <v>34</v>
      </c>
      <c r="T1948" s="7">
        <v>32.733899999999998</v>
      </c>
      <c r="U1948" s="8">
        <v>132</v>
      </c>
      <c r="V1948" s="8">
        <v>2024</v>
      </c>
      <c r="W1948" s="4" t="s">
        <v>73</v>
      </c>
    </row>
    <row r="1949" spans="1:23" s="9" customFormat="1" ht="15.75" hidden="1" customHeight="1" x14ac:dyDescent="0.25">
      <c r="A1949" s="10" t="s">
        <v>5905</v>
      </c>
      <c r="B1949" s="10" t="s">
        <v>5906</v>
      </c>
      <c r="C1949" s="10" t="s">
        <v>5907</v>
      </c>
      <c r="D1949" s="22" t="s">
        <v>6087</v>
      </c>
      <c r="E1949" s="10" t="s">
        <v>51</v>
      </c>
      <c r="F1949" s="21" t="s">
        <v>6092</v>
      </c>
      <c r="G1949" s="10" t="s">
        <v>5</v>
      </c>
      <c r="H1949" s="10" t="s">
        <v>29</v>
      </c>
      <c r="I1949" s="11">
        <v>45225</v>
      </c>
      <c r="J1949" s="10" t="s">
        <v>40</v>
      </c>
      <c r="K1949" s="11">
        <v>45487</v>
      </c>
      <c r="L1949" s="10" t="s">
        <v>59</v>
      </c>
      <c r="M1949" s="12">
        <v>35856</v>
      </c>
      <c r="N1949" s="12">
        <v>6286</v>
      </c>
      <c r="O1949" s="10">
        <v>26</v>
      </c>
      <c r="P1949" s="11">
        <v>45513</v>
      </c>
      <c r="Q1949" s="10" t="s">
        <v>33</v>
      </c>
      <c r="R1949" s="10" t="s">
        <v>33</v>
      </c>
      <c r="S1949" s="10" t="s">
        <v>34</v>
      </c>
      <c r="T1949" s="13">
        <v>5.7041000000000004</v>
      </c>
      <c r="U1949" s="14">
        <v>262</v>
      </c>
      <c r="V1949" s="14">
        <v>2024</v>
      </c>
      <c r="W1949" s="10" t="s">
        <v>42</v>
      </c>
    </row>
    <row r="1950" spans="1:23" s="9" customFormat="1" ht="15.75" hidden="1" customHeight="1" x14ac:dyDescent="0.25">
      <c r="A1950" s="4" t="s">
        <v>5908</v>
      </c>
      <c r="B1950" s="4" t="s">
        <v>5909</v>
      </c>
      <c r="C1950" s="4" t="s">
        <v>5910</v>
      </c>
      <c r="D1950" s="22" t="s">
        <v>6090</v>
      </c>
      <c r="E1950" s="4" t="s">
        <v>26</v>
      </c>
      <c r="F1950" s="4" t="s">
        <v>27</v>
      </c>
      <c r="G1950" s="4" t="s">
        <v>28</v>
      </c>
      <c r="H1950" s="4" t="s">
        <v>39</v>
      </c>
      <c r="I1950" s="5">
        <v>45343</v>
      </c>
      <c r="J1950" s="4" t="s">
        <v>30</v>
      </c>
      <c r="K1950" s="5">
        <v>45651</v>
      </c>
      <c r="L1950" s="4" t="s">
        <v>59</v>
      </c>
      <c r="M1950" s="6">
        <v>42655</v>
      </c>
      <c r="N1950" s="6">
        <v>3550</v>
      </c>
      <c r="O1950" s="4">
        <v>6</v>
      </c>
      <c r="P1950" s="5">
        <v>45657</v>
      </c>
      <c r="Q1950" s="4" t="s">
        <v>33</v>
      </c>
      <c r="R1950" s="4" t="s">
        <v>33</v>
      </c>
      <c r="S1950" s="4" t="s">
        <v>41</v>
      </c>
      <c r="T1950" s="7">
        <v>12.015499999999999</v>
      </c>
      <c r="U1950" s="8">
        <v>308</v>
      </c>
      <c r="V1950" s="8">
        <v>2024</v>
      </c>
      <c r="W1950" s="4" t="s">
        <v>89</v>
      </c>
    </row>
    <row r="1951" spans="1:23" s="9" customFormat="1" ht="15.75" hidden="1" customHeight="1" x14ac:dyDescent="0.25">
      <c r="A1951" s="10" t="s">
        <v>5911</v>
      </c>
      <c r="B1951" s="10" t="s">
        <v>5912</v>
      </c>
      <c r="C1951" s="10" t="s">
        <v>5913</v>
      </c>
      <c r="D1951" s="22" t="s">
        <v>6090</v>
      </c>
      <c r="E1951" s="10" t="s">
        <v>26</v>
      </c>
      <c r="F1951" s="10" t="s">
        <v>56</v>
      </c>
      <c r="G1951" s="10" t="s">
        <v>5</v>
      </c>
      <c r="H1951" s="10" t="s">
        <v>161</v>
      </c>
      <c r="I1951" s="11">
        <v>45173</v>
      </c>
      <c r="J1951" s="10" t="s">
        <v>30</v>
      </c>
      <c r="K1951" s="11">
        <v>45394</v>
      </c>
      <c r="L1951" s="10" t="s">
        <v>31</v>
      </c>
      <c r="M1951" s="12">
        <v>47717</v>
      </c>
      <c r="N1951" s="12">
        <v>1962</v>
      </c>
      <c r="O1951" s="10" t="s">
        <v>32</v>
      </c>
      <c r="P1951" s="10" t="s">
        <v>32</v>
      </c>
      <c r="Q1951" s="10" t="s">
        <v>94</v>
      </c>
      <c r="R1951" s="10" t="s">
        <v>33</v>
      </c>
      <c r="S1951" s="10" t="s">
        <v>41</v>
      </c>
      <c r="T1951" s="13">
        <v>24.320599999999999</v>
      </c>
      <c r="U1951" s="14">
        <v>221</v>
      </c>
      <c r="V1951" s="14">
        <v>2024</v>
      </c>
      <c r="W1951" s="10" t="s">
        <v>47</v>
      </c>
    </row>
    <row r="1952" spans="1:23" s="9" customFormat="1" ht="15.75" hidden="1" customHeight="1" x14ac:dyDescent="0.25">
      <c r="A1952" s="4" t="s">
        <v>5914</v>
      </c>
      <c r="B1952" s="4" t="s">
        <v>5915</v>
      </c>
      <c r="C1952" s="4" t="s">
        <v>5916</v>
      </c>
      <c r="D1952" s="21" t="s">
        <v>6088</v>
      </c>
      <c r="E1952" s="4" t="s">
        <v>87</v>
      </c>
      <c r="F1952" s="4" t="s">
        <v>27</v>
      </c>
      <c r="G1952" s="4" t="s">
        <v>28</v>
      </c>
      <c r="H1952" s="4" t="s">
        <v>161</v>
      </c>
      <c r="I1952" s="5">
        <v>45548</v>
      </c>
      <c r="J1952" s="4" t="s">
        <v>30</v>
      </c>
      <c r="K1952" s="5">
        <v>45613</v>
      </c>
      <c r="L1952" s="4" t="s">
        <v>31</v>
      </c>
      <c r="M1952" s="6">
        <v>56071</v>
      </c>
      <c r="N1952" s="6">
        <v>6281</v>
      </c>
      <c r="O1952" s="4" t="s">
        <v>32</v>
      </c>
      <c r="P1952" s="4" t="s">
        <v>32</v>
      </c>
      <c r="Q1952" s="4" t="s">
        <v>33</v>
      </c>
      <c r="R1952" s="4" t="s">
        <v>33</v>
      </c>
      <c r="S1952" s="4" t="s">
        <v>34</v>
      </c>
      <c r="T1952" s="7">
        <v>8.9270999999999994</v>
      </c>
      <c r="U1952" s="8">
        <v>65</v>
      </c>
      <c r="V1952" s="8">
        <v>2024</v>
      </c>
      <c r="W1952" s="4" t="s">
        <v>61</v>
      </c>
    </row>
    <row r="1953" spans="1:23" s="9" customFormat="1" ht="15.75" hidden="1" customHeight="1" x14ac:dyDescent="0.25">
      <c r="A1953" s="10" t="s">
        <v>5917</v>
      </c>
      <c r="B1953" s="10" t="s">
        <v>5918</v>
      </c>
      <c r="C1953" s="10" t="s">
        <v>5919</v>
      </c>
      <c r="D1953" s="21" t="s">
        <v>6091</v>
      </c>
      <c r="E1953" s="10" t="s">
        <v>51</v>
      </c>
      <c r="F1953" s="10" t="s">
        <v>71</v>
      </c>
      <c r="G1953" s="10" t="s">
        <v>28</v>
      </c>
      <c r="H1953" s="10" t="s">
        <v>161</v>
      </c>
      <c r="I1953" s="11">
        <v>45037</v>
      </c>
      <c r="J1953" s="10" t="s">
        <v>30</v>
      </c>
      <c r="K1953" s="11">
        <v>45385</v>
      </c>
      <c r="L1953" s="10" t="s">
        <v>66</v>
      </c>
      <c r="M1953" s="12">
        <v>14443</v>
      </c>
      <c r="N1953" s="12">
        <v>4902</v>
      </c>
      <c r="O1953" s="10" t="s">
        <v>32</v>
      </c>
      <c r="P1953" s="10" t="s">
        <v>32</v>
      </c>
      <c r="Q1953" s="10" t="s">
        <v>33</v>
      </c>
      <c r="R1953" s="10" t="s">
        <v>33</v>
      </c>
      <c r="S1953" s="10" t="s">
        <v>41</v>
      </c>
      <c r="T1953" s="13">
        <v>2.9462999999999999</v>
      </c>
      <c r="U1953" s="14">
        <v>348</v>
      </c>
      <c r="V1953" s="14">
        <v>2024</v>
      </c>
      <c r="W1953" s="10" t="s">
        <v>47</v>
      </c>
    </row>
    <row r="1954" spans="1:23" s="9" customFormat="1" ht="15.75" hidden="1" customHeight="1" x14ac:dyDescent="0.25">
      <c r="A1954" s="4" t="s">
        <v>5920</v>
      </c>
      <c r="B1954" s="4" t="s">
        <v>5921</v>
      </c>
      <c r="C1954" s="4" t="s">
        <v>5922</v>
      </c>
      <c r="D1954" s="22" t="s">
        <v>6090</v>
      </c>
      <c r="E1954" s="4" t="s">
        <v>51</v>
      </c>
      <c r="F1954" s="4" t="s">
        <v>56</v>
      </c>
      <c r="G1954" s="4" t="s">
        <v>57</v>
      </c>
      <c r="H1954" s="4" t="s">
        <v>29</v>
      </c>
      <c r="I1954" s="5">
        <v>45272</v>
      </c>
      <c r="J1954" s="4" t="s">
        <v>30</v>
      </c>
      <c r="K1954" s="5">
        <v>45590</v>
      </c>
      <c r="L1954" s="4" t="s">
        <v>31</v>
      </c>
      <c r="M1954" s="6">
        <v>11840</v>
      </c>
      <c r="N1954" s="6">
        <v>2920</v>
      </c>
      <c r="O1954" s="4" t="s">
        <v>32</v>
      </c>
      <c r="P1954" s="4" t="s">
        <v>32</v>
      </c>
      <c r="Q1954" s="4" t="s">
        <v>33</v>
      </c>
      <c r="R1954" s="4" t="s">
        <v>33</v>
      </c>
      <c r="S1954" s="4" t="s">
        <v>41</v>
      </c>
      <c r="T1954" s="7">
        <v>4.0548000000000002</v>
      </c>
      <c r="U1954" s="8">
        <v>318</v>
      </c>
      <c r="V1954" s="8">
        <v>2024</v>
      </c>
      <c r="W1954" s="4" t="s">
        <v>95</v>
      </c>
    </row>
    <row r="1955" spans="1:23" s="9" customFormat="1" ht="15.75" hidden="1" customHeight="1" x14ac:dyDescent="0.25">
      <c r="A1955" s="10" t="s">
        <v>5923</v>
      </c>
      <c r="B1955" s="10" t="s">
        <v>5924</v>
      </c>
      <c r="C1955" s="10" t="s">
        <v>5925</v>
      </c>
      <c r="D1955" s="22" t="s">
        <v>6090</v>
      </c>
      <c r="E1955" s="10" t="s">
        <v>26</v>
      </c>
      <c r="F1955" s="10" t="s">
        <v>56</v>
      </c>
      <c r="G1955" s="10" t="s">
        <v>57</v>
      </c>
      <c r="H1955" s="10" t="s">
        <v>118</v>
      </c>
      <c r="I1955" s="11">
        <v>45197</v>
      </c>
      <c r="J1955" s="10" t="s">
        <v>30</v>
      </c>
      <c r="K1955" s="11">
        <v>45392</v>
      </c>
      <c r="L1955" s="10" t="s">
        <v>59</v>
      </c>
      <c r="M1955" s="12">
        <v>52721</v>
      </c>
      <c r="N1955" s="12">
        <v>7386</v>
      </c>
      <c r="O1955" s="10">
        <v>10</v>
      </c>
      <c r="P1955" s="11">
        <v>45402</v>
      </c>
      <c r="Q1955" s="10" t="s">
        <v>33</v>
      </c>
      <c r="R1955" s="10" t="s">
        <v>33</v>
      </c>
      <c r="S1955" s="10" t="s">
        <v>60</v>
      </c>
      <c r="T1955" s="13">
        <v>7.1379999999999999</v>
      </c>
      <c r="U1955" s="14">
        <v>195</v>
      </c>
      <c r="V1955" s="14">
        <v>2024</v>
      </c>
      <c r="W1955" s="10" t="s">
        <v>47</v>
      </c>
    </row>
    <row r="1956" spans="1:23" s="9" customFormat="1" ht="15.75" hidden="1" customHeight="1" x14ac:dyDescent="0.25">
      <c r="A1956" s="4" t="s">
        <v>5926</v>
      </c>
      <c r="B1956" s="4" t="s">
        <v>5927</v>
      </c>
      <c r="C1956" s="4" t="s">
        <v>5928</v>
      </c>
      <c r="D1956" s="22" t="s">
        <v>6087</v>
      </c>
      <c r="E1956" s="4" t="s">
        <v>26</v>
      </c>
      <c r="F1956" s="21" t="s">
        <v>6092</v>
      </c>
      <c r="G1956" s="4" t="s">
        <v>5</v>
      </c>
      <c r="H1956" s="4" t="s">
        <v>93</v>
      </c>
      <c r="I1956" s="5">
        <v>45286</v>
      </c>
      <c r="J1956" s="4" t="s">
        <v>40</v>
      </c>
      <c r="K1956" s="5">
        <v>45322</v>
      </c>
      <c r="L1956" s="4" t="s">
        <v>59</v>
      </c>
      <c r="M1956" s="6">
        <v>3175</v>
      </c>
      <c r="N1956" s="6">
        <v>6570</v>
      </c>
      <c r="O1956" s="4">
        <v>17</v>
      </c>
      <c r="P1956" s="5">
        <v>45339</v>
      </c>
      <c r="Q1956" s="4" t="s">
        <v>94</v>
      </c>
      <c r="R1956" s="4" t="s">
        <v>33</v>
      </c>
      <c r="S1956" s="4" t="s">
        <v>60</v>
      </c>
      <c r="T1956" s="7">
        <v>0.48330000000000001</v>
      </c>
      <c r="U1956" s="8">
        <v>36</v>
      </c>
      <c r="V1956" s="8">
        <v>2024</v>
      </c>
      <c r="W1956" s="4" t="s">
        <v>73</v>
      </c>
    </row>
    <row r="1957" spans="1:23" s="9" customFormat="1" ht="15.75" hidden="1" customHeight="1" x14ac:dyDescent="0.25">
      <c r="A1957" s="10" t="s">
        <v>5929</v>
      </c>
      <c r="B1957" s="10" t="s">
        <v>5930</v>
      </c>
      <c r="C1957" s="10" t="s">
        <v>5931</v>
      </c>
      <c r="D1957" s="22" t="s">
        <v>6090</v>
      </c>
      <c r="E1957" s="10" t="s">
        <v>51</v>
      </c>
      <c r="F1957" s="10" t="s">
        <v>71</v>
      </c>
      <c r="G1957" s="10" t="s">
        <v>57</v>
      </c>
      <c r="H1957" s="10" t="s">
        <v>29</v>
      </c>
      <c r="I1957" s="11">
        <v>45447</v>
      </c>
      <c r="J1957" s="10" t="s">
        <v>40</v>
      </c>
      <c r="K1957" s="11">
        <v>45492</v>
      </c>
      <c r="L1957" s="10" t="s">
        <v>59</v>
      </c>
      <c r="M1957" s="12">
        <v>22793</v>
      </c>
      <c r="N1957" s="12">
        <v>1411</v>
      </c>
      <c r="O1957" s="10">
        <v>43</v>
      </c>
      <c r="P1957" s="11">
        <v>45535</v>
      </c>
      <c r="Q1957" s="10" t="s">
        <v>33</v>
      </c>
      <c r="R1957" s="10" t="s">
        <v>33</v>
      </c>
      <c r="S1957" s="10" t="s">
        <v>41</v>
      </c>
      <c r="T1957" s="13">
        <v>16.1538</v>
      </c>
      <c r="U1957" s="14">
        <v>45</v>
      </c>
      <c r="V1957" s="14">
        <v>2024</v>
      </c>
      <c r="W1957" s="10" t="s">
        <v>42</v>
      </c>
    </row>
    <row r="1958" spans="1:23" s="9" customFormat="1" ht="15.75" hidden="1" customHeight="1" x14ac:dyDescent="0.25">
      <c r="A1958" s="4" t="s">
        <v>5932</v>
      </c>
      <c r="B1958" s="4" t="s">
        <v>5933</v>
      </c>
      <c r="C1958" s="4" t="s">
        <v>5934</v>
      </c>
      <c r="D1958" s="21" t="s">
        <v>6086</v>
      </c>
      <c r="E1958" s="4" t="s">
        <v>51</v>
      </c>
      <c r="F1958" s="4" t="s">
        <v>56</v>
      </c>
      <c r="G1958" s="4" t="s">
        <v>57</v>
      </c>
      <c r="H1958" s="4" t="s">
        <v>58</v>
      </c>
      <c r="I1958" s="5">
        <v>45146</v>
      </c>
      <c r="J1958" s="4" t="s">
        <v>40</v>
      </c>
      <c r="K1958" s="5">
        <v>45483</v>
      </c>
      <c r="L1958" s="4" t="s">
        <v>59</v>
      </c>
      <c r="M1958" s="6">
        <v>61323</v>
      </c>
      <c r="N1958" s="6">
        <v>5979</v>
      </c>
      <c r="O1958" s="4">
        <v>28</v>
      </c>
      <c r="P1958" s="5">
        <v>45511</v>
      </c>
      <c r="Q1958" s="4" t="s">
        <v>33</v>
      </c>
      <c r="R1958" s="4" t="s">
        <v>33</v>
      </c>
      <c r="S1958" s="4" t="s">
        <v>41</v>
      </c>
      <c r="T1958" s="7">
        <v>10.256399999999999</v>
      </c>
      <c r="U1958" s="8">
        <v>337</v>
      </c>
      <c r="V1958" s="8">
        <v>2024</v>
      </c>
      <c r="W1958" s="4" t="s">
        <v>42</v>
      </c>
    </row>
    <row r="1959" spans="1:23" s="9" customFormat="1" ht="15.75" hidden="1" customHeight="1" x14ac:dyDescent="0.25">
      <c r="A1959" s="10" t="s">
        <v>5935</v>
      </c>
      <c r="B1959" s="10" t="s">
        <v>5936</v>
      </c>
      <c r="C1959" s="10" t="s">
        <v>5937</v>
      </c>
      <c r="D1959" s="22" t="s">
        <v>6087</v>
      </c>
      <c r="E1959" s="10" t="s">
        <v>26</v>
      </c>
      <c r="F1959" s="10" t="s">
        <v>65</v>
      </c>
      <c r="G1959" s="10" t="s">
        <v>28</v>
      </c>
      <c r="H1959" s="10" t="s">
        <v>88</v>
      </c>
      <c r="I1959" s="11">
        <v>45609</v>
      </c>
      <c r="J1959" s="10" t="s">
        <v>30</v>
      </c>
      <c r="K1959" s="11">
        <v>45639</v>
      </c>
      <c r="L1959" s="10" t="s">
        <v>59</v>
      </c>
      <c r="M1959" s="12">
        <v>39034</v>
      </c>
      <c r="N1959" s="12">
        <v>4407</v>
      </c>
      <c r="O1959" s="10">
        <v>19</v>
      </c>
      <c r="P1959" s="11">
        <v>45658</v>
      </c>
      <c r="Q1959" s="10" t="s">
        <v>94</v>
      </c>
      <c r="R1959" s="10" t="s">
        <v>33</v>
      </c>
      <c r="S1959" s="10" t="s">
        <v>41</v>
      </c>
      <c r="T1959" s="13">
        <v>8.8573000000000004</v>
      </c>
      <c r="U1959" s="14">
        <v>30</v>
      </c>
      <c r="V1959" s="14">
        <v>2024</v>
      </c>
      <c r="W1959" s="10" t="s">
        <v>89</v>
      </c>
    </row>
    <row r="1960" spans="1:23" s="9" customFormat="1" ht="15.75" hidden="1" customHeight="1" x14ac:dyDescent="0.25">
      <c r="A1960" s="4" t="s">
        <v>5938</v>
      </c>
      <c r="B1960" s="4" t="s">
        <v>5939</v>
      </c>
      <c r="C1960" s="4" t="s">
        <v>5940</v>
      </c>
      <c r="D1960" s="21" t="s">
        <v>6089</v>
      </c>
      <c r="E1960" s="4" t="s">
        <v>26</v>
      </c>
      <c r="F1960" s="4" t="s">
        <v>65</v>
      </c>
      <c r="G1960" s="4" t="s">
        <v>28</v>
      </c>
      <c r="H1960" s="4" t="s">
        <v>93</v>
      </c>
      <c r="I1960" s="5">
        <v>45413</v>
      </c>
      <c r="J1960" s="4" t="s">
        <v>30</v>
      </c>
      <c r="K1960" s="5">
        <v>45481</v>
      </c>
      <c r="L1960" s="4" t="s">
        <v>59</v>
      </c>
      <c r="M1960" s="6">
        <v>17296</v>
      </c>
      <c r="N1960" s="6">
        <v>1615</v>
      </c>
      <c r="O1960" s="4">
        <v>45</v>
      </c>
      <c r="P1960" s="5">
        <v>45526</v>
      </c>
      <c r="Q1960" s="4" t="s">
        <v>94</v>
      </c>
      <c r="R1960" s="4" t="s">
        <v>94</v>
      </c>
      <c r="S1960" s="4" t="s">
        <v>34</v>
      </c>
      <c r="T1960" s="7">
        <v>10.7096</v>
      </c>
      <c r="U1960" s="8">
        <v>68</v>
      </c>
      <c r="V1960" s="8">
        <v>2024</v>
      </c>
      <c r="W1960" s="4" t="s">
        <v>42</v>
      </c>
    </row>
    <row r="1961" spans="1:23" s="9" customFormat="1" ht="15.75" hidden="1" customHeight="1" x14ac:dyDescent="0.25">
      <c r="A1961" s="10" t="s">
        <v>5941</v>
      </c>
      <c r="B1961" s="10" t="s">
        <v>5942</v>
      </c>
      <c r="C1961" s="10" t="s">
        <v>5943</v>
      </c>
      <c r="D1961" s="22" t="s">
        <v>6090</v>
      </c>
      <c r="E1961" s="10" t="s">
        <v>26</v>
      </c>
      <c r="F1961" s="10" t="s">
        <v>46</v>
      </c>
      <c r="G1961" s="10" t="s">
        <v>5</v>
      </c>
      <c r="H1961" s="10" t="s">
        <v>72</v>
      </c>
      <c r="I1961" s="11">
        <v>45326</v>
      </c>
      <c r="J1961" s="10" t="s">
        <v>30</v>
      </c>
      <c r="K1961" s="11">
        <v>45621</v>
      </c>
      <c r="L1961" s="10" t="s">
        <v>59</v>
      </c>
      <c r="M1961" s="12">
        <v>47049</v>
      </c>
      <c r="N1961" s="12">
        <v>6414</v>
      </c>
      <c r="O1961" s="10">
        <v>30</v>
      </c>
      <c r="P1961" s="11">
        <v>45651</v>
      </c>
      <c r="Q1961" s="10" t="s">
        <v>33</v>
      </c>
      <c r="R1961" s="10" t="s">
        <v>33</v>
      </c>
      <c r="S1961" s="10" t="s">
        <v>41</v>
      </c>
      <c r="T1961" s="13">
        <v>7.3353999999999999</v>
      </c>
      <c r="U1961" s="14">
        <v>295</v>
      </c>
      <c r="V1961" s="14">
        <v>2024</v>
      </c>
      <c r="W1961" s="10" t="s">
        <v>61</v>
      </c>
    </row>
    <row r="1962" spans="1:23" s="9" customFormat="1" ht="15.75" hidden="1" customHeight="1" x14ac:dyDescent="0.25">
      <c r="A1962" s="4" t="s">
        <v>5944</v>
      </c>
      <c r="B1962" s="4" t="s">
        <v>5945</v>
      </c>
      <c r="C1962" s="4" t="s">
        <v>5946</v>
      </c>
      <c r="D1962" s="22" t="s">
        <v>6090</v>
      </c>
      <c r="E1962" s="4" t="s">
        <v>51</v>
      </c>
      <c r="F1962" s="4" t="s">
        <v>71</v>
      </c>
      <c r="G1962" s="4" t="s">
        <v>28</v>
      </c>
      <c r="H1962" s="4" t="s">
        <v>72</v>
      </c>
      <c r="I1962" s="5">
        <v>45413</v>
      </c>
      <c r="J1962" s="4" t="s">
        <v>30</v>
      </c>
      <c r="K1962" s="5">
        <v>45516</v>
      </c>
      <c r="L1962" s="4" t="s">
        <v>59</v>
      </c>
      <c r="M1962" s="6">
        <v>42927</v>
      </c>
      <c r="N1962" s="6">
        <v>8159</v>
      </c>
      <c r="O1962" s="4">
        <v>29</v>
      </c>
      <c r="P1962" s="5">
        <v>45545</v>
      </c>
      <c r="Q1962" s="4" t="s">
        <v>33</v>
      </c>
      <c r="R1962" s="4" t="s">
        <v>33</v>
      </c>
      <c r="S1962" s="4" t="s">
        <v>41</v>
      </c>
      <c r="T1962" s="7">
        <v>5.2613000000000003</v>
      </c>
      <c r="U1962" s="8">
        <v>103</v>
      </c>
      <c r="V1962" s="8">
        <v>2024</v>
      </c>
      <c r="W1962" s="4" t="s">
        <v>114</v>
      </c>
    </row>
    <row r="1963" spans="1:23" s="9" customFormat="1" ht="15.75" hidden="1" customHeight="1" x14ac:dyDescent="0.25">
      <c r="A1963" s="10" t="s">
        <v>5947</v>
      </c>
      <c r="B1963" s="10" t="s">
        <v>5948</v>
      </c>
      <c r="C1963" s="10" t="s">
        <v>5949</v>
      </c>
      <c r="D1963" s="21" t="s">
        <v>6089</v>
      </c>
      <c r="E1963" s="10" t="s">
        <v>51</v>
      </c>
      <c r="F1963" s="10" t="s">
        <v>65</v>
      </c>
      <c r="G1963" s="10" t="s">
        <v>28</v>
      </c>
      <c r="H1963" s="10" t="s">
        <v>118</v>
      </c>
      <c r="I1963" s="11">
        <v>45369</v>
      </c>
      <c r="J1963" s="10" t="s">
        <v>40</v>
      </c>
      <c r="K1963" s="11">
        <v>45462</v>
      </c>
      <c r="L1963" s="10" t="s">
        <v>31</v>
      </c>
      <c r="M1963" s="12">
        <v>54730</v>
      </c>
      <c r="N1963" s="12">
        <v>4118</v>
      </c>
      <c r="O1963" s="10" t="s">
        <v>32</v>
      </c>
      <c r="P1963" s="10" t="s">
        <v>32</v>
      </c>
      <c r="Q1963" s="10" t="s">
        <v>33</v>
      </c>
      <c r="R1963" s="10" t="s">
        <v>33</v>
      </c>
      <c r="S1963" s="10" t="s">
        <v>41</v>
      </c>
      <c r="T1963" s="13">
        <v>13.2904</v>
      </c>
      <c r="U1963" s="14">
        <v>93</v>
      </c>
      <c r="V1963" s="14">
        <v>2024</v>
      </c>
      <c r="W1963" s="10" t="s">
        <v>67</v>
      </c>
    </row>
    <row r="1964" spans="1:23" s="9" customFormat="1" ht="15.75" hidden="1" customHeight="1" x14ac:dyDescent="0.25">
      <c r="A1964" s="4" t="s">
        <v>5950</v>
      </c>
      <c r="B1964" s="4" t="s">
        <v>5951</v>
      </c>
      <c r="C1964" s="4" t="s">
        <v>5952</v>
      </c>
      <c r="D1964" s="22" t="s">
        <v>6090</v>
      </c>
      <c r="E1964" s="4" t="s">
        <v>87</v>
      </c>
      <c r="F1964" s="21" t="s">
        <v>6092</v>
      </c>
      <c r="G1964" s="4" t="s">
        <v>28</v>
      </c>
      <c r="H1964" s="4" t="s">
        <v>58</v>
      </c>
      <c r="I1964" s="5">
        <v>45229</v>
      </c>
      <c r="J1964" s="4" t="s">
        <v>30</v>
      </c>
      <c r="K1964" s="5">
        <v>45311</v>
      </c>
      <c r="L1964" s="4" t="s">
        <v>59</v>
      </c>
      <c r="M1964" s="6">
        <v>16630</v>
      </c>
      <c r="N1964" s="6">
        <v>1344</v>
      </c>
      <c r="O1964" s="4">
        <v>12</v>
      </c>
      <c r="P1964" s="5">
        <v>45323</v>
      </c>
      <c r="Q1964" s="4" t="s">
        <v>33</v>
      </c>
      <c r="R1964" s="4" t="s">
        <v>33</v>
      </c>
      <c r="S1964" s="4" t="s">
        <v>60</v>
      </c>
      <c r="T1964" s="7">
        <v>12.3735</v>
      </c>
      <c r="U1964" s="8">
        <v>82</v>
      </c>
      <c r="V1964" s="8">
        <v>2024</v>
      </c>
      <c r="W1964" s="4" t="s">
        <v>73</v>
      </c>
    </row>
    <row r="1965" spans="1:23" s="9" customFormat="1" ht="15.75" hidden="1" customHeight="1" x14ac:dyDescent="0.25">
      <c r="A1965" s="10" t="s">
        <v>5953</v>
      </c>
      <c r="B1965" s="10" t="s">
        <v>5954</v>
      </c>
      <c r="C1965" s="10" t="s">
        <v>5955</v>
      </c>
      <c r="D1965" s="22" t="s">
        <v>6087</v>
      </c>
      <c r="E1965" s="10" t="s">
        <v>26</v>
      </c>
      <c r="F1965" s="21" t="s">
        <v>6092</v>
      </c>
      <c r="G1965" s="10" t="s">
        <v>28</v>
      </c>
      <c r="H1965" s="10" t="s">
        <v>72</v>
      </c>
      <c r="I1965" s="11">
        <v>45207</v>
      </c>
      <c r="J1965" s="10" t="s">
        <v>30</v>
      </c>
      <c r="K1965" s="11">
        <v>45382</v>
      </c>
      <c r="L1965" s="10" t="s">
        <v>59</v>
      </c>
      <c r="M1965" s="12">
        <v>13992</v>
      </c>
      <c r="N1965" s="12">
        <v>7480</v>
      </c>
      <c r="O1965" s="10">
        <v>5</v>
      </c>
      <c r="P1965" s="11">
        <v>45387</v>
      </c>
      <c r="Q1965" s="10" t="s">
        <v>33</v>
      </c>
      <c r="R1965" s="10" t="s">
        <v>33</v>
      </c>
      <c r="S1965" s="10" t="s">
        <v>60</v>
      </c>
      <c r="T1965" s="13">
        <v>1.8706</v>
      </c>
      <c r="U1965" s="14">
        <v>175</v>
      </c>
      <c r="V1965" s="14">
        <v>2024</v>
      </c>
      <c r="W1965" s="10" t="s">
        <v>77</v>
      </c>
    </row>
    <row r="1966" spans="1:23" s="9" customFormat="1" ht="15.75" hidden="1" customHeight="1" x14ac:dyDescent="0.25">
      <c r="A1966" s="4" t="s">
        <v>5956</v>
      </c>
      <c r="B1966" s="4" t="s">
        <v>5957</v>
      </c>
      <c r="C1966" s="4" t="s">
        <v>5958</v>
      </c>
      <c r="D1966" s="22" t="s">
        <v>6087</v>
      </c>
      <c r="E1966" s="4" t="s">
        <v>26</v>
      </c>
      <c r="F1966" s="4" t="s">
        <v>56</v>
      </c>
      <c r="G1966" s="4" t="s">
        <v>57</v>
      </c>
      <c r="H1966" s="4" t="s">
        <v>88</v>
      </c>
      <c r="I1966" s="5">
        <v>45192</v>
      </c>
      <c r="J1966" s="4" t="s">
        <v>40</v>
      </c>
      <c r="K1966" s="5">
        <v>45464</v>
      </c>
      <c r="L1966" s="4" t="s">
        <v>31</v>
      </c>
      <c r="M1966" s="6">
        <v>4385</v>
      </c>
      <c r="N1966" s="6">
        <v>3927</v>
      </c>
      <c r="O1966" s="4" t="s">
        <v>32</v>
      </c>
      <c r="P1966" s="4" t="s">
        <v>32</v>
      </c>
      <c r="Q1966" s="4" t="s">
        <v>33</v>
      </c>
      <c r="R1966" s="4" t="s">
        <v>33</v>
      </c>
      <c r="S1966" s="4" t="s">
        <v>41</v>
      </c>
      <c r="T1966" s="7">
        <v>1.1166</v>
      </c>
      <c r="U1966" s="8">
        <v>272</v>
      </c>
      <c r="V1966" s="8">
        <v>2024</v>
      </c>
      <c r="W1966" s="4" t="s">
        <v>67</v>
      </c>
    </row>
    <row r="1967" spans="1:23" s="9" customFormat="1" ht="15.75" hidden="1" customHeight="1" x14ac:dyDescent="0.25">
      <c r="A1967" s="10" t="s">
        <v>5959</v>
      </c>
      <c r="B1967" s="10" t="s">
        <v>5960</v>
      </c>
      <c r="C1967" s="10" t="s">
        <v>5961</v>
      </c>
      <c r="D1967" s="21" t="s">
        <v>6088</v>
      </c>
      <c r="E1967" s="10" t="s">
        <v>26</v>
      </c>
      <c r="F1967" s="10" t="s">
        <v>46</v>
      </c>
      <c r="G1967" s="10" t="s">
        <v>57</v>
      </c>
      <c r="H1967" s="10" t="s">
        <v>58</v>
      </c>
      <c r="I1967" s="11">
        <v>45404</v>
      </c>
      <c r="J1967" s="10" t="s">
        <v>40</v>
      </c>
      <c r="K1967" s="11">
        <v>45586</v>
      </c>
      <c r="L1967" s="10" t="s">
        <v>59</v>
      </c>
      <c r="M1967" s="12">
        <v>69871</v>
      </c>
      <c r="N1967" s="12">
        <v>6053</v>
      </c>
      <c r="O1967" s="10">
        <v>35</v>
      </c>
      <c r="P1967" s="11">
        <v>45621</v>
      </c>
      <c r="Q1967" s="10" t="s">
        <v>33</v>
      </c>
      <c r="R1967" s="10" t="s">
        <v>33</v>
      </c>
      <c r="S1967" s="10" t="s">
        <v>60</v>
      </c>
      <c r="T1967" s="13">
        <v>11.543200000000001</v>
      </c>
      <c r="U1967" s="14">
        <v>182</v>
      </c>
      <c r="V1967" s="14">
        <v>2024</v>
      </c>
      <c r="W1967" s="10" t="s">
        <v>95</v>
      </c>
    </row>
    <row r="1968" spans="1:23" s="9" customFormat="1" ht="27.75" customHeight="1" x14ac:dyDescent="0.25">
      <c r="A1968" s="4" t="s">
        <v>5962</v>
      </c>
      <c r="B1968" s="4" t="s">
        <v>5963</v>
      </c>
      <c r="C1968" s="4" t="s">
        <v>5964</v>
      </c>
      <c r="D1968" s="21" t="s">
        <v>6089</v>
      </c>
      <c r="E1968" s="4" t="s">
        <v>26</v>
      </c>
      <c r="F1968" s="10" t="s">
        <v>6092</v>
      </c>
      <c r="G1968" s="4" t="s">
        <v>5</v>
      </c>
      <c r="H1968" s="4" t="s">
        <v>93</v>
      </c>
      <c r="I1968" s="5">
        <v>45295</v>
      </c>
      <c r="J1968" s="4" t="s">
        <v>30</v>
      </c>
      <c r="K1968" s="5">
        <v>45582</v>
      </c>
      <c r="L1968" s="4" t="s">
        <v>59</v>
      </c>
      <c r="M1968" s="6">
        <v>64330</v>
      </c>
      <c r="N1968" s="6">
        <v>7569</v>
      </c>
      <c r="O1968" s="4">
        <v>5</v>
      </c>
      <c r="P1968" s="5">
        <v>45587</v>
      </c>
      <c r="Q1968" s="4" t="s">
        <v>94</v>
      </c>
      <c r="R1968" s="4" t="s">
        <v>94</v>
      </c>
      <c r="S1968" s="4" t="s">
        <v>60</v>
      </c>
      <c r="T1968" s="7">
        <v>8.4991000000000003</v>
      </c>
      <c r="U1968" s="8">
        <v>287</v>
      </c>
      <c r="V1968" s="8">
        <v>2024</v>
      </c>
      <c r="W1968" s="4" t="s">
        <v>95</v>
      </c>
    </row>
    <row r="1969" spans="1:23" s="9" customFormat="1" ht="15.75" hidden="1" customHeight="1" x14ac:dyDescent="0.25">
      <c r="A1969" s="10" t="s">
        <v>5965</v>
      </c>
      <c r="B1969" s="10" t="s">
        <v>5966</v>
      </c>
      <c r="C1969" s="10" t="s">
        <v>5967</v>
      </c>
      <c r="D1969" s="21" t="s">
        <v>6088</v>
      </c>
      <c r="E1969" s="10" t="s">
        <v>51</v>
      </c>
      <c r="F1969" s="21" t="s">
        <v>6092</v>
      </c>
      <c r="G1969" s="10" t="s">
        <v>5</v>
      </c>
      <c r="H1969" s="10" t="s">
        <v>88</v>
      </c>
      <c r="I1969" s="11">
        <v>45103</v>
      </c>
      <c r="J1969" s="10" t="s">
        <v>30</v>
      </c>
      <c r="K1969" s="11">
        <v>45340</v>
      </c>
      <c r="L1969" s="10" t="s">
        <v>59</v>
      </c>
      <c r="M1969" s="12">
        <v>18266</v>
      </c>
      <c r="N1969" s="12">
        <v>7818</v>
      </c>
      <c r="O1969" s="10">
        <v>41</v>
      </c>
      <c r="P1969" s="11">
        <v>45381</v>
      </c>
      <c r="Q1969" s="10" t="s">
        <v>33</v>
      </c>
      <c r="R1969" s="10" t="s">
        <v>33</v>
      </c>
      <c r="S1969" s="10" t="s">
        <v>60</v>
      </c>
      <c r="T1969" s="13">
        <v>2.3363999999999998</v>
      </c>
      <c r="U1969" s="14">
        <v>237</v>
      </c>
      <c r="V1969" s="14">
        <v>2024</v>
      </c>
      <c r="W1969" s="10" t="s">
        <v>35</v>
      </c>
    </row>
    <row r="1970" spans="1:23" s="9" customFormat="1" ht="15.75" hidden="1" customHeight="1" x14ac:dyDescent="0.25">
      <c r="A1970" s="4" t="s">
        <v>5968</v>
      </c>
      <c r="B1970" s="4" t="s">
        <v>5969</v>
      </c>
      <c r="C1970" s="4" t="s">
        <v>5970</v>
      </c>
      <c r="D1970" s="21" t="s">
        <v>6091</v>
      </c>
      <c r="E1970" s="4" t="s">
        <v>87</v>
      </c>
      <c r="F1970" s="4" t="s">
        <v>65</v>
      </c>
      <c r="G1970" s="4" t="s">
        <v>57</v>
      </c>
      <c r="H1970" s="4" t="s">
        <v>118</v>
      </c>
      <c r="I1970" s="5">
        <v>45179</v>
      </c>
      <c r="J1970" s="4" t="s">
        <v>30</v>
      </c>
      <c r="K1970" s="5">
        <v>45440</v>
      </c>
      <c r="L1970" s="4" t="s">
        <v>59</v>
      </c>
      <c r="M1970" s="6">
        <v>19103</v>
      </c>
      <c r="N1970" s="6">
        <v>520</v>
      </c>
      <c r="O1970" s="4">
        <v>37</v>
      </c>
      <c r="P1970" s="5">
        <v>45477</v>
      </c>
      <c r="Q1970" s="4" t="s">
        <v>33</v>
      </c>
      <c r="R1970" s="4" t="s">
        <v>33</v>
      </c>
      <c r="S1970" s="4" t="s">
        <v>60</v>
      </c>
      <c r="T1970" s="7">
        <v>36.736499999999999</v>
      </c>
      <c r="U1970" s="8">
        <v>261</v>
      </c>
      <c r="V1970" s="8">
        <v>2024</v>
      </c>
      <c r="W1970" s="4" t="s">
        <v>52</v>
      </c>
    </row>
    <row r="1971" spans="1:23" s="9" customFormat="1" ht="15.75" hidden="1" customHeight="1" x14ac:dyDescent="0.25">
      <c r="A1971" s="10" t="s">
        <v>5971</v>
      </c>
      <c r="B1971" s="10" t="s">
        <v>5972</v>
      </c>
      <c r="C1971" s="10" t="s">
        <v>5973</v>
      </c>
      <c r="D1971" s="22" t="s">
        <v>6090</v>
      </c>
      <c r="E1971" s="10" t="s">
        <v>26</v>
      </c>
      <c r="F1971" s="21" t="s">
        <v>6092</v>
      </c>
      <c r="G1971" s="10" t="s">
        <v>28</v>
      </c>
      <c r="H1971" s="10" t="s">
        <v>88</v>
      </c>
      <c r="I1971" s="11">
        <v>45417</v>
      </c>
      <c r="J1971" s="10" t="s">
        <v>30</v>
      </c>
      <c r="K1971" s="11">
        <v>45517</v>
      </c>
      <c r="L1971" s="10" t="s">
        <v>31</v>
      </c>
      <c r="M1971" s="12">
        <v>34624</v>
      </c>
      <c r="N1971" s="12">
        <v>1295</v>
      </c>
      <c r="O1971" s="10" t="s">
        <v>32</v>
      </c>
      <c r="P1971" s="10" t="s">
        <v>32</v>
      </c>
      <c r="Q1971" s="10" t="s">
        <v>33</v>
      </c>
      <c r="R1971" s="10" t="s">
        <v>33</v>
      </c>
      <c r="S1971" s="10" t="s">
        <v>60</v>
      </c>
      <c r="T1971" s="13">
        <v>26.736699999999999</v>
      </c>
      <c r="U1971" s="14">
        <v>100</v>
      </c>
      <c r="V1971" s="14">
        <v>2024</v>
      </c>
      <c r="W1971" s="10" t="s">
        <v>114</v>
      </c>
    </row>
    <row r="1972" spans="1:23" s="9" customFormat="1" ht="15.75" hidden="1" customHeight="1" x14ac:dyDescent="0.25">
      <c r="A1972" s="4" t="s">
        <v>5974</v>
      </c>
      <c r="B1972" s="4" t="s">
        <v>5975</v>
      </c>
      <c r="C1972" s="4" t="s">
        <v>5976</v>
      </c>
      <c r="D1972" s="22" t="s">
        <v>6090</v>
      </c>
      <c r="E1972" s="4" t="s">
        <v>51</v>
      </c>
      <c r="F1972" s="4" t="s">
        <v>27</v>
      </c>
      <c r="G1972" s="4" t="s">
        <v>5</v>
      </c>
      <c r="H1972" s="4" t="s">
        <v>161</v>
      </c>
      <c r="I1972" s="5">
        <v>45101</v>
      </c>
      <c r="J1972" s="4" t="s">
        <v>30</v>
      </c>
      <c r="K1972" s="5">
        <v>45372</v>
      </c>
      <c r="L1972" s="4" t="s">
        <v>59</v>
      </c>
      <c r="M1972" s="6">
        <v>38616</v>
      </c>
      <c r="N1972" s="6">
        <v>4520</v>
      </c>
      <c r="O1972" s="4">
        <v>31</v>
      </c>
      <c r="P1972" s="5">
        <v>45403</v>
      </c>
      <c r="Q1972" s="4" t="s">
        <v>33</v>
      </c>
      <c r="R1972" s="4" t="s">
        <v>33</v>
      </c>
      <c r="S1972" s="4" t="s">
        <v>34</v>
      </c>
      <c r="T1972" s="7">
        <v>8.5434000000000001</v>
      </c>
      <c r="U1972" s="8">
        <v>271</v>
      </c>
      <c r="V1972" s="8">
        <v>2024</v>
      </c>
      <c r="W1972" s="4" t="s">
        <v>77</v>
      </c>
    </row>
    <row r="1973" spans="1:23" s="9" customFormat="1" ht="15.75" hidden="1" customHeight="1" x14ac:dyDescent="0.25">
      <c r="A1973" s="10" t="s">
        <v>5977</v>
      </c>
      <c r="B1973" s="10" t="s">
        <v>5978</v>
      </c>
      <c r="C1973" s="10" t="s">
        <v>5979</v>
      </c>
      <c r="D1973" s="22" t="s">
        <v>6090</v>
      </c>
      <c r="E1973" s="10" t="s">
        <v>51</v>
      </c>
      <c r="F1973" s="10" t="s">
        <v>56</v>
      </c>
      <c r="G1973" s="10" t="s">
        <v>5</v>
      </c>
      <c r="H1973" s="10" t="s">
        <v>88</v>
      </c>
      <c r="I1973" s="11">
        <v>45564</v>
      </c>
      <c r="J1973" s="10" t="s">
        <v>30</v>
      </c>
      <c r="K1973" s="11">
        <v>45619</v>
      </c>
      <c r="L1973" s="10" t="s">
        <v>66</v>
      </c>
      <c r="M1973" s="12">
        <v>34180</v>
      </c>
      <c r="N1973" s="12">
        <v>8973</v>
      </c>
      <c r="O1973" s="10" t="s">
        <v>32</v>
      </c>
      <c r="P1973" s="10" t="s">
        <v>32</v>
      </c>
      <c r="Q1973" s="10" t="s">
        <v>33</v>
      </c>
      <c r="R1973" s="10" t="s">
        <v>33</v>
      </c>
      <c r="S1973" s="10" t="s">
        <v>60</v>
      </c>
      <c r="T1973" s="13">
        <v>3.8092000000000001</v>
      </c>
      <c r="U1973" s="14">
        <v>55</v>
      </c>
      <c r="V1973" s="14">
        <v>2024</v>
      </c>
      <c r="W1973" s="10" t="s">
        <v>61</v>
      </c>
    </row>
    <row r="1974" spans="1:23" s="9" customFormat="1" ht="15.75" hidden="1" customHeight="1" x14ac:dyDescent="0.25">
      <c r="A1974" s="4" t="s">
        <v>5980</v>
      </c>
      <c r="B1974" s="4" t="s">
        <v>5981</v>
      </c>
      <c r="C1974" s="4" t="s">
        <v>5982</v>
      </c>
      <c r="D1974" s="21" t="s">
        <v>6086</v>
      </c>
      <c r="E1974" s="4" t="s">
        <v>87</v>
      </c>
      <c r="F1974" s="4" t="s">
        <v>46</v>
      </c>
      <c r="G1974" s="4" t="s">
        <v>5</v>
      </c>
      <c r="H1974" s="4" t="s">
        <v>29</v>
      </c>
      <c r="I1974" s="5">
        <v>45165</v>
      </c>
      <c r="J1974" s="4" t="s">
        <v>30</v>
      </c>
      <c r="K1974" s="5">
        <v>45482</v>
      </c>
      <c r="L1974" s="4" t="s">
        <v>31</v>
      </c>
      <c r="M1974" s="6">
        <v>27456</v>
      </c>
      <c r="N1974" s="6">
        <v>7701</v>
      </c>
      <c r="O1974" s="4" t="s">
        <v>32</v>
      </c>
      <c r="P1974" s="4" t="s">
        <v>32</v>
      </c>
      <c r="Q1974" s="4" t="s">
        <v>33</v>
      </c>
      <c r="R1974" s="4" t="s">
        <v>33</v>
      </c>
      <c r="S1974" s="4" t="s">
        <v>34</v>
      </c>
      <c r="T1974" s="7">
        <v>3.5653000000000001</v>
      </c>
      <c r="U1974" s="8">
        <v>317</v>
      </c>
      <c r="V1974" s="8">
        <v>2024</v>
      </c>
      <c r="W1974" s="4" t="s">
        <v>42</v>
      </c>
    </row>
    <row r="1975" spans="1:23" s="9" customFormat="1" ht="15.75" hidden="1" customHeight="1" x14ac:dyDescent="0.25">
      <c r="A1975" s="10" t="s">
        <v>5983</v>
      </c>
      <c r="B1975" s="10" t="s">
        <v>5984</v>
      </c>
      <c r="C1975" s="10" t="s">
        <v>5985</v>
      </c>
      <c r="D1975" s="21" t="s">
        <v>6091</v>
      </c>
      <c r="E1975" s="10" t="s">
        <v>87</v>
      </c>
      <c r="F1975" s="10" t="s">
        <v>71</v>
      </c>
      <c r="G1975" s="10" t="s">
        <v>57</v>
      </c>
      <c r="H1975" s="10" t="s">
        <v>93</v>
      </c>
      <c r="I1975" s="11">
        <v>45141</v>
      </c>
      <c r="J1975" s="10" t="s">
        <v>30</v>
      </c>
      <c r="K1975" s="11">
        <v>45436</v>
      </c>
      <c r="L1975" s="10" t="s">
        <v>31</v>
      </c>
      <c r="M1975" s="12">
        <v>6508</v>
      </c>
      <c r="N1975" s="12">
        <v>3041</v>
      </c>
      <c r="O1975" s="10" t="s">
        <v>32</v>
      </c>
      <c r="P1975" s="10" t="s">
        <v>32</v>
      </c>
      <c r="Q1975" s="10" t="s">
        <v>94</v>
      </c>
      <c r="R1975" s="10" t="s">
        <v>94</v>
      </c>
      <c r="S1975" s="10" t="s">
        <v>34</v>
      </c>
      <c r="T1975" s="13">
        <v>2.1400999999999999</v>
      </c>
      <c r="U1975" s="14">
        <v>295</v>
      </c>
      <c r="V1975" s="14">
        <v>2024</v>
      </c>
      <c r="W1975" s="10" t="s">
        <v>52</v>
      </c>
    </row>
    <row r="1976" spans="1:23" s="9" customFormat="1" ht="15.75" hidden="1" customHeight="1" x14ac:dyDescent="0.25">
      <c r="A1976" s="4" t="s">
        <v>5986</v>
      </c>
      <c r="B1976" s="4" t="s">
        <v>5987</v>
      </c>
      <c r="C1976" s="4" t="s">
        <v>5988</v>
      </c>
      <c r="D1976" s="22" t="s">
        <v>6090</v>
      </c>
      <c r="E1976" s="4" t="s">
        <v>51</v>
      </c>
      <c r="F1976" s="4" t="s">
        <v>65</v>
      </c>
      <c r="G1976" s="4" t="s">
        <v>5</v>
      </c>
      <c r="H1976" s="4" t="s">
        <v>39</v>
      </c>
      <c r="I1976" s="5">
        <v>45375</v>
      </c>
      <c r="J1976" s="4" t="s">
        <v>40</v>
      </c>
      <c r="K1976" s="5">
        <v>45603</v>
      </c>
      <c r="L1976" s="4" t="s">
        <v>59</v>
      </c>
      <c r="M1976" s="6">
        <v>38410</v>
      </c>
      <c r="N1976" s="6">
        <v>2055</v>
      </c>
      <c r="O1976" s="4">
        <v>2</v>
      </c>
      <c r="P1976" s="5">
        <v>45605</v>
      </c>
      <c r="Q1976" s="4" t="s">
        <v>94</v>
      </c>
      <c r="R1976" s="4" t="s">
        <v>33</v>
      </c>
      <c r="S1976" s="4" t="s">
        <v>34</v>
      </c>
      <c r="T1976" s="7">
        <v>18.690999999999999</v>
      </c>
      <c r="U1976" s="8">
        <v>228</v>
      </c>
      <c r="V1976" s="8">
        <v>2024</v>
      </c>
      <c r="W1976" s="4" t="s">
        <v>61</v>
      </c>
    </row>
    <row r="1977" spans="1:23" s="9" customFormat="1" ht="15.75" hidden="1" customHeight="1" x14ac:dyDescent="0.25">
      <c r="A1977" s="10" t="s">
        <v>5989</v>
      </c>
      <c r="B1977" s="10" t="s">
        <v>5990</v>
      </c>
      <c r="C1977" s="10" t="s">
        <v>5991</v>
      </c>
      <c r="D1977" s="21" t="s">
        <v>6091</v>
      </c>
      <c r="E1977" s="10" t="s">
        <v>87</v>
      </c>
      <c r="F1977" s="10" t="s">
        <v>71</v>
      </c>
      <c r="G1977" s="10" t="s">
        <v>57</v>
      </c>
      <c r="H1977" s="10" t="s">
        <v>88</v>
      </c>
      <c r="I1977" s="11">
        <v>45129</v>
      </c>
      <c r="J1977" s="10" t="s">
        <v>40</v>
      </c>
      <c r="K1977" s="11">
        <v>45485</v>
      </c>
      <c r="L1977" s="10" t="s">
        <v>59</v>
      </c>
      <c r="M1977" s="12">
        <v>17914</v>
      </c>
      <c r="N1977" s="12">
        <v>5844</v>
      </c>
      <c r="O1977" s="10">
        <v>18</v>
      </c>
      <c r="P1977" s="11">
        <v>45503</v>
      </c>
      <c r="Q1977" s="10" t="s">
        <v>33</v>
      </c>
      <c r="R1977" s="10" t="s">
        <v>33</v>
      </c>
      <c r="S1977" s="10" t="s">
        <v>34</v>
      </c>
      <c r="T1977" s="13">
        <v>3.0653999999999999</v>
      </c>
      <c r="U1977" s="14">
        <v>356</v>
      </c>
      <c r="V1977" s="14">
        <v>2024</v>
      </c>
      <c r="W1977" s="10" t="s">
        <v>42</v>
      </c>
    </row>
    <row r="1978" spans="1:23" s="9" customFormat="1" ht="15.75" hidden="1" customHeight="1" x14ac:dyDescent="0.25">
      <c r="A1978" s="4" t="s">
        <v>5992</v>
      </c>
      <c r="B1978" s="4" t="s">
        <v>5993</v>
      </c>
      <c r="C1978" s="4" t="s">
        <v>5994</v>
      </c>
      <c r="D1978" s="22" t="s">
        <v>6087</v>
      </c>
      <c r="E1978" s="4" t="s">
        <v>87</v>
      </c>
      <c r="F1978" s="4" t="s">
        <v>27</v>
      </c>
      <c r="G1978" s="4" t="s">
        <v>57</v>
      </c>
      <c r="H1978" s="4" t="s">
        <v>118</v>
      </c>
      <c r="I1978" s="5">
        <v>45069</v>
      </c>
      <c r="J1978" s="4" t="s">
        <v>40</v>
      </c>
      <c r="K1978" s="5">
        <v>45407</v>
      </c>
      <c r="L1978" s="4" t="s">
        <v>31</v>
      </c>
      <c r="M1978" s="6">
        <v>36555</v>
      </c>
      <c r="N1978" s="6">
        <v>7090</v>
      </c>
      <c r="O1978" s="4" t="s">
        <v>32</v>
      </c>
      <c r="P1978" s="4" t="s">
        <v>32</v>
      </c>
      <c r="Q1978" s="4" t="s">
        <v>33</v>
      </c>
      <c r="R1978" s="4" t="s">
        <v>33</v>
      </c>
      <c r="S1978" s="4" t="s">
        <v>60</v>
      </c>
      <c r="T1978" s="7">
        <v>5.1558999999999999</v>
      </c>
      <c r="U1978" s="8">
        <v>338</v>
      </c>
      <c r="V1978" s="8">
        <v>2024</v>
      </c>
      <c r="W1978" s="4" t="s">
        <v>47</v>
      </c>
    </row>
    <row r="1979" spans="1:23" s="9" customFormat="1" ht="15.75" hidden="1" customHeight="1" x14ac:dyDescent="0.25">
      <c r="A1979" s="10" t="s">
        <v>5995</v>
      </c>
      <c r="B1979" s="10" t="s">
        <v>5996</v>
      </c>
      <c r="C1979" s="10" t="s">
        <v>5997</v>
      </c>
      <c r="D1979" s="21" t="s">
        <v>6086</v>
      </c>
      <c r="E1979" s="10" t="s">
        <v>26</v>
      </c>
      <c r="F1979" s="10" t="s">
        <v>56</v>
      </c>
      <c r="G1979" s="10" t="s">
        <v>57</v>
      </c>
      <c r="H1979" s="10" t="s">
        <v>39</v>
      </c>
      <c r="I1979" s="11">
        <v>45254</v>
      </c>
      <c r="J1979" s="10" t="s">
        <v>30</v>
      </c>
      <c r="K1979" s="11">
        <v>45595</v>
      </c>
      <c r="L1979" s="10" t="s">
        <v>59</v>
      </c>
      <c r="M1979" s="12">
        <v>67690</v>
      </c>
      <c r="N1979" s="12">
        <v>1119</v>
      </c>
      <c r="O1979" s="10">
        <v>8</v>
      </c>
      <c r="P1979" s="11">
        <v>45603</v>
      </c>
      <c r="Q1979" s="10" t="s">
        <v>94</v>
      </c>
      <c r="R1979" s="10" t="s">
        <v>33</v>
      </c>
      <c r="S1979" s="10" t="s">
        <v>41</v>
      </c>
      <c r="T1979" s="13">
        <v>60.491500000000002</v>
      </c>
      <c r="U1979" s="14">
        <v>341</v>
      </c>
      <c r="V1979" s="14">
        <v>2024</v>
      </c>
      <c r="W1979" s="10" t="s">
        <v>95</v>
      </c>
    </row>
    <row r="1980" spans="1:23" s="9" customFormat="1" ht="15.75" hidden="1" customHeight="1" x14ac:dyDescent="0.25">
      <c r="A1980" s="4" t="s">
        <v>5998</v>
      </c>
      <c r="B1980" s="4" t="s">
        <v>5999</v>
      </c>
      <c r="C1980" s="4" t="s">
        <v>6000</v>
      </c>
      <c r="D1980" s="21" t="s">
        <v>6091</v>
      </c>
      <c r="E1980" s="4" t="s">
        <v>87</v>
      </c>
      <c r="F1980" s="4" t="s">
        <v>71</v>
      </c>
      <c r="G1980" s="4" t="s">
        <v>57</v>
      </c>
      <c r="H1980" s="4" t="s">
        <v>72</v>
      </c>
      <c r="I1980" s="5">
        <v>45296</v>
      </c>
      <c r="J1980" s="4" t="s">
        <v>30</v>
      </c>
      <c r="K1980" s="5">
        <v>45591</v>
      </c>
      <c r="L1980" s="4" t="s">
        <v>59</v>
      </c>
      <c r="M1980" s="6">
        <v>13525</v>
      </c>
      <c r="N1980" s="6">
        <v>7191</v>
      </c>
      <c r="O1980" s="4">
        <v>35</v>
      </c>
      <c r="P1980" s="5">
        <v>45626</v>
      </c>
      <c r="Q1980" s="4" t="s">
        <v>33</v>
      </c>
      <c r="R1980" s="4" t="s">
        <v>33</v>
      </c>
      <c r="S1980" s="4" t="s">
        <v>41</v>
      </c>
      <c r="T1980" s="7">
        <v>1.8808</v>
      </c>
      <c r="U1980" s="8">
        <v>295</v>
      </c>
      <c r="V1980" s="8">
        <v>2024</v>
      </c>
      <c r="W1980" s="4" t="s">
        <v>95</v>
      </c>
    </row>
    <row r="1981" spans="1:23" s="9" customFormat="1" ht="15.75" hidden="1" customHeight="1" x14ac:dyDescent="0.25">
      <c r="A1981" s="10" t="s">
        <v>6001</v>
      </c>
      <c r="B1981" s="10" t="s">
        <v>6002</v>
      </c>
      <c r="C1981" s="10" t="s">
        <v>6003</v>
      </c>
      <c r="D1981" s="21" t="s">
        <v>6086</v>
      </c>
      <c r="E1981" s="10" t="s">
        <v>87</v>
      </c>
      <c r="F1981" s="21" t="s">
        <v>6092</v>
      </c>
      <c r="G1981" s="10" t="s">
        <v>28</v>
      </c>
      <c r="H1981" s="10" t="s">
        <v>161</v>
      </c>
      <c r="I1981" s="11">
        <v>45190</v>
      </c>
      <c r="J1981" s="10" t="s">
        <v>30</v>
      </c>
      <c r="K1981" s="11">
        <v>45459</v>
      </c>
      <c r="L1981" s="10" t="s">
        <v>59</v>
      </c>
      <c r="M1981" s="12">
        <v>82855</v>
      </c>
      <c r="N1981" s="12">
        <v>1936</v>
      </c>
      <c r="O1981" s="10">
        <v>25</v>
      </c>
      <c r="P1981" s="11">
        <v>45484</v>
      </c>
      <c r="Q1981" s="10" t="s">
        <v>33</v>
      </c>
      <c r="R1981" s="10" t="s">
        <v>33</v>
      </c>
      <c r="S1981" s="10" t="s">
        <v>41</v>
      </c>
      <c r="T1981" s="13">
        <v>42.796999999999997</v>
      </c>
      <c r="U1981" s="14">
        <v>269</v>
      </c>
      <c r="V1981" s="14">
        <v>2024</v>
      </c>
      <c r="W1981" s="10" t="s">
        <v>67</v>
      </c>
    </row>
    <row r="1982" spans="1:23" s="9" customFormat="1" ht="15.75" hidden="1" customHeight="1" x14ac:dyDescent="0.25">
      <c r="A1982" s="4" t="s">
        <v>6004</v>
      </c>
      <c r="B1982" s="4" t="s">
        <v>6005</v>
      </c>
      <c r="C1982" s="4" t="s">
        <v>6006</v>
      </c>
      <c r="D1982" s="21" t="s">
        <v>6086</v>
      </c>
      <c r="E1982" s="4" t="s">
        <v>26</v>
      </c>
      <c r="F1982" s="4" t="s">
        <v>27</v>
      </c>
      <c r="G1982" s="4" t="s">
        <v>57</v>
      </c>
      <c r="H1982" s="4" t="s">
        <v>39</v>
      </c>
      <c r="I1982" s="5">
        <v>45398</v>
      </c>
      <c r="J1982" s="4" t="s">
        <v>40</v>
      </c>
      <c r="K1982" s="5">
        <v>45606</v>
      </c>
      <c r="L1982" s="4" t="s">
        <v>31</v>
      </c>
      <c r="M1982" s="6">
        <v>51366</v>
      </c>
      <c r="N1982" s="6">
        <v>4033</v>
      </c>
      <c r="O1982" s="4" t="s">
        <v>32</v>
      </c>
      <c r="P1982" s="4" t="s">
        <v>32</v>
      </c>
      <c r="Q1982" s="4" t="s">
        <v>33</v>
      </c>
      <c r="R1982" s="4" t="s">
        <v>33</v>
      </c>
      <c r="S1982" s="4" t="s">
        <v>60</v>
      </c>
      <c r="T1982" s="7">
        <v>12.7364</v>
      </c>
      <c r="U1982" s="8">
        <v>208</v>
      </c>
      <c r="V1982" s="8">
        <v>2024</v>
      </c>
      <c r="W1982" s="4" t="s">
        <v>61</v>
      </c>
    </row>
    <row r="1983" spans="1:23" s="9" customFormat="1" ht="15.75" hidden="1" customHeight="1" x14ac:dyDescent="0.25">
      <c r="A1983" s="10" t="s">
        <v>6007</v>
      </c>
      <c r="B1983" s="10" t="s">
        <v>6008</v>
      </c>
      <c r="C1983" s="10" t="s">
        <v>6009</v>
      </c>
      <c r="D1983" s="21" t="s">
        <v>6089</v>
      </c>
      <c r="E1983" s="10" t="s">
        <v>51</v>
      </c>
      <c r="F1983" s="21" t="s">
        <v>6092</v>
      </c>
      <c r="G1983" s="10" t="s">
        <v>28</v>
      </c>
      <c r="H1983" s="10" t="s">
        <v>39</v>
      </c>
      <c r="I1983" s="11">
        <v>45320</v>
      </c>
      <c r="J1983" s="10" t="s">
        <v>30</v>
      </c>
      <c r="K1983" s="11">
        <v>45581</v>
      </c>
      <c r="L1983" s="10" t="s">
        <v>59</v>
      </c>
      <c r="M1983" s="12">
        <v>25968</v>
      </c>
      <c r="N1983" s="12">
        <v>7733</v>
      </c>
      <c r="O1983" s="10">
        <v>6</v>
      </c>
      <c r="P1983" s="11">
        <v>45587</v>
      </c>
      <c r="Q1983" s="10" t="s">
        <v>33</v>
      </c>
      <c r="R1983" s="10" t="s">
        <v>33</v>
      </c>
      <c r="S1983" s="10" t="s">
        <v>34</v>
      </c>
      <c r="T1983" s="13">
        <v>3.3580999999999999</v>
      </c>
      <c r="U1983" s="14">
        <v>261</v>
      </c>
      <c r="V1983" s="14">
        <v>2024</v>
      </c>
      <c r="W1983" s="10" t="s">
        <v>95</v>
      </c>
    </row>
    <row r="1984" spans="1:23" s="9" customFormat="1" ht="15.75" hidden="1" customHeight="1" x14ac:dyDescent="0.25">
      <c r="A1984" s="4" t="s">
        <v>6010</v>
      </c>
      <c r="B1984" s="4" t="s">
        <v>6011</v>
      </c>
      <c r="C1984" s="4" t="s">
        <v>6012</v>
      </c>
      <c r="D1984" s="21" t="s">
        <v>6091</v>
      </c>
      <c r="E1984" s="4" t="s">
        <v>51</v>
      </c>
      <c r="F1984" s="4" t="s">
        <v>65</v>
      </c>
      <c r="G1984" s="4" t="s">
        <v>57</v>
      </c>
      <c r="H1984" s="4" t="s">
        <v>72</v>
      </c>
      <c r="I1984" s="5">
        <v>45349</v>
      </c>
      <c r="J1984" s="4" t="s">
        <v>40</v>
      </c>
      <c r="K1984" s="5">
        <v>45632</v>
      </c>
      <c r="L1984" s="4" t="s">
        <v>66</v>
      </c>
      <c r="M1984" s="6">
        <v>19717</v>
      </c>
      <c r="N1984" s="6">
        <v>2077</v>
      </c>
      <c r="O1984" s="4" t="s">
        <v>32</v>
      </c>
      <c r="P1984" s="4" t="s">
        <v>32</v>
      </c>
      <c r="Q1984" s="4" t="s">
        <v>33</v>
      </c>
      <c r="R1984" s="4" t="s">
        <v>33</v>
      </c>
      <c r="S1984" s="4" t="s">
        <v>34</v>
      </c>
      <c r="T1984" s="7">
        <v>9.4930000000000003</v>
      </c>
      <c r="U1984" s="8">
        <v>283</v>
      </c>
      <c r="V1984" s="8">
        <v>2024</v>
      </c>
      <c r="W1984" s="4" t="s">
        <v>89</v>
      </c>
    </row>
    <row r="1985" spans="1:23" s="9" customFormat="1" ht="15.75" hidden="1" customHeight="1" x14ac:dyDescent="0.25">
      <c r="A1985" s="10" t="s">
        <v>6013</v>
      </c>
      <c r="B1985" s="10" t="s">
        <v>6014</v>
      </c>
      <c r="C1985" s="10" t="s">
        <v>6015</v>
      </c>
      <c r="D1985" s="21" t="s">
        <v>6086</v>
      </c>
      <c r="E1985" s="10" t="s">
        <v>26</v>
      </c>
      <c r="F1985" s="21" t="s">
        <v>6092</v>
      </c>
      <c r="G1985" s="10" t="s">
        <v>28</v>
      </c>
      <c r="H1985" s="10" t="s">
        <v>161</v>
      </c>
      <c r="I1985" s="11">
        <v>45484</v>
      </c>
      <c r="J1985" s="10" t="s">
        <v>30</v>
      </c>
      <c r="K1985" s="11">
        <v>45597</v>
      </c>
      <c r="L1985" s="10" t="s">
        <v>59</v>
      </c>
      <c r="M1985" s="12">
        <v>83823</v>
      </c>
      <c r="N1985" s="12">
        <v>1862</v>
      </c>
      <c r="O1985" s="10">
        <v>45</v>
      </c>
      <c r="P1985" s="11">
        <v>45642</v>
      </c>
      <c r="Q1985" s="10" t="s">
        <v>33</v>
      </c>
      <c r="R1985" s="10" t="s">
        <v>33</v>
      </c>
      <c r="S1985" s="10" t="s">
        <v>41</v>
      </c>
      <c r="T1985" s="13">
        <v>45.017699999999998</v>
      </c>
      <c r="U1985" s="14">
        <v>113</v>
      </c>
      <c r="V1985" s="14">
        <v>2024</v>
      </c>
      <c r="W1985" s="10" t="s">
        <v>61</v>
      </c>
    </row>
    <row r="1986" spans="1:23" s="9" customFormat="1" ht="15.75" hidden="1" customHeight="1" x14ac:dyDescent="0.25">
      <c r="A1986" s="4" t="s">
        <v>6016</v>
      </c>
      <c r="B1986" s="4" t="s">
        <v>6017</v>
      </c>
      <c r="C1986" s="4" t="s">
        <v>6018</v>
      </c>
      <c r="D1986" s="22" t="s">
        <v>6087</v>
      </c>
      <c r="E1986" s="4" t="s">
        <v>87</v>
      </c>
      <c r="F1986" s="4" t="s">
        <v>56</v>
      </c>
      <c r="G1986" s="4" t="s">
        <v>57</v>
      </c>
      <c r="H1986" s="4" t="s">
        <v>118</v>
      </c>
      <c r="I1986" s="5">
        <v>45289</v>
      </c>
      <c r="J1986" s="4" t="s">
        <v>40</v>
      </c>
      <c r="K1986" s="5">
        <v>45534</v>
      </c>
      <c r="L1986" s="4" t="s">
        <v>59</v>
      </c>
      <c r="M1986" s="6">
        <v>20451</v>
      </c>
      <c r="N1986" s="6">
        <v>7600</v>
      </c>
      <c r="O1986" s="4">
        <v>15</v>
      </c>
      <c r="P1986" s="5">
        <v>45549</v>
      </c>
      <c r="Q1986" s="4" t="s">
        <v>33</v>
      </c>
      <c r="R1986" s="4" t="s">
        <v>33</v>
      </c>
      <c r="S1986" s="4" t="s">
        <v>41</v>
      </c>
      <c r="T1986" s="7">
        <v>2.6909000000000001</v>
      </c>
      <c r="U1986" s="8">
        <v>245</v>
      </c>
      <c r="V1986" s="8">
        <v>2024</v>
      </c>
      <c r="W1986" s="4" t="s">
        <v>114</v>
      </c>
    </row>
    <row r="1987" spans="1:23" s="9" customFormat="1" ht="15.75" hidden="1" customHeight="1" x14ac:dyDescent="0.25">
      <c r="A1987" s="10" t="s">
        <v>6019</v>
      </c>
      <c r="B1987" s="10" t="s">
        <v>6020</v>
      </c>
      <c r="C1987" s="10" t="s">
        <v>6021</v>
      </c>
      <c r="D1987" s="21" t="s">
        <v>6088</v>
      </c>
      <c r="E1987" s="10" t="s">
        <v>51</v>
      </c>
      <c r="F1987" s="10" t="s">
        <v>56</v>
      </c>
      <c r="G1987" s="10" t="s">
        <v>57</v>
      </c>
      <c r="H1987" s="10" t="s">
        <v>29</v>
      </c>
      <c r="I1987" s="11">
        <v>45261</v>
      </c>
      <c r="J1987" s="10" t="s">
        <v>30</v>
      </c>
      <c r="K1987" s="11">
        <v>45617</v>
      </c>
      <c r="L1987" s="10" t="s">
        <v>31</v>
      </c>
      <c r="M1987" s="12">
        <v>51919</v>
      </c>
      <c r="N1987" s="12">
        <v>873</v>
      </c>
      <c r="O1987" s="10" t="s">
        <v>32</v>
      </c>
      <c r="P1987" s="10" t="s">
        <v>32</v>
      </c>
      <c r="Q1987" s="10" t="s">
        <v>33</v>
      </c>
      <c r="R1987" s="10" t="s">
        <v>33</v>
      </c>
      <c r="S1987" s="10" t="s">
        <v>41</v>
      </c>
      <c r="T1987" s="13">
        <v>59.471899999999998</v>
      </c>
      <c r="U1987" s="14">
        <v>356</v>
      </c>
      <c r="V1987" s="14">
        <v>2024</v>
      </c>
      <c r="W1987" s="10" t="s">
        <v>61</v>
      </c>
    </row>
    <row r="1988" spans="1:23" s="9" customFormat="1" ht="15.75" hidden="1" customHeight="1" x14ac:dyDescent="0.25">
      <c r="A1988" s="4" t="s">
        <v>6022</v>
      </c>
      <c r="B1988" s="4" t="s">
        <v>6023</v>
      </c>
      <c r="C1988" s="4" t="s">
        <v>6024</v>
      </c>
      <c r="D1988" s="22" t="s">
        <v>6087</v>
      </c>
      <c r="E1988" s="4" t="s">
        <v>87</v>
      </c>
      <c r="F1988" s="4" t="s">
        <v>71</v>
      </c>
      <c r="G1988" s="4" t="s">
        <v>57</v>
      </c>
      <c r="H1988" s="4" t="s">
        <v>88</v>
      </c>
      <c r="I1988" s="5">
        <v>45594</v>
      </c>
      <c r="J1988" s="4" t="s">
        <v>40</v>
      </c>
      <c r="K1988" s="5">
        <v>45631</v>
      </c>
      <c r="L1988" s="4" t="s">
        <v>59</v>
      </c>
      <c r="M1988" s="6">
        <v>31284</v>
      </c>
      <c r="N1988" s="6">
        <v>3574</v>
      </c>
      <c r="O1988" s="4">
        <v>18</v>
      </c>
      <c r="P1988" s="5">
        <v>45649</v>
      </c>
      <c r="Q1988" s="4" t="s">
        <v>33</v>
      </c>
      <c r="R1988" s="4" t="s">
        <v>33</v>
      </c>
      <c r="S1988" s="4" t="s">
        <v>60</v>
      </c>
      <c r="T1988" s="7">
        <v>8.7531999999999996</v>
      </c>
      <c r="U1988" s="8">
        <v>37</v>
      </c>
      <c r="V1988" s="8">
        <v>2024</v>
      </c>
      <c r="W1988" s="4" t="s">
        <v>89</v>
      </c>
    </row>
    <row r="1989" spans="1:23" s="9" customFormat="1" ht="15.75" hidden="1" customHeight="1" x14ac:dyDescent="0.25">
      <c r="A1989" s="10" t="s">
        <v>6025</v>
      </c>
      <c r="B1989" s="10" t="s">
        <v>6026</v>
      </c>
      <c r="C1989" s="10" t="s">
        <v>6027</v>
      </c>
      <c r="D1989" s="21" t="s">
        <v>6086</v>
      </c>
      <c r="E1989" s="10" t="s">
        <v>87</v>
      </c>
      <c r="F1989" s="10" t="s">
        <v>46</v>
      </c>
      <c r="G1989" s="10" t="s">
        <v>5</v>
      </c>
      <c r="H1989" s="10" t="s">
        <v>93</v>
      </c>
      <c r="I1989" s="11">
        <v>45361</v>
      </c>
      <c r="J1989" s="10" t="s">
        <v>30</v>
      </c>
      <c r="K1989" s="11">
        <v>45462</v>
      </c>
      <c r="L1989" s="10" t="s">
        <v>59</v>
      </c>
      <c r="M1989" s="12">
        <v>51346</v>
      </c>
      <c r="N1989" s="12">
        <v>2255</v>
      </c>
      <c r="O1989" s="10">
        <v>25</v>
      </c>
      <c r="P1989" s="11">
        <v>45487</v>
      </c>
      <c r="Q1989" s="10" t="s">
        <v>33</v>
      </c>
      <c r="R1989" s="10" t="s">
        <v>33</v>
      </c>
      <c r="S1989" s="10" t="s">
        <v>34</v>
      </c>
      <c r="T1989" s="13">
        <v>22.7698</v>
      </c>
      <c r="U1989" s="14">
        <v>101</v>
      </c>
      <c r="V1989" s="14">
        <v>2024</v>
      </c>
      <c r="W1989" s="10" t="s">
        <v>67</v>
      </c>
    </row>
    <row r="1990" spans="1:23" s="9" customFormat="1" ht="15.75" hidden="1" customHeight="1" x14ac:dyDescent="0.25">
      <c r="A1990" s="4" t="s">
        <v>6028</v>
      </c>
      <c r="B1990" s="4" t="s">
        <v>6029</v>
      </c>
      <c r="C1990" s="4" t="s">
        <v>6030</v>
      </c>
      <c r="D1990" s="21" t="s">
        <v>6088</v>
      </c>
      <c r="E1990" s="4" t="s">
        <v>51</v>
      </c>
      <c r="F1990" s="4" t="s">
        <v>56</v>
      </c>
      <c r="G1990" s="4" t="s">
        <v>5</v>
      </c>
      <c r="H1990" s="4" t="s">
        <v>58</v>
      </c>
      <c r="I1990" s="5">
        <v>45591</v>
      </c>
      <c r="J1990" s="4" t="s">
        <v>40</v>
      </c>
      <c r="K1990" s="5">
        <v>45633</v>
      </c>
      <c r="L1990" s="4" t="s">
        <v>31</v>
      </c>
      <c r="M1990" s="6">
        <v>23043</v>
      </c>
      <c r="N1990" s="6">
        <v>4927</v>
      </c>
      <c r="O1990" s="4" t="s">
        <v>32</v>
      </c>
      <c r="P1990" s="4" t="s">
        <v>32</v>
      </c>
      <c r="Q1990" s="4" t="s">
        <v>94</v>
      </c>
      <c r="R1990" s="4" t="s">
        <v>94</v>
      </c>
      <c r="S1990" s="4" t="s">
        <v>60</v>
      </c>
      <c r="T1990" s="7">
        <v>4.6768999999999998</v>
      </c>
      <c r="U1990" s="8">
        <v>42</v>
      </c>
      <c r="V1990" s="8">
        <v>2024</v>
      </c>
      <c r="W1990" s="4" t="s">
        <v>89</v>
      </c>
    </row>
    <row r="1991" spans="1:23" s="9" customFormat="1" ht="15.75" hidden="1" customHeight="1" x14ac:dyDescent="0.25">
      <c r="A1991" s="10" t="s">
        <v>6031</v>
      </c>
      <c r="B1991" s="10" t="s">
        <v>6032</v>
      </c>
      <c r="C1991" s="10" t="s">
        <v>6033</v>
      </c>
      <c r="D1991" s="22" t="s">
        <v>6090</v>
      </c>
      <c r="E1991" s="10" t="s">
        <v>51</v>
      </c>
      <c r="F1991" s="10" t="s">
        <v>27</v>
      </c>
      <c r="G1991" s="10" t="s">
        <v>28</v>
      </c>
      <c r="H1991" s="10" t="s">
        <v>72</v>
      </c>
      <c r="I1991" s="11">
        <v>45206</v>
      </c>
      <c r="J1991" s="10" t="s">
        <v>40</v>
      </c>
      <c r="K1991" s="11">
        <v>45454</v>
      </c>
      <c r="L1991" s="10" t="s">
        <v>59</v>
      </c>
      <c r="M1991" s="12">
        <v>57162</v>
      </c>
      <c r="N1991" s="12">
        <v>7184</v>
      </c>
      <c r="O1991" s="10">
        <v>10</v>
      </c>
      <c r="P1991" s="11">
        <v>45464</v>
      </c>
      <c r="Q1991" s="10" t="s">
        <v>33</v>
      </c>
      <c r="R1991" s="10" t="s">
        <v>33</v>
      </c>
      <c r="S1991" s="10" t="s">
        <v>41</v>
      </c>
      <c r="T1991" s="13">
        <v>7.9568000000000003</v>
      </c>
      <c r="U1991" s="14">
        <v>248</v>
      </c>
      <c r="V1991" s="14">
        <v>2024</v>
      </c>
      <c r="W1991" s="10" t="s">
        <v>67</v>
      </c>
    </row>
    <row r="1992" spans="1:23" s="9" customFormat="1" ht="15.75" hidden="1" customHeight="1" x14ac:dyDescent="0.25">
      <c r="A1992" s="4" t="s">
        <v>6034</v>
      </c>
      <c r="B1992" s="4" t="s">
        <v>6035</v>
      </c>
      <c r="C1992" s="4" t="s">
        <v>6036</v>
      </c>
      <c r="D1992" s="22" t="s">
        <v>6090</v>
      </c>
      <c r="E1992" s="4" t="s">
        <v>26</v>
      </c>
      <c r="F1992" s="4" t="s">
        <v>27</v>
      </c>
      <c r="G1992" s="4" t="s">
        <v>5</v>
      </c>
      <c r="H1992" s="4" t="s">
        <v>39</v>
      </c>
      <c r="I1992" s="5">
        <v>45339</v>
      </c>
      <c r="J1992" s="4" t="s">
        <v>40</v>
      </c>
      <c r="K1992" s="5">
        <v>45608</v>
      </c>
      <c r="L1992" s="4" t="s">
        <v>59</v>
      </c>
      <c r="M1992" s="6">
        <v>14852</v>
      </c>
      <c r="N1992" s="6">
        <v>3059</v>
      </c>
      <c r="O1992" s="4">
        <v>34</v>
      </c>
      <c r="P1992" s="5">
        <v>45642</v>
      </c>
      <c r="Q1992" s="4" t="s">
        <v>33</v>
      </c>
      <c r="R1992" s="4" t="s">
        <v>33</v>
      </c>
      <c r="S1992" s="4" t="s">
        <v>34</v>
      </c>
      <c r="T1992" s="7">
        <v>4.8552</v>
      </c>
      <c r="U1992" s="8">
        <v>269</v>
      </c>
      <c r="V1992" s="8">
        <v>2024</v>
      </c>
      <c r="W1992" s="4" t="s">
        <v>61</v>
      </c>
    </row>
    <row r="1993" spans="1:23" s="9" customFormat="1" ht="15.75" hidden="1" customHeight="1" x14ac:dyDescent="0.25">
      <c r="A1993" s="10" t="s">
        <v>6037</v>
      </c>
      <c r="B1993" s="10" t="s">
        <v>6038</v>
      </c>
      <c r="C1993" s="10" t="s">
        <v>6039</v>
      </c>
      <c r="D1993" s="21" t="s">
        <v>6086</v>
      </c>
      <c r="E1993" s="10" t="s">
        <v>26</v>
      </c>
      <c r="F1993" s="21" t="s">
        <v>6092</v>
      </c>
      <c r="G1993" s="10" t="s">
        <v>5</v>
      </c>
      <c r="H1993" s="10" t="s">
        <v>93</v>
      </c>
      <c r="I1993" s="11">
        <v>45045</v>
      </c>
      <c r="J1993" s="10" t="s">
        <v>40</v>
      </c>
      <c r="K1993" s="11">
        <v>45407</v>
      </c>
      <c r="L1993" s="10" t="s">
        <v>59</v>
      </c>
      <c r="M1993" s="12">
        <v>55072</v>
      </c>
      <c r="N1993" s="12">
        <v>7251</v>
      </c>
      <c r="O1993" s="10">
        <v>45</v>
      </c>
      <c r="P1993" s="11">
        <v>45452</v>
      </c>
      <c r="Q1993" s="10" t="s">
        <v>33</v>
      </c>
      <c r="R1993" s="10" t="s">
        <v>33</v>
      </c>
      <c r="S1993" s="10" t="s">
        <v>34</v>
      </c>
      <c r="T1993" s="13">
        <v>7.5951000000000004</v>
      </c>
      <c r="U1993" s="14">
        <v>362</v>
      </c>
      <c r="V1993" s="14">
        <v>2024</v>
      </c>
      <c r="W1993" s="10" t="s">
        <v>47</v>
      </c>
    </row>
    <row r="1994" spans="1:23" s="9" customFormat="1" ht="15.75" hidden="1" customHeight="1" x14ac:dyDescent="0.25">
      <c r="A1994" s="4" t="s">
        <v>6040</v>
      </c>
      <c r="B1994" s="4" t="s">
        <v>6041</v>
      </c>
      <c r="C1994" s="4" t="s">
        <v>6042</v>
      </c>
      <c r="D1994" s="22" t="s">
        <v>6090</v>
      </c>
      <c r="E1994" s="4" t="s">
        <v>51</v>
      </c>
      <c r="F1994" s="4" t="s">
        <v>71</v>
      </c>
      <c r="G1994" s="4" t="s">
        <v>5</v>
      </c>
      <c r="H1994" s="4" t="s">
        <v>161</v>
      </c>
      <c r="I1994" s="5">
        <v>45129</v>
      </c>
      <c r="J1994" s="4" t="s">
        <v>30</v>
      </c>
      <c r="K1994" s="5">
        <v>45410</v>
      </c>
      <c r="L1994" s="4" t="s">
        <v>59</v>
      </c>
      <c r="M1994" s="6">
        <v>43122</v>
      </c>
      <c r="N1994" s="6">
        <v>7808</v>
      </c>
      <c r="O1994" s="4">
        <v>30</v>
      </c>
      <c r="P1994" s="5">
        <v>45440</v>
      </c>
      <c r="Q1994" s="4" t="s">
        <v>94</v>
      </c>
      <c r="R1994" s="4" t="s">
        <v>33</v>
      </c>
      <c r="S1994" s="4" t="s">
        <v>34</v>
      </c>
      <c r="T1994" s="7">
        <v>5.5228000000000002</v>
      </c>
      <c r="U1994" s="8">
        <v>281</v>
      </c>
      <c r="V1994" s="8">
        <v>2024</v>
      </c>
      <c r="W1994" s="4" t="s">
        <v>47</v>
      </c>
    </row>
    <row r="1995" spans="1:23" s="9" customFormat="1" ht="15.75" hidden="1" customHeight="1" x14ac:dyDescent="0.25">
      <c r="A1995" s="10" t="s">
        <v>6043</v>
      </c>
      <c r="B1995" s="10" t="s">
        <v>6044</v>
      </c>
      <c r="C1995" s="10" t="s">
        <v>6045</v>
      </c>
      <c r="D1995" s="22" t="s">
        <v>6087</v>
      </c>
      <c r="E1995" s="10" t="s">
        <v>26</v>
      </c>
      <c r="F1995" s="21" t="s">
        <v>6092</v>
      </c>
      <c r="G1995" s="10" t="s">
        <v>28</v>
      </c>
      <c r="H1995" s="10" t="s">
        <v>58</v>
      </c>
      <c r="I1995" s="11">
        <v>45477</v>
      </c>
      <c r="J1995" s="10" t="s">
        <v>40</v>
      </c>
      <c r="K1995" s="11">
        <v>45645</v>
      </c>
      <c r="L1995" s="10" t="s">
        <v>31</v>
      </c>
      <c r="M1995" s="12">
        <v>21436</v>
      </c>
      <c r="N1995" s="12">
        <v>5145</v>
      </c>
      <c r="O1995" s="10" t="s">
        <v>32</v>
      </c>
      <c r="P1995" s="10" t="s">
        <v>32</v>
      </c>
      <c r="Q1995" s="10" t="s">
        <v>33</v>
      </c>
      <c r="R1995" s="10" t="s">
        <v>33</v>
      </c>
      <c r="S1995" s="10" t="s">
        <v>41</v>
      </c>
      <c r="T1995" s="13">
        <v>4.1664000000000003</v>
      </c>
      <c r="U1995" s="14">
        <v>168</v>
      </c>
      <c r="V1995" s="14">
        <v>2024</v>
      </c>
      <c r="W1995" s="10" t="s">
        <v>89</v>
      </c>
    </row>
    <row r="1996" spans="1:23" s="9" customFormat="1" ht="15.75" hidden="1" customHeight="1" x14ac:dyDescent="0.25">
      <c r="A1996" s="4" t="s">
        <v>6046</v>
      </c>
      <c r="B1996" s="4" t="s">
        <v>6047</v>
      </c>
      <c r="C1996" s="4" t="s">
        <v>6048</v>
      </c>
      <c r="D1996" s="21" t="s">
        <v>6086</v>
      </c>
      <c r="E1996" s="4" t="s">
        <v>87</v>
      </c>
      <c r="F1996" s="4" t="s">
        <v>71</v>
      </c>
      <c r="G1996" s="4" t="s">
        <v>28</v>
      </c>
      <c r="H1996" s="4" t="s">
        <v>29</v>
      </c>
      <c r="I1996" s="5">
        <v>45243</v>
      </c>
      <c r="J1996" s="4" t="s">
        <v>30</v>
      </c>
      <c r="K1996" s="5">
        <v>45585</v>
      </c>
      <c r="L1996" s="4" t="s">
        <v>31</v>
      </c>
      <c r="M1996" s="6">
        <v>82053</v>
      </c>
      <c r="N1996" s="6">
        <v>6071</v>
      </c>
      <c r="O1996" s="4" t="s">
        <v>32</v>
      </c>
      <c r="P1996" s="4" t="s">
        <v>32</v>
      </c>
      <c r="Q1996" s="4" t="s">
        <v>33</v>
      </c>
      <c r="R1996" s="4" t="s">
        <v>33</v>
      </c>
      <c r="S1996" s="4" t="s">
        <v>34</v>
      </c>
      <c r="T1996" s="7">
        <v>13.515599999999999</v>
      </c>
      <c r="U1996" s="8">
        <v>342</v>
      </c>
      <c r="V1996" s="8">
        <v>2024</v>
      </c>
      <c r="W1996" s="4" t="s">
        <v>95</v>
      </c>
    </row>
    <row r="1997" spans="1:23" s="9" customFormat="1" ht="15.75" hidden="1" customHeight="1" x14ac:dyDescent="0.25">
      <c r="A1997" s="10" t="s">
        <v>6049</v>
      </c>
      <c r="B1997" s="10" t="s">
        <v>6050</v>
      </c>
      <c r="C1997" s="10" t="s">
        <v>6051</v>
      </c>
      <c r="D1997" s="22" t="s">
        <v>6090</v>
      </c>
      <c r="E1997" s="10" t="s">
        <v>26</v>
      </c>
      <c r="F1997" s="10" t="s">
        <v>27</v>
      </c>
      <c r="G1997" s="10" t="s">
        <v>28</v>
      </c>
      <c r="H1997" s="10" t="s">
        <v>39</v>
      </c>
      <c r="I1997" s="11">
        <v>45054</v>
      </c>
      <c r="J1997" s="10" t="s">
        <v>40</v>
      </c>
      <c r="K1997" s="11">
        <v>45304</v>
      </c>
      <c r="L1997" s="10" t="s">
        <v>59</v>
      </c>
      <c r="M1997" s="12">
        <v>58274</v>
      </c>
      <c r="N1997" s="12">
        <v>4437</v>
      </c>
      <c r="O1997" s="10">
        <v>37</v>
      </c>
      <c r="P1997" s="11">
        <v>45341</v>
      </c>
      <c r="Q1997" s="10" t="s">
        <v>33</v>
      </c>
      <c r="R1997" s="10" t="s">
        <v>33</v>
      </c>
      <c r="S1997" s="10" t="s">
        <v>41</v>
      </c>
      <c r="T1997" s="13">
        <v>13.133599999999999</v>
      </c>
      <c r="U1997" s="14">
        <v>250</v>
      </c>
      <c r="V1997" s="14">
        <v>2024</v>
      </c>
      <c r="W1997" s="10" t="s">
        <v>73</v>
      </c>
    </row>
    <row r="1998" spans="1:23" s="9" customFormat="1" ht="15.75" hidden="1" customHeight="1" x14ac:dyDescent="0.25">
      <c r="A1998" s="4" t="s">
        <v>6052</v>
      </c>
      <c r="B1998" s="4" t="s">
        <v>6053</v>
      </c>
      <c r="C1998" s="4" t="s">
        <v>6054</v>
      </c>
      <c r="D1998" s="21" t="s">
        <v>6091</v>
      </c>
      <c r="E1998" s="4" t="s">
        <v>26</v>
      </c>
      <c r="F1998" s="4" t="s">
        <v>27</v>
      </c>
      <c r="G1998" s="4" t="s">
        <v>5</v>
      </c>
      <c r="H1998" s="4" t="s">
        <v>118</v>
      </c>
      <c r="I1998" s="5">
        <v>45122</v>
      </c>
      <c r="J1998" s="4" t="s">
        <v>40</v>
      </c>
      <c r="K1998" s="5">
        <v>45483</v>
      </c>
      <c r="L1998" s="4" t="s">
        <v>59</v>
      </c>
      <c r="M1998" s="6">
        <v>2762</v>
      </c>
      <c r="N1998" s="6">
        <v>1782</v>
      </c>
      <c r="O1998" s="4">
        <v>14</v>
      </c>
      <c r="P1998" s="5">
        <v>45497</v>
      </c>
      <c r="Q1998" s="4" t="s">
        <v>94</v>
      </c>
      <c r="R1998" s="4" t="s">
        <v>33</v>
      </c>
      <c r="S1998" s="4" t="s">
        <v>60</v>
      </c>
      <c r="T1998" s="7">
        <v>1.5499000000000001</v>
      </c>
      <c r="U1998" s="8">
        <v>361</v>
      </c>
      <c r="V1998" s="8">
        <v>2024</v>
      </c>
      <c r="W1998" s="4" t="s">
        <v>42</v>
      </c>
    </row>
    <row r="1999" spans="1:23" s="9" customFormat="1" ht="15.75" hidden="1" customHeight="1" x14ac:dyDescent="0.25">
      <c r="A1999" s="10" t="s">
        <v>6055</v>
      </c>
      <c r="B1999" s="10" t="s">
        <v>6056</v>
      </c>
      <c r="C1999" s="10" t="s">
        <v>6057</v>
      </c>
      <c r="D1999" s="22" t="s">
        <v>6090</v>
      </c>
      <c r="E1999" s="10" t="s">
        <v>26</v>
      </c>
      <c r="F1999" s="10" t="s">
        <v>27</v>
      </c>
      <c r="G1999" s="10" t="s">
        <v>5</v>
      </c>
      <c r="H1999" s="10" t="s">
        <v>39</v>
      </c>
      <c r="I1999" s="11">
        <v>45201</v>
      </c>
      <c r="J1999" s="10" t="s">
        <v>40</v>
      </c>
      <c r="K1999" s="11">
        <v>45554</v>
      </c>
      <c r="L1999" s="10" t="s">
        <v>59</v>
      </c>
      <c r="M1999" s="12">
        <v>33179</v>
      </c>
      <c r="N1999" s="12">
        <v>5455</v>
      </c>
      <c r="O1999" s="10">
        <v>2</v>
      </c>
      <c r="P1999" s="11">
        <v>45556</v>
      </c>
      <c r="Q1999" s="10" t="s">
        <v>33</v>
      </c>
      <c r="R1999" s="10" t="s">
        <v>33</v>
      </c>
      <c r="S1999" s="10" t="s">
        <v>60</v>
      </c>
      <c r="T1999" s="13">
        <v>6.0823</v>
      </c>
      <c r="U1999" s="14">
        <v>353</v>
      </c>
      <c r="V1999" s="14">
        <v>2024</v>
      </c>
      <c r="W1999" s="10" t="s">
        <v>168</v>
      </c>
    </row>
    <row r="2000" spans="1:23" s="9" customFormat="1" ht="15.75" hidden="1" customHeight="1" x14ac:dyDescent="0.25">
      <c r="A2000" s="4" t="s">
        <v>6058</v>
      </c>
      <c r="B2000" s="4" t="s">
        <v>6059</v>
      </c>
      <c r="C2000" s="4" t="s">
        <v>6060</v>
      </c>
      <c r="D2000" s="22" t="s">
        <v>6087</v>
      </c>
      <c r="E2000" s="4" t="s">
        <v>26</v>
      </c>
      <c r="F2000" s="4" t="s">
        <v>56</v>
      </c>
      <c r="G2000" s="4" t="s">
        <v>5</v>
      </c>
      <c r="H2000" s="4" t="s">
        <v>161</v>
      </c>
      <c r="I2000" s="5">
        <v>45256</v>
      </c>
      <c r="J2000" s="4" t="s">
        <v>30</v>
      </c>
      <c r="K2000" s="5">
        <v>45313</v>
      </c>
      <c r="L2000" s="4" t="s">
        <v>59</v>
      </c>
      <c r="M2000" s="6">
        <v>16902</v>
      </c>
      <c r="N2000" s="6">
        <v>5306</v>
      </c>
      <c r="O2000" s="4">
        <v>41</v>
      </c>
      <c r="P2000" s="5">
        <v>45354</v>
      </c>
      <c r="Q2000" s="4" t="s">
        <v>33</v>
      </c>
      <c r="R2000" s="4" t="s">
        <v>33</v>
      </c>
      <c r="S2000" s="4" t="s">
        <v>34</v>
      </c>
      <c r="T2000" s="7">
        <v>3.1855000000000002</v>
      </c>
      <c r="U2000" s="8">
        <v>57</v>
      </c>
      <c r="V2000" s="8">
        <v>2024</v>
      </c>
      <c r="W2000" s="4" t="s">
        <v>73</v>
      </c>
    </row>
    <row r="2001" spans="1:23" s="9" customFormat="1" ht="15.75" hidden="1" customHeight="1" x14ac:dyDescent="0.25">
      <c r="A2001" s="10" t="s">
        <v>6061</v>
      </c>
      <c r="B2001" s="10" t="s">
        <v>6062</v>
      </c>
      <c r="C2001" s="10" t="s">
        <v>6063</v>
      </c>
      <c r="D2001" s="21" t="s">
        <v>6086</v>
      </c>
      <c r="E2001" s="10" t="s">
        <v>87</v>
      </c>
      <c r="F2001" s="10" t="s">
        <v>56</v>
      </c>
      <c r="G2001" s="10" t="s">
        <v>28</v>
      </c>
      <c r="H2001" s="10" t="s">
        <v>118</v>
      </c>
      <c r="I2001" s="11">
        <v>45257</v>
      </c>
      <c r="J2001" s="10" t="s">
        <v>30</v>
      </c>
      <c r="K2001" s="11">
        <v>45384</v>
      </c>
      <c r="L2001" s="10" t="s">
        <v>59</v>
      </c>
      <c r="M2001" s="12">
        <v>20460</v>
      </c>
      <c r="N2001" s="12">
        <v>8715</v>
      </c>
      <c r="O2001" s="10">
        <v>15</v>
      </c>
      <c r="P2001" s="11">
        <v>45399</v>
      </c>
      <c r="Q2001" s="10" t="s">
        <v>33</v>
      </c>
      <c r="R2001" s="10" t="s">
        <v>33</v>
      </c>
      <c r="S2001" s="10" t="s">
        <v>34</v>
      </c>
      <c r="T2001" s="13">
        <v>2.3477000000000001</v>
      </c>
      <c r="U2001" s="14">
        <v>127</v>
      </c>
      <c r="V2001" s="14">
        <v>2024</v>
      </c>
      <c r="W2001" s="10" t="s">
        <v>47</v>
      </c>
    </row>
    <row r="2002" spans="1:23" ht="27.75" customHeight="1" x14ac:dyDescent="0.25"/>
  </sheetData>
  <autoFilter ref="A1:W2001" xr:uid="{00000000-0001-0000-0000-000000000000}">
    <filterColumn colId="5">
      <filters>
        <filter val="Ras Al _x000a_Khaimah"/>
      </filters>
    </filterColumn>
    <filterColumn colId="17">
      <filters>
        <filter val="Yes"/>
      </filters>
    </filterColumn>
  </autoFilter>
  <customSheetViews>
    <customSheetView guid="{35C3927A-F048-4142-A0D5-925A5B340B74}" scale="106" showGridLines="0" filter="1" showAutoFilter="1" topLeftCell="E1">
      <pane ySplit="1" topLeftCell="A2004" activePane="bottomLeft" state="frozen"/>
      <selection pane="bottomLeft" activeCell="F1" sqref="F1:F1048576"/>
      <pageMargins left="0.75" right="0.75" top="1" bottom="1" header="0.511811023622047" footer="0.511811023622047"/>
      <pageSetup paperSize="9" orientation="portrait" horizontalDpi="300" verticalDpi="300"/>
      <autoFilter ref="A1:W2001" xr:uid="{BA56DA3F-44E0-4C43-A0C8-38B6A34BE194}">
        <filterColumn colId="5">
          <filters>
            <filter val="Ras Al _x000a_Khaimah"/>
          </filters>
        </filterColumn>
        <filterColumn colId="17">
          <filters>
            <filter val="Yes"/>
          </filters>
        </filterColumn>
      </autoFilter>
    </customSheetView>
  </customSheetView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FILTER</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2026-03-19T06:26:15Z</dcterms:created>
  <dcterms:modified xsi:type="dcterms:W3CDTF">2026-03-31T08:54:40Z</dcterms:modified>
  <dc:language>en-US</dc:language>
</cp:coreProperties>
</file>